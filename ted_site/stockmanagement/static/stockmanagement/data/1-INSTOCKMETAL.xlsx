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OCK" sheetId="1" r:id="rId4"/>
    <sheet state="visible" name="TABLEITEM" sheetId="2" r:id="rId5"/>
    <sheet state="visible" name="REPORTIN" sheetId="3" r:id="rId6"/>
  </sheets>
  <externalReferences>
    <externalReference r:id="rId7"/>
  </externalReferences>
  <definedNames>
    <definedName name="TABLETEST">#REF!</definedName>
    <definedName name="UNITPRICE">#REF!</definedName>
    <definedName name="INSTOCK">INSTOCK!$C$1:$N$2025</definedName>
    <definedName localSheetId="1" name="LIST">#REF!</definedName>
    <definedName name="QTY">#REF!</definedName>
    <definedName name="TABLEITEM">TABLEITEM!$B$2:$G$1138</definedName>
    <definedName name="TABLE">TABLEITEM!$D$474</definedName>
  </definedNames>
  <calcPr/>
  <extLst>
    <ext uri="GoogleSheetsCustomDataVersion1">
      <go:sheetsCustomData xmlns:go="http://customooxmlschemas.google.com/" r:id="rId8" roundtripDataSignature="AMtx7miWJwS6KuJbBKOlDMkCltXejdoU0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304">
      <text>
        <t xml:space="preserve">======
ID#AAAAJuE8PeU
WINDOWS    (2020-06-27 16:10:58)
ยกเลิกการใช้แล้วแต่มีในสต็อค</t>
      </text>
    </comment>
    <comment authorId="0" ref="D302">
      <text>
        <t xml:space="preserve">======
ID#AAAAJuE8PeQ
WINDOWS    (2020-06-27 16:10:58)
ยกเลิกการใช้แล้วแต่มีในสต็อค</t>
      </text>
    </comment>
    <comment authorId="0" ref="D149">
      <text>
        <t xml:space="preserve">======
ID#AAAAJuE8PeM
WINDOWS    (2020-06-27 16:10:58)
แผ่นสไลค์คอม้า</t>
      </text>
    </comment>
    <comment authorId="0" ref="D143">
      <text>
        <t xml:space="preserve">======
ID#AAAAJuE8PeI
WINDOWS    (2020-06-27 16:10:58)
แผ่นสไลค์คอม้า</t>
      </text>
    </comment>
    <comment authorId="0" ref="D141">
      <text>
        <t xml:space="preserve">======
ID#AAAAJuE8PeE
WINDOWS    (2020-06-27 16:10:58)
แผ่นสไลค์คอม้า</t>
      </text>
    </comment>
    <comment authorId="0" ref="D303">
      <text>
        <t xml:space="preserve">======
ID#AAAAJuE8PeA
WINDOWS    (2020-06-27 16:10:58)
ยกเลิกการใช้แล้วแต่มีในสต็อค</t>
      </text>
    </comment>
    <comment authorId="0" ref="D296">
      <text>
        <t xml:space="preserve">======
ID#AAAAJuE8Pd8
WINDOWS    (2020-06-27 16:10:58)
ยกเลิกการใช้แล้วแต่มีในสต็อค</t>
      </text>
    </comment>
    <comment authorId="0" ref="D265">
      <text>
        <t xml:space="preserve">======
ID#AAAAJuE8Pd0
WINDOWS    (2020-06-27 16:10:58)
4รูลักษณะพิเศษรูกลมข้างบนหัวข้างมี4รู</t>
      </text>
    </comment>
    <comment authorId="0" ref="D292">
      <text>
        <t xml:space="preserve">======
ID#AAAAJuE8Pd4
WINDOWS    (2020-06-27 16:10:58)
ยกเลิกการใช้แล้วแต่มีในสต็อค</t>
      </text>
    </comment>
    <comment authorId="0" ref="D144">
      <text>
        <t xml:space="preserve">======
ID#AAAAJuE8Pdw
WINDOWS    (2020-06-27 16:10:58)
แผ่นสไลค์คอม้า</t>
      </text>
    </comment>
    <comment authorId="0" ref="D300">
      <text>
        <t xml:space="preserve">======
ID#AAAAJuE8Pds
WINDOWS    (2020-06-27 16:10:58)
ยกเลิกการใช้แล้ว แต่มีในสต็อค</t>
      </text>
    </comment>
    <comment authorId="0" ref="D266">
      <text>
        <t xml:space="preserve">======
ID#AAAAJuE8Pdo
WINDOWS    (2020-06-27 16:10:58)
4รูลักษณะพิเศษ มี4รูตรงหัว</t>
      </text>
    </comment>
    <comment authorId="0" ref="D165">
      <text>
        <t xml:space="preserve">======
ID#AAAAJuE8Pdk
WINDOWS    (2020-06-27 16:10:58)
ลักษณะพิเศษมี6รู</t>
      </text>
    </comment>
  </commentList>
  <extLst>
    <ext uri="GoogleSheetsCustomDataVersion1">
      <go:sheetsCustomData xmlns:go="http://customooxmlschemas.google.com/" r:id="rId1" roundtripDataSignature="AMtx7miC/FGiI7axxoSijvzNilijNZ1IpQ=="/>
    </ext>
  </extLst>
</comments>
</file>

<file path=xl/sharedStrings.xml><?xml version="1.0" encoding="utf-8"?>
<sst xmlns="http://schemas.openxmlformats.org/spreadsheetml/2006/main" count="12222" uniqueCount="4111">
  <si>
    <t>NO.</t>
  </si>
  <si>
    <t xml:space="preserve">DATE </t>
  </si>
  <si>
    <t>IV No.</t>
  </si>
  <si>
    <t>PO No.</t>
  </si>
  <si>
    <t>PC Job</t>
  </si>
  <si>
    <t>SUPPLIER</t>
  </si>
  <si>
    <t>ID</t>
  </si>
  <si>
    <t>QTY</t>
  </si>
  <si>
    <t>unit</t>
  </si>
  <si>
    <t>UNIT/Price</t>
  </si>
  <si>
    <t>group</t>
  </si>
  <si>
    <t xml:space="preserve">LIST </t>
  </si>
  <si>
    <t>Total</t>
  </si>
  <si>
    <t>Column1</t>
  </si>
  <si>
    <t>Column2</t>
  </si>
  <si>
    <t>ยอดยกมา17</t>
  </si>
  <si>
    <t>SPC1012202440</t>
  </si>
  <si>
    <t>SPC1212202440</t>
  </si>
  <si>
    <t>SPC1212201950</t>
  </si>
  <si>
    <t>SPC1612202440</t>
  </si>
  <si>
    <t>SPC1612203000</t>
  </si>
  <si>
    <t>SPC2012202440</t>
  </si>
  <si>
    <t>SPC2012203000</t>
  </si>
  <si>
    <t>SPC2312202440</t>
  </si>
  <si>
    <t>SPC2612202440</t>
  </si>
  <si>
    <t>SPC3012202440</t>
  </si>
  <si>
    <t>SPC3212202440</t>
  </si>
  <si>
    <t>SPC1603902440</t>
  </si>
  <si>
    <t>SPC1605902440</t>
  </si>
  <si>
    <t>SPC1606291942</t>
  </si>
  <si>
    <t>SPC1607291942</t>
  </si>
  <si>
    <t>SPC1608291942</t>
  </si>
  <si>
    <t>SPC1609291220</t>
  </si>
  <si>
    <t>SPC1606292142</t>
  </si>
  <si>
    <t>SPC1607292142</t>
  </si>
  <si>
    <t>SPC1608292142</t>
  </si>
  <si>
    <t>SPC1612202142</t>
  </si>
  <si>
    <t>SPC1609292142</t>
  </si>
  <si>
    <t>SPC3012203000</t>
  </si>
  <si>
    <t>SEG1212202440</t>
  </si>
  <si>
    <t>SEG1612202440</t>
  </si>
  <si>
    <t>SEG1612203000</t>
  </si>
  <si>
    <t>SEG2012202440</t>
  </si>
  <si>
    <t>SEG2012203000</t>
  </si>
  <si>
    <t>SEG2312202440</t>
  </si>
  <si>
    <t>SEG2612202440</t>
  </si>
  <si>
    <t>SEG3012202440</t>
  </si>
  <si>
    <t>SEG3012203000</t>
  </si>
  <si>
    <t>SPH1612202440</t>
  </si>
  <si>
    <t>SPH1612203000</t>
  </si>
  <si>
    <t>SPH2012202440</t>
  </si>
  <si>
    <t>SPH2012203000</t>
  </si>
  <si>
    <t>SPH2015253050</t>
  </si>
  <si>
    <t>SPH2315253050</t>
  </si>
  <si>
    <t>SPH3015253050</t>
  </si>
  <si>
    <t>SPH4515253050</t>
  </si>
  <si>
    <t>SPH5012202440</t>
  </si>
  <si>
    <t>SPH9012202440</t>
  </si>
  <si>
    <t>SPH3012202440</t>
  </si>
  <si>
    <t>SPH6012202440</t>
  </si>
  <si>
    <t>SUS0812202440</t>
  </si>
  <si>
    <t>SUS1212202440</t>
  </si>
  <si>
    <t>SUS1512202440</t>
  </si>
  <si>
    <t>SUS2012202440</t>
  </si>
  <si>
    <t>SUS5012202440</t>
  </si>
  <si>
    <t>SUS1012202440</t>
  </si>
  <si>
    <t>SUS3012202440</t>
  </si>
  <si>
    <t>SGI1212202440</t>
  </si>
  <si>
    <t>SGI1512202440</t>
  </si>
  <si>
    <t>SGI2012202440</t>
  </si>
  <si>
    <t>SGI3012202440</t>
  </si>
  <si>
    <t>SAL3012202440</t>
  </si>
  <si>
    <t>SAL6012202440</t>
  </si>
  <si>
    <t>PVC2012202440</t>
  </si>
  <si>
    <t>ACL3012202440</t>
  </si>
  <si>
    <t>BR5012202440</t>
  </si>
  <si>
    <t>SB0612202440</t>
  </si>
  <si>
    <t>SU26000</t>
  </si>
  <si>
    <t>meter</t>
  </si>
  <si>
    <t>SU36000</t>
  </si>
  <si>
    <t>SU46000</t>
  </si>
  <si>
    <t>SU56000</t>
  </si>
  <si>
    <t>SU66000</t>
  </si>
  <si>
    <t>SU86000</t>
  </si>
  <si>
    <t>SL30256000</t>
  </si>
  <si>
    <t>SL30406000</t>
  </si>
  <si>
    <t>SL50406000</t>
  </si>
  <si>
    <t>SL30506000</t>
  </si>
  <si>
    <t>SL40506000</t>
  </si>
  <si>
    <t>SL50506000</t>
  </si>
  <si>
    <t>SL60756000</t>
  </si>
  <si>
    <t>SL701006000</t>
  </si>
  <si>
    <t>SL30306000</t>
  </si>
  <si>
    <t>SK12126000</t>
  </si>
  <si>
    <t>SK16256000</t>
  </si>
  <si>
    <t>SK20406000</t>
  </si>
  <si>
    <t>SK20306000</t>
  </si>
  <si>
    <t>SK23506000</t>
  </si>
  <si>
    <t>SK23756000</t>
  </si>
  <si>
    <t>3เส้น**640/6m.</t>
  </si>
  <si>
    <t>SK231006000</t>
  </si>
  <si>
    <t>SK2575-406000</t>
  </si>
  <si>
    <t>SK25100-506000</t>
  </si>
  <si>
    <t>SK3250-256000</t>
  </si>
  <si>
    <t>SK2075-506000</t>
  </si>
  <si>
    <t>SR504000</t>
  </si>
  <si>
    <t>SR704000</t>
  </si>
  <si>
    <t>SR804000</t>
  </si>
  <si>
    <t>SO12126000</t>
  </si>
  <si>
    <t>SO20256000</t>
  </si>
  <si>
    <t>SO20406000</t>
  </si>
  <si>
    <t>SO20306000</t>
  </si>
  <si>
    <t>SO20506000</t>
  </si>
  <si>
    <t>SO60756000</t>
  </si>
  <si>
    <t>SO201006000</t>
  </si>
  <si>
    <t>SO201506000</t>
  </si>
  <si>
    <t>SO28206000</t>
  </si>
  <si>
    <t>SO301006000</t>
  </si>
  <si>
    <t>SF30406000</t>
  </si>
  <si>
    <t>SF45406000</t>
  </si>
  <si>
    <t>SF45506000</t>
  </si>
  <si>
    <t>SF60506000</t>
  </si>
  <si>
    <t>SF60756000</t>
  </si>
  <si>
    <t>SF601006000</t>
  </si>
  <si>
    <t>SUSL30406000</t>
  </si>
  <si>
    <t>SUSL30506000</t>
  </si>
  <si>
    <t>SUSL45506000</t>
  </si>
  <si>
    <t>SUSF30126000</t>
  </si>
  <si>
    <t>SUSF451126000</t>
  </si>
  <si>
    <t>SUSF3026000</t>
  </si>
  <si>
    <t>SUSF4526000</t>
  </si>
  <si>
    <t>SUSF3036000</t>
  </si>
  <si>
    <t>SUSF4536000</t>
  </si>
  <si>
    <t>SUSF3046000</t>
  </si>
  <si>
    <t>SUSL60506000</t>
  </si>
  <si>
    <t>SUSO10206000</t>
  </si>
  <si>
    <t>SUSO12256000</t>
  </si>
  <si>
    <t>SUSO12406000</t>
  </si>
  <si>
    <t>SUSO15506000</t>
  </si>
  <si>
    <t>SUSO301006000</t>
  </si>
  <si>
    <t>SUSO39506000</t>
  </si>
  <si>
    <t>SUSR806000</t>
  </si>
  <si>
    <t>SUSR506000</t>
  </si>
  <si>
    <t>SUSR606000</t>
  </si>
  <si>
    <t>IV0110650</t>
  </si>
  <si>
    <t>J.602383</t>
  </si>
  <si>
    <t>กงไกร สตีล จำกัด</t>
  </si>
  <si>
    <t>SK12206000</t>
  </si>
  <si>
    <t>IV0110649</t>
  </si>
  <si>
    <t>J.602123</t>
  </si>
  <si>
    <t>SHB601001006000</t>
  </si>
  <si>
    <t>IV6101009</t>
  </si>
  <si>
    <t>ทำเครน</t>
  </si>
  <si>
    <t>พรสตีล จำกัด</t>
  </si>
  <si>
    <t>SI902001506000</t>
  </si>
  <si>
    <t>SI702001006000</t>
  </si>
  <si>
    <t>SQ406000</t>
  </si>
  <si>
    <t>IV6100114</t>
  </si>
  <si>
    <t>ผลิตภัณฑ์ตะแกรงเหล็กแผ่นไทย</t>
  </si>
  <si>
    <t>IV6101036</t>
  </si>
  <si>
    <t>J.610023</t>
  </si>
  <si>
    <t>STOCK</t>
  </si>
  <si>
    <t>โกลบอล เอ็นจิเนียริ่ง พาร์ท จำกัด</t>
  </si>
  <si>
    <t>IV6101028</t>
  </si>
  <si>
    <t>j.610040</t>
  </si>
  <si>
    <t>ชินโชริ จำกัด</t>
  </si>
  <si>
    <t>PVC5012202440</t>
  </si>
  <si>
    <t>IV6101041</t>
  </si>
  <si>
    <t>ไทรอัมพ์</t>
  </si>
  <si>
    <t>SK23406000</t>
  </si>
  <si>
    <t>N61/000361</t>
  </si>
  <si>
    <t>เอ็น.เอช.เค.สตีล จำกัด</t>
  </si>
  <si>
    <t>24.50(13760)</t>
  </si>
  <si>
    <t>N61/000469</t>
  </si>
  <si>
    <t>22.0(420)</t>
  </si>
  <si>
    <t>IV6101096</t>
  </si>
  <si>
    <t>J.610040,STOCK</t>
  </si>
  <si>
    <t>SK2350256000</t>
  </si>
  <si>
    <t>N61/000574</t>
  </si>
  <si>
    <t>23.20(11650)</t>
  </si>
  <si>
    <t>N61/000568</t>
  </si>
  <si>
    <t>23.0(4464)</t>
  </si>
  <si>
    <t>23.20(6990)</t>
  </si>
  <si>
    <t>N61/000567</t>
  </si>
  <si>
    <t>SPC1612201942</t>
  </si>
  <si>
    <t>23.0(2970)</t>
  </si>
  <si>
    <t>23.0(3270)</t>
  </si>
  <si>
    <t>23.0(6696)</t>
  </si>
  <si>
    <t>IV6101119</t>
  </si>
  <si>
    <t>IV6101174</t>
  </si>
  <si>
    <t>18/5409/70024</t>
  </si>
  <si>
    <t>J.610184</t>
  </si>
  <si>
    <t>อัศว เม็ททอล (ไทยแลนด์)จำกัด</t>
  </si>
  <si>
    <t>เกรด 304</t>
  </si>
  <si>
    <t>N61/001010</t>
  </si>
  <si>
    <t>23.50(423)</t>
  </si>
  <si>
    <t>IV6101229</t>
  </si>
  <si>
    <t>6101000133/1</t>
  </si>
  <si>
    <t>J.610186</t>
  </si>
  <si>
    <t>SK2375506000</t>
  </si>
  <si>
    <t>IV1800159</t>
  </si>
  <si>
    <t>J.610130,STOCK</t>
  </si>
  <si>
    <t>ก.ธนวัฒน์ เมทอล จำกัด</t>
  </si>
  <si>
    <t>IV6102009</t>
  </si>
  <si>
    <t>N61/001253</t>
  </si>
  <si>
    <t>28.0(3660)</t>
  </si>
  <si>
    <t>24.0(5490)</t>
  </si>
  <si>
    <t>N61/001262</t>
  </si>
  <si>
    <t>23.0(11195)</t>
  </si>
  <si>
    <t>IV1800188</t>
  </si>
  <si>
    <t>N61/001303</t>
  </si>
  <si>
    <t>24.50(11570)</t>
  </si>
  <si>
    <t>N61/001300</t>
  </si>
  <si>
    <t>24.50(9076)</t>
  </si>
  <si>
    <t>IV6102064</t>
  </si>
  <si>
    <t>J.610258</t>
  </si>
  <si>
    <t>เกรด 316L</t>
  </si>
  <si>
    <t>IV18020199</t>
  </si>
  <si>
    <t>BTT</t>
  </si>
  <si>
    <t>เอ็นเอสซี เม็ททอล จำกัด</t>
  </si>
  <si>
    <t>SALR2012202440</t>
  </si>
  <si>
    <t>เกรด3105</t>
  </si>
  <si>
    <t>18/5618/70298</t>
  </si>
  <si>
    <t>N61/001555</t>
  </si>
  <si>
    <t>23.50(1170)</t>
  </si>
  <si>
    <t>29.0(4584)</t>
  </si>
  <si>
    <t>IV1800223</t>
  </si>
  <si>
    <t>IV6102126</t>
  </si>
  <si>
    <t>J.610289</t>
  </si>
  <si>
    <t>SPHCK3012202440</t>
  </si>
  <si>
    <t>ตีนไก่</t>
  </si>
  <si>
    <t>IV1800247</t>
  </si>
  <si>
    <t>IV18020378</t>
  </si>
  <si>
    <t>610200232/1</t>
  </si>
  <si>
    <t>J.610221</t>
  </si>
  <si>
    <t>IV1800277</t>
  </si>
  <si>
    <t>IV6102205</t>
  </si>
  <si>
    <t>IV6102213</t>
  </si>
  <si>
    <t>J.610248</t>
  </si>
  <si>
    <t>WS6102430</t>
  </si>
  <si>
    <t>วนวัฒน์ แสตนเลส สตีล จำกัด</t>
  </si>
  <si>
    <t>เกรด304/2B</t>
  </si>
  <si>
    <t>IV1800330</t>
  </si>
  <si>
    <t>IV18030029</t>
  </si>
  <si>
    <t>SAl3012202440</t>
  </si>
  <si>
    <t>N61/002109</t>
  </si>
  <si>
    <t>23.0(2790)</t>
  </si>
  <si>
    <t>23.20(2332)</t>
  </si>
  <si>
    <t>23.20(5730)</t>
  </si>
  <si>
    <t>N61/002059</t>
  </si>
  <si>
    <t>23.20(11660)</t>
  </si>
  <si>
    <t>IV6103011</t>
  </si>
  <si>
    <t>J.610450</t>
  </si>
  <si>
    <t>IV6103009</t>
  </si>
  <si>
    <t>N61/002192</t>
  </si>
  <si>
    <t>6102000264/1</t>
  </si>
  <si>
    <t>29.0(6870)</t>
  </si>
  <si>
    <t>29.0(5496)</t>
  </si>
  <si>
    <t>N61/002169</t>
  </si>
  <si>
    <t>23.0(11175)</t>
  </si>
  <si>
    <t>N61/002168</t>
  </si>
  <si>
    <t>23.20(13986)</t>
  </si>
  <si>
    <t>N61/002231</t>
  </si>
  <si>
    <t>24.0(5376)</t>
  </si>
  <si>
    <t>N61/002235</t>
  </si>
  <si>
    <t>24.50(13790)</t>
  </si>
  <si>
    <t>IV6103058</t>
  </si>
  <si>
    <t>J.610436</t>
  </si>
  <si>
    <t>IV1803100</t>
  </si>
  <si>
    <t>ทรัพย์เอก เทรดดิ้ง (ไทยแลนด์)</t>
  </si>
  <si>
    <t>IV6103084</t>
  </si>
  <si>
    <t>J.610281</t>
  </si>
  <si>
    <t>IV1800388</t>
  </si>
  <si>
    <t>WS6103179</t>
  </si>
  <si>
    <t>J.610443</t>
  </si>
  <si>
    <t>IV1803169</t>
  </si>
  <si>
    <t>BTT,TOYOTA</t>
  </si>
  <si>
    <t>เกรด 3105</t>
  </si>
  <si>
    <t>N61/002675</t>
  </si>
  <si>
    <t>23.70(8600)</t>
  </si>
  <si>
    <t>WS6103323</t>
  </si>
  <si>
    <t>J.610515,STOCK</t>
  </si>
  <si>
    <t>18/6417/72325</t>
  </si>
  <si>
    <t>J.610570</t>
  </si>
  <si>
    <t>IV1800514</t>
  </si>
  <si>
    <t>J.610555</t>
  </si>
  <si>
    <t>IV1800516</t>
  </si>
  <si>
    <t>IV1800517</t>
  </si>
  <si>
    <t>IV1800515</t>
  </si>
  <si>
    <t>IV6104003</t>
  </si>
  <si>
    <t>J.610646</t>
  </si>
  <si>
    <t>SF50506000</t>
  </si>
  <si>
    <t>IV6104017</t>
  </si>
  <si>
    <t>IV6101699</t>
  </si>
  <si>
    <t>N61/003221</t>
  </si>
  <si>
    <t>23.50(1168)</t>
  </si>
  <si>
    <t>24.0(1570)</t>
  </si>
  <si>
    <t>24.0(2010)</t>
  </si>
  <si>
    <t>24.0(2040)</t>
  </si>
  <si>
    <t>24.0(1480)</t>
  </si>
  <si>
    <t>24.0(2020)</t>
  </si>
  <si>
    <t>SPC160SCAP</t>
  </si>
  <si>
    <t>24.0(81)</t>
  </si>
  <si>
    <t>18/6519/72459</t>
  </si>
  <si>
    <t>เกรด 304/2B</t>
  </si>
  <si>
    <t>IV18040211</t>
  </si>
  <si>
    <t>J.610751-752,734</t>
  </si>
  <si>
    <t>IV6104050</t>
  </si>
  <si>
    <t>IV6104125</t>
  </si>
  <si>
    <t>N61/003689</t>
  </si>
  <si>
    <t>23.60(11630)</t>
  </si>
  <si>
    <t>N61/003668</t>
  </si>
  <si>
    <t>28.50(9120)</t>
  </si>
  <si>
    <t>WS6104281</t>
  </si>
  <si>
    <t>J.610674</t>
  </si>
  <si>
    <t>SO23206000</t>
  </si>
  <si>
    <t>N61/003696</t>
  </si>
  <si>
    <t>24.0(10540)</t>
  </si>
  <si>
    <t>N61003695</t>
  </si>
  <si>
    <t>28.50(5635)</t>
  </si>
  <si>
    <t>23.60(6978)</t>
  </si>
  <si>
    <t>IV6104163</t>
  </si>
  <si>
    <t>J.610794</t>
  </si>
  <si>
    <t>SUSR166000</t>
  </si>
  <si>
    <t>SUSO10166000</t>
  </si>
  <si>
    <t>IV1800630</t>
  </si>
  <si>
    <t>N61/003746</t>
  </si>
  <si>
    <t>24.50(4546)</t>
  </si>
  <si>
    <t>N61/003741</t>
  </si>
  <si>
    <t>24.50(9224)</t>
  </si>
  <si>
    <t>IV6105016</t>
  </si>
  <si>
    <t>J.610827</t>
  </si>
  <si>
    <t>TR4012202440</t>
  </si>
  <si>
    <t>IV6105041</t>
  </si>
  <si>
    <t>IV6105050</t>
  </si>
  <si>
    <t>J.610825</t>
  </si>
  <si>
    <t>IV1800728</t>
  </si>
  <si>
    <t>N61/004381</t>
  </si>
  <si>
    <t>23.60(13968)</t>
  </si>
  <si>
    <t>N61/004368</t>
  </si>
  <si>
    <t>23.50(4590)</t>
  </si>
  <si>
    <t>23.50(9320)</t>
  </si>
  <si>
    <t>N61/004363</t>
  </si>
  <si>
    <t>23.50(2800)</t>
  </si>
  <si>
    <t>23.50(1860)</t>
  </si>
  <si>
    <t>23.60(5732)</t>
  </si>
  <si>
    <t>IV1800746</t>
  </si>
  <si>
    <t>N61/004405</t>
  </si>
  <si>
    <t>23.60(4660)</t>
  </si>
  <si>
    <t>18/7165/73339</t>
  </si>
  <si>
    <t>SR1605/001</t>
  </si>
  <si>
    <t>N61/004696</t>
  </si>
  <si>
    <t>SEG2312203000</t>
  </si>
  <si>
    <t>30.50(3260)</t>
  </si>
  <si>
    <t>IV1800805</t>
  </si>
  <si>
    <t>J.610933</t>
  </si>
  <si>
    <t>SK32150506000</t>
  </si>
  <si>
    <t>SK20756000</t>
  </si>
  <si>
    <t>IV6105095</t>
  </si>
  <si>
    <t>POWER ALL</t>
  </si>
  <si>
    <t>BR1501400338</t>
  </si>
  <si>
    <t>WS6105469</t>
  </si>
  <si>
    <t>J.611027</t>
  </si>
  <si>
    <t>J.611132</t>
  </si>
  <si>
    <t>เอี่ยมฮงโลหะกิจ จำกัด</t>
  </si>
  <si>
    <t>มอก</t>
  </si>
  <si>
    <t>J.611013</t>
  </si>
  <si>
    <t>IV1800844</t>
  </si>
  <si>
    <t>WS6106014</t>
  </si>
  <si>
    <t>SR906000</t>
  </si>
  <si>
    <t>VT6103569</t>
  </si>
  <si>
    <t>J.610971</t>
  </si>
  <si>
    <t>SPHXS4212202440</t>
  </si>
  <si>
    <t>WS6106039</t>
  </si>
  <si>
    <t>N61/005223</t>
  </si>
  <si>
    <t>6106000676/1</t>
  </si>
  <si>
    <t>23.50(2964)</t>
  </si>
  <si>
    <t>23.50(3276)</t>
  </si>
  <si>
    <t>N61/005214</t>
  </si>
  <si>
    <t>28.50(2750)</t>
  </si>
  <si>
    <t>28.5(9140)</t>
  </si>
  <si>
    <t>N61/005211</t>
  </si>
  <si>
    <t>24.50(13740)</t>
  </si>
  <si>
    <t>IV6102874</t>
  </si>
  <si>
    <t>WS6106103</t>
  </si>
  <si>
    <t>N61/005257</t>
  </si>
  <si>
    <t>24.0(1765)</t>
  </si>
  <si>
    <t>24.0(2560)</t>
  </si>
  <si>
    <t>SPC1604912440</t>
  </si>
  <si>
    <t>24.0(1290)</t>
  </si>
  <si>
    <t>SPC1602902440</t>
  </si>
  <si>
    <t>24.0(806)</t>
  </si>
  <si>
    <t>24.0(63)</t>
  </si>
  <si>
    <t>IV1800910</t>
  </si>
  <si>
    <t>N61/005468</t>
  </si>
  <si>
    <t>31.0(2077)</t>
  </si>
  <si>
    <t>31.0(1708)</t>
  </si>
  <si>
    <t>IV6106199</t>
  </si>
  <si>
    <t>J.611176,STOCK</t>
  </si>
  <si>
    <t>N61/005734</t>
  </si>
  <si>
    <t>23.50(3732)</t>
  </si>
  <si>
    <t>N61/005737</t>
  </si>
  <si>
    <t>23.60(9320)</t>
  </si>
  <si>
    <t>IV6106247</t>
  </si>
  <si>
    <t>J.611296</t>
  </si>
  <si>
    <t>SWF50100506000</t>
  </si>
  <si>
    <t>N61/006049</t>
  </si>
  <si>
    <t xml:space="preserve">23.5(7460)   </t>
  </si>
  <si>
    <t>24.0(5395)</t>
  </si>
  <si>
    <t>IV1801048</t>
  </si>
  <si>
    <t>J.611970,STOCK</t>
  </si>
  <si>
    <t>IV1801047</t>
  </si>
  <si>
    <t>WS6107140</t>
  </si>
  <si>
    <t>J.611131</t>
  </si>
  <si>
    <t>SUSL50506000</t>
  </si>
  <si>
    <t>IV6107070</t>
  </si>
  <si>
    <t>J.611324</t>
  </si>
  <si>
    <t>WS6107193</t>
  </si>
  <si>
    <t>WS6107191</t>
  </si>
  <si>
    <t>IV1801096</t>
  </si>
  <si>
    <t>J.611344</t>
  </si>
  <si>
    <t>IV1801105</t>
  </si>
  <si>
    <t>J.611388</t>
  </si>
  <si>
    <t>WS6107328</t>
  </si>
  <si>
    <t>WS6107327</t>
  </si>
  <si>
    <t>จงจิตต์</t>
  </si>
  <si>
    <t>N61/006720</t>
  </si>
  <si>
    <t>23.50(14890)</t>
  </si>
  <si>
    <t>N61/006724</t>
  </si>
  <si>
    <t>23.60(4674)</t>
  </si>
  <si>
    <t>N61/006722</t>
  </si>
  <si>
    <t>23.60(13990)</t>
  </si>
  <si>
    <t>VT6104982</t>
  </si>
  <si>
    <t>WS61080005</t>
  </si>
  <si>
    <t>05079/18</t>
  </si>
  <si>
    <t>05080/18</t>
  </si>
  <si>
    <t>J.611569</t>
  </si>
  <si>
    <t>IV1801238</t>
  </si>
  <si>
    <t>N61/007186</t>
  </si>
  <si>
    <t>24.8(10560)</t>
  </si>
  <si>
    <t>N61/007187</t>
  </si>
  <si>
    <t>25.3(14170)</t>
  </si>
  <si>
    <t>IV6108032</t>
  </si>
  <si>
    <t>J.611633</t>
  </si>
  <si>
    <t>BR10100100</t>
  </si>
  <si>
    <t>IV6108031</t>
  </si>
  <si>
    <t>IV1801248</t>
  </si>
  <si>
    <t>J.611580</t>
  </si>
  <si>
    <t>SK32100506000</t>
  </si>
  <si>
    <t>SK321501506000</t>
  </si>
  <si>
    <t>IV18080182</t>
  </si>
  <si>
    <t>WS6108238</t>
  </si>
  <si>
    <t>J.611613</t>
  </si>
  <si>
    <t>SUSO12506000</t>
  </si>
  <si>
    <t>IV1801324</t>
  </si>
  <si>
    <t>ST-610098</t>
  </si>
  <si>
    <t>PC</t>
  </si>
  <si>
    <t>CBC280125</t>
  </si>
  <si>
    <t>ST-610084</t>
  </si>
  <si>
    <t>FC6845520</t>
  </si>
  <si>
    <t>ST-610092</t>
  </si>
  <si>
    <t>CV797210110</t>
  </si>
  <si>
    <t>CV797210100</t>
  </si>
  <si>
    <t>ST-610086</t>
  </si>
  <si>
    <t>FC8045420</t>
  </si>
  <si>
    <t>ST610073</t>
  </si>
  <si>
    <t>JHH7546835</t>
  </si>
  <si>
    <t>ST610072</t>
  </si>
  <si>
    <t>JVB7545035T2</t>
  </si>
  <si>
    <t>ST610071</t>
  </si>
  <si>
    <t>LPP19045</t>
  </si>
  <si>
    <t>ST610069</t>
  </si>
  <si>
    <t>FC6845420</t>
  </si>
  <si>
    <t>ST610067</t>
  </si>
  <si>
    <t>CBA625280</t>
  </si>
  <si>
    <t>CBA825280</t>
  </si>
  <si>
    <t>ST610064</t>
  </si>
  <si>
    <t>JJH6532654</t>
  </si>
  <si>
    <t>ST610062</t>
  </si>
  <si>
    <t>CV207510570</t>
  </si>
  <si>
    <t>CV187510670</t>
  </si>
  <si>
    <t>CV207510870</t>
  </si>
  <si>
    <t>ST610057</t>
  </si>
  <si>
    <t>FCC6845720/4</t>
  </si>
  <si>
    <t>FC6845720</t>
  </si>
  <si>
    <t>ST610056</t>
  </si>
  <si>
    <t>PK31645</t>
  </si>
  <si>
    <t>PK316224</t>
  </si>
  <si>
    <t>ST610055</t>
  </si>
  <si>
    <t>ACB7025520</t>
  </si>
  <si>
    <t>ST610053</t>
  </si>
  <si>
    <t>FS40501988</t>
  </si>
  <si>
    <t>ST610052</t>
  </si>
  <si>
    <t>FF40212550</t>
  </si>
  <si>
    <t>ST610051</t>
  </si>
  <si>
    <t>FD8006845</t>
  </si>
  <si>
    <t>ST610047</t>
  </si>
  <si>
    <t>CAH60775</t>
  </si>
  <si>
    <t>CAB40325</t>
  </si>
  <si>
    <t>CAB40675</t>
  </si>
  <si>
    <t>ST610046</t>
  </si>
  <si>
    <t>DC5022270</t>
  </si>
  <si>
    <t>ST610043</t>
  </si>
  <si>
    <t>PE220700</t>
  </si>
  <si>
    <t>PE595300</t>
  </si>
  <si>
    <t>PE695450</t>
  </si>
  <si>
    <t>ST610068</t>
  </si>
  <si>
    <t>PE345300</t>
  </si>
  <si>
    <t>ST610065</t>
  </si>
  <si>
    <t>JJH6532754</t>
  </si>
  <si>
    <t>ST610042</t>
  </si>
  <si>
    <t>FS40501788</t>
  </si>
  <si>
    <t>ST610041</t>
  </si>
  <si>
    <t>FF40192550</t>
  </si>
  <si>
    <t>ST610040</t>
  </si>
  <si>
    <t>ACC600500</t>
  </si>
  <si>
    <t>ST610039</t>
  </si>
  <si>
    <t>JHH9546835</t>
  </si>
  <si>
    <t>ST610038</t>
  </si>
  <si>
    <t>FC68451020</t>
  </si>
  <si>
    <t>ST610037</t>
  </si>
  <si>
    <t>JJJ4532754</t>
  </si>
  <si>
    <t>ST610036</t>
  </si>
  <si>
    <t>FD10006845</t>
  </si>
  <si>
    <t>ST610035</t>
  </si>
  <si>
    <t>FF40227550</t>
  </si>
  <si>
    <t>ST610034</t>
  </si>
  <si>
    <t>CAP702559520</t>
  </si>
  <si>
    <t>CAP702579520</t>
  </si>
  <si>
    <t>ST610033</t>
  </si>
  <si>
    <t>ACC707045</t>
  </si>
  <si>
    <t>ACC957045</t>
  </si>
  <si>
    <t>ST610031</t>
  </si>
  <si>
    <t>Z60495</t>
  </si>
  <si>
    <t>Z60695</t>
  </si>
  <si>
    <t>ST610025</t>
  </si>
  <si>
    <t>ST610024</t>
  </si>
  <si>
    <t>CAH60975</t>
  </si>
  <si>
    <t>ST610023</t>
  </si>
  <si>
    <t>PE595250</t>
  </si>
  <si>
    <t>PE595690</t>
  </si>
  <si>
    <t>ST610022</t>
  </si>
  <si>
    <t>CV187510770</t>
  </si>
  <si>
    <t>ST610021</t>
  </si>
  <si>
    <t>ST610020</t>
  </si>
  <si>
    <t>ST610019</t>
  </si>
  <si>
    <t>ST610018</t>
  </si>
  <si>
    <t>FC6845270</t>
  </si>
  <si>
    <t>FC8045520</t>
  </si>
  <si>
    <t>ST610017</t>
  </si>
  <si>
    <t>ACC503429</t>
  </si>
  <si>
    <t>ST610016</t>
  </si>
  <si>
    <t>CV187510470</t>
  </si>
  <si>
    <t>CV187510570</t>
  </si>
  <si>
    <t>ST610013</t>
  </si>
  <si>
    <t>ST610012</t>
  </si>
  <si>
    <t>ACC600330</t>
  </si>
  <si>
    <t>ST610011</t>
  </si>
  <si>
    <t>MA795305</t>
  </si>
  <si>
    <t>MB795175</t>
  </si>
  <si>
    <t>ST610009</t>
  </si>
  <si>
    <t>FL40520</t>
  </si>
  <si>
    <t>ST610010</t>
  </si>
  <si>
    <t>CBA525280</t>
  </si>
  <si>
    <t>CBA925280</t>
  </si>
  <si>
    <t>CBB414170</t>
  </si>
  <si>
    <t>CBB814170</t>
  </si>
  <si>
    <t>CBB614170</t>
  </si>
  <si>
    <t>ST611008</t>
  </si>
  <si>
    <t>ST610007</t>
  </si>
  <si>
    <t>ST610006</t>
  </si>
  <si>
    <t>FS385020504</t>
  </si>
  <si>
    <t>ST610005</t>
  </si>
  <si>
    <t>CAP702549520</t>
  </si>
  <si>
    <t>CAP702569520</t>
  </si>
  <si>
    <t>CAP702599520</t>
  </si>
  <si>
    <t>ST610004</t>
  </si>
  <si>
    <t>JJH6532354</t>
  </si>
  <si>
    <t>JJJ4532254</t>
  </si>
  <si>
    <t>ST610098</t>
  </si>
  <si>
    <t>CBC280160</t>
  </si>
  <si>
    <t>ST610105</t>
  </si>
  <si>
    <t>DCE5040720</t>
  </si>
  <si>
    <t>ST610088</t>
  </si>
  <si>
    <t>LPP401988</t>
  </si>
  <si>
    <t>ST610070</t>
  </si>
  <si>
    <t>CAB40775</t>
  </si>
  <si>
    <t>ST610093</t>
  </si>
  <si>
    <t>CAH60575</t>
  </si>
  <si>
    <t>CAH60875</t>
  </si>
  <si>
    <t>ST610099</t>
  </si>
  <si>
    <t>ST610054</t>
  </si>
  <si>
    <t>PE695250</t>
  </si>
  <si>
    <t>PE695300</t>
  </si>
  <si>
    <t>ST61187</t>
  </si>
  <si>
    <t>ST610029</t>
  </si>
  <si>
    <t>DC5022620</t>
  </si>
  <si>
    <t>ST610091</t>
  </si>
  <si>
    <t>CV207510470</t>
  </si>
  <si>
    <t>CV207510770</t>
  </si>
  <si>
    <t>ST610102</t>
  </si>
  <si>
    <t>ACB7025420</t>
  </si>
  <si>
    <t>ST610083</t>
  </si>
  <si>
    <t>FC6845260</t>
  </si>
  <si>
    <t>ST610090</t>
  </si>
  <si>
    <t>FC8045260</t>
  </si>
  <si>
    <t>ST610085</t>
  </si>
  <si>
    <t>IV0120135</t>
  </si>
  <si>
    <t>N61/007612</t>
  </si>
  <si>
    <t>24.60(5742)</t>
  </si>
  <si>
    <t>N61/007676</t>
  </si>
  <si>
    <t>25.0(1235)</t>
  </si>
  <si>
    <t>25.0(2006)</t>
  </si>
  <si>
    <t>25.0(2216)</t>
  </si>
  <si>
    <t>25.0(1678)</t>
  </si>
  <si>
    <t>25.0(2032)</t>
  </si>
  <si>
    <t>25.0(3095)</t>
  </si>
  <si>
    <t>25.0(91)</t>
  </si>
  <si>
    <t>ST610114</t>
  </si>
  <si>
    <t>ST610063</t>
  </si>
  <si>
    <t>FC6845620</t>
  </si>
  <si>
    <t>FC8045620</t>
  </si>
  <si>
    <t>ST610087</t>
  </si>
  <si>
    <t>FC6845920</t>
  </si>
  <si>
    <t>FC8045920</t>
  </si>
  <si>
    <t>ST610127</t>
  </si>
  <si>
    <t>JJH6532454</t>
  </si>
  <si>
    <t>JJH6532604</t>
  </si>
  <si>
    <t>ST610126</t>
  </si>
  <si>
    <t>Z60895</t>
  </si>
  <si>
    <t>ST610112</t>
  </si>
  <si>
    <t>ST610092</t>
  </si>
  <si>
    <t>ST610100</t>
  </si>
  <si>
    <t>ST610118</t>
  </si>
  <si>
    <t>ST610117</t>
  </si>
  <si>
    <t>CBC15070</t>
  </si>
  <si>
    <t>ST610089</t>
  </si>
  <si>
    <t>LPP401963</t>
  </si>
  <si>
    <t>ST610120</t>
  </si>
  <si>
    <t>ST610113</t>
  </si>
  <si>
    <t>ST610066</t>
  </si>
  <si>
    <t>JHH6546835</t>
  </si>
  <si>
    <t>ST610119</t>
  </si>
  <si>
    <t>ST610137</t>
  </si>
  <si>
    <t>FF40242550</t>
  </si>
  <si>
    <t>ST610000</t>
  </si>
  <si>
    <t>ST610103</t>
  </si>
  <si>
    <t>ST610129</t>
  </si>
  <si>
    <t>CBA275280</t>
  </si>
  <si>
    <t>CBA275220</t>
  </si>
  <si>
    <t>ST610128</t>
  </si>
  <si>
    <t>CBC350100</t>
  </si>
  <si>
    <t>AC-TB146136</t>
  </si>
  <si>
    <t>CV207510970</t>
  </si>
  <si>
    <t>FC6060420</t>
  </si>
  <si>
    <t>FC6060520</t>
  </si>
  <si>
    <t>PE695690</t>
  </si>
  <si>
    <t>ST610030</t>
  </si>
  <si>
    <t>ST610141</t>
  </si>
  <si>
    <t>DCE5040420</t>
  </si>
  <si>
    <t>ST610139</t>
  </si>
  <si>
    <t>IV0120414</t>
  </si>
  <si>
    <t>J611609</t>
  </si>
  <si>
    <t>IV6109004</t>
  </si>
  <si>
    <t>J6111796</t>
  </si>
  <si>
    <t>N61/008050</t>
  </si>
  <si>
    <t>24.60(11650)</t>
  </si>
  <si>
    <t>N61/008051</t>
  </si>
  <si>
    <t>24.60(6990)</t>
  </si>
  <si>
    <t>ST610125</t>
  </si>
  <si>
    <t>LPP40390</t>
  </si>
  <si>
    <t>LPP40790</t>
  </si>
  <si>
    <t>N61/008113</t>
  </si>
  <si>
    <t>24.50(14880)</t>
  </si>
  <si>
    <t>N61/008112</t>
  </si>
  <si>
    <t>25.5(14180)</t>
  </si>
  <si>
    <t>N61/008115</t>
  </si>
  <si>
    <t>24.5(2336)</t>
  </si>
  <si>
    <t>24.5(2804)</t>
  </si>
  <si>
    <t>N61/008114</t>
  </si>
  <si>
    <t>28.0(9144)</t>
  </si>
  <si>
    <t>28.0(3670)</t>
  </si>
  <si>
    <t>IV1801407</t>
  </si>
  <si>
    <t>ST610170</t>
  </si>
  <si>
    <t>ACC500330</t>
  </si>
  <si>
    <t>ST610143</t>
  </si>
  <si>
    <t>ACC500500</t>
  </si>
  <si>
    <t>ST610161</t>
  </si>
  <si>
    <t>ST610123</t>
  </si>
  <si>
    <t>IV6109064</t>
  </si>
  <si>
    <t>J611931</t>
  </si>
  <si>
    <t>ACL104451134</t>
  </si>
  <si>
    <t>IV6107037</t>
  </si>
  <si>
    <t>J611388</t>
  </si>
  <si>
    <t>ACL5012202440</t>
  </si>
  <si>
    <t>IV6107006</t>
  </si>
  <si>
    <t>J611176,STOCK</t>
  </si>
  <si>
    <t>ST610134</t>
  </si>
  <si>
    <t>CAB40975</t>
  </si>
  <si>
    <t>CAH60475</t>
  </si>
  <si>
    <t>บิลชั่วคราว</t>
  </si>
  <si>
    <t>CBA225220</t>
  </si>
  <si>
    <t>ST610135</t>
  </si>
  <si>
    <t>ST610124</t>
  </si>
  <si>
    <t>CBB414140</t>
  </si>
  <si>
    <t>CBB614140</t>
  </si>
  <si>
    <t>ST610115</t>
  </si>
  <si>
    <t>CV187510320</t>
  </si>
  <si>
    <t>ST610130</t>
  </si>
  <si>
    <t>ST610104</t>
  </si>
  <si>
    <t>DC5022720</t>
  </si>
  <si>
    <t>ST610116</t>
  </si>
  <si>
    <t>DC5022920</t>
  </si>
  <si>
    <t>ST610131</t>
  </si>
  <si>
    <t>ST610159</t>
  </si>
  <si>
    <t>FC6845820</t>
  </si>
  <si>
    <t>ST610140</t>
  </si>
  <si>
    <t>ST610132</t>
  </si>
  <si>
    <t>FCB6845720</t>
  </si>
  <si>
    <t>FCB6845920</t>
  </si>
  <si>
    <t>FCV6845720</t>
  </si>
  <si>
    <t>FCV6845920</t>
  </si>
  <si>
    <t>ST610167</t>
  </si>
  <si>
    <t>FD6006845</t>
  </si>
  <si>
    <t>ST61139</t>
  </si>
  <si>
    <t>ST610168</t>
  </si>
  <si>
    <t>ST610169</t>
  </si>
  <si>
    <t>FF40200050</t>
  </si>
  <si>
    <t>FF40210050</t>
  </si>
  <si>
    <t>st610137</t>
  </si>
  <si>
    <t>ST610101</t>
  </si>
  <si>
    <t>FL40620</t>
  </si>
  <si>
    <t>034/1691</t>
  </si>
  <si>
    <t>ธ.รุ่งเกียรติ การช่าง</t>
  </si>
  <si>
    <t>GL30103X268</t>
  </si>
  <si>
    <t>032/1577</t>
  </si>
  <si>
    <t>032/1574</t>
  </si>
  <si>
    <t>362/18052</t>
  </si>
  <si>
    <t>J611947</t>
  </si>
  <si>
    <t>บิลส่งของชั่วคราว</t>
  </si>
  <si>
    <t>028/1398</t>
  </si>
  <si>
    <t>GL30108X108</t>
  </si>
  <si>
    <t>028/1397</t>
  </si>
  <si>
    <t>032/1583</t>
  </si>
  <si>
    <t>6105000614/1</t>
  </si>
  <si>
    <t>GL30108x308</t>
  </si>
  <si>
    <t>GL30108X308</t>
  </si>
  <si>
    <t>034/1689</t>
  </si>
  <si>
    <t>GL30112X312</t>
  </si>
  <si>
    <t>034/1690</t>
  </si>
  <si>
    <t>GL30118X260</t>
  </si>
  <si>
    <t>GL30118X308</t>
  </si>
  <si>
    <t>GL30128X128</t>
  </si>
  <si>
    <t>353/17643</t>
  </si>
  <si>
    <t>J612012</t>
  </si>
  <si>
    <t>บิลชั่วตราว</t>
  </si>
  <si>
    <t>358/17872</t>
  </si>
  <si>
    <t>J611756</t>
  </si>
  <si>
    <t>GL30128X308</t>
  </si>
  <si>
    <t>358/17891</t>
  </si>
  <si>
    <t>J611908</t>
  </si>
  <si>
    <t>362/18060</t>
  </si>
  <si>
    <t>J612080</t>
  </si>
  <si>
    <t>GL30132X132</t>
  </si>
  <si>
    <t>GL30143X223</t>
  </si>
  <si>
    <t>032/1575</t>
  </si>
  <si>
    <t>GL30158X208</t>
  </si>
  <si>
    <t>030/1475</t>
  </si>
  <si>
    <t>GL30158x308</t>
  </si>
  <si>
    <t>362/18053</t>
  </si>
  <si>
    <t>J612011</t>
  </si>
  <si>
    <t>GL30158X358</t>
  </si>
  <si>
    <t>353/17644</t>
  </si>
  <si>
    <t>J612018</t>
  </si>
  <si>
    <t>GL30158X408</t>
  </si>
  <si>
    <t>353/17640</t>
  </si>
  <si>
    <t>J611898</t>
  </si>
  <si>
    <t>GL30162X412</t>
  </si>
  <si>
    <t>358/17895</t>
  </si>
  <si>
    <t>J611916</t>
  </si>
  <si>
    <t>GL30168X168</t>
  </si>
  <si>
    <t>353/17647</t>
  </si>
  <si>
    <t>J612091</t>
  </si>
  <si>
    <t>GL30178X178</t>
  </si>
  <si>
    <t>032/1579</t>
  </si>
  <si>
    <t>GL30183X388</t>
  </si>
  <si>
    <t>358/17892</t>
  </si>
  <si>
    <t>J611211</t>
  </si>
  <si>
    <t>355/17717</t>
  </si>
  <si>
    <t>J612211</t>
  </si>
  <si>
    <t>GL30188X198</t>
  </si>
  <si>
    <t>GL30203X228</t>
  </si>
  <si>
    <t>028/1395</t>
  </si>
  <si>
    <t>GL30208X358</t>
  </si>
  <si>
    <t>GL30208x408</t>
  </si>
  <si>
    <t>GL30208X408</t>
  </si>
  <si>
    <t>028/1400</t>
  </si>
  <si>
    <t>GL30208X458</t>
  </si>
  <si>
    <t>GL30208X508</t>
  </si>
  <si>
    <t>030/1473</t>
  </si>
  <si>
    <t>GL30208X628</t>
  </si>
  <si>
    <t>GL30223X293</t>
  </si>
  <si>
    <t>GL30228X1158</t>
  </si>
  <si>
    <t>028/1396</t>
  </si>
  <si>
    <t>GL30228X468</t>
  </si>
  <si>
    <t>GL30252X497</t>
  </si>
  <si>
    <t>GL30258X303</t>
  </si>
  <si>
    <t>030/1471</t>
  </si>
  <si>
    <t>GL30258X358</t>
  </si>
  <si>
    <t>GL30258X408</t>
  </si>
  <si>
    <t>GL30258X558</t>
  </si>
  <si>
    <t>GL30258X608</t>
  </si>
  <si>
    <t>GL30258x608</t>
  </si>
  <si>
    <t>GL30262X412</t>
  </si>
  <si>
    <t>GL30273X443</t>
  </si>
  <si>
    <t>GL30283X388</t>
  </si>
  <si>
    <t>GL30283X478</t>
  </si>
  <si>
    <t>032/1578</t>
  </si>
  <si>
    <t>GL30288X498</t>
  </si>
  <si>
    <t>GL30308X308</t>
  </si>
  <si>
    <t>GL30308X508</t>
  </si>
  <si>
    <t>GL30308X608</t>
  </si>
  <si>
    <t>GL30323X458</t>
  </si>
  <si>
    <t>030/1472</t>
  </si>
  <si>
    <t>GL30323X558</t>
  </si>
  <si>
    <t>GL30328X488</t>
  </si>
  <si>
    <t>GL30328X508</t>
  </si>
  <si>
    <t>GL30353X508</t>
  </si>
  <si>
    <t>GL30358X358</t>
  </si>
  <si>
    <t>GL30358X508</t>
  </si>
  <si>
    <t>GL30358X558</t>
  </si>
  <si>
    <t>GL30358X658</t>
  </si>
  <si>
    <t>GL30358X708</t>
  </si>
  <si>
    <t>GL30358X828</t>
  </si>
  <si>
    <t>GL30388X433</t>
  </si>
  <si>
    <t>GL30388X668</t>
  </si>
  <si>
    <t>GL30408X708</t>
  </si>
  <si>
    <t>GL30408X732</t>
  </si>
  <si>
    <t>GL30408X758</t>
  </si>
  <si>
    <t>GL3040X80</t>
  </si>
  <si>
    <t>GL30428X628</t>
  </si>
  <si>
    <t>GL30433X823</t>
  </si>
  <si>
    <t>GL30443X473</t>
  </si>
  <si>
    <t>GL30458X1308</t>
  </si>
  <si>
    <t>GL30458X558</t>
  </si>
  <si>
    <t>GL30458X658</t>
  </si>
  <si>
    <t>GL30458X878</t>
  </si>
  <si>
    <t>GL30468X708</t>
  </si>
  <si>
    <t>GL30508X608</t>
  </si>
  <si>
    <t>GL30508X653</t>
  </si>
  <si>
    <t>GL30508X878</t>
  </si>
  <si>
    <t>GL30508X958</t>
  </si>
  <si>
    <t>GL30528X628</t>
  </si>
  <si>
    <t>GL30528X953</t>
  </si>
  <si>
    <t>GL30533X588</t>
  </si>
  <si>
    <t>GL30533X953</t>
  </si>
  <si>
    <t>GL30558X608</t>
  </si>
  <si>
    <t>GL30558X708</t>
  </si>
  <si>
    <t>GL30578X958</t>
  </si>
  <si>
    <t>GL30608X708</t>
  </si>
  <si>
    <t>GL3088X238</t>
  </si>
  <si>
    <t>GL3088X258</t>
  </si>
  <si>
    <t>GL3088X290</t>
  </si>
  <si>
    <t>GL3088X408</t>
  </si>
  <si>
    <t>GL50208X408</t>
  </si>
  <si>
    <t>GL50212X312</t>
  </si>
  <si>
    <t>GL50212X342</t>
  </si>
  <si>
    <t>GL50252X497</t>
  </si>
  <si>
    <t>358/17890</t>
  </si>
  <si>
    <t>J611904</t>
  </si>
  <si>
    <t>GL50262X312</t>
  </si>
  <si>
    <t>GL50262X382</t>
  </si>
  <si>
    <t>GL50262X412</t>
  </si>
  <si>
    <t>358/17876</t>
  </si>
  <si>
    <t>J611811</t>
  </si>
  <si>
    <t>GL50262X512</t>
  </si>
  <si>
    <t>GL50292X502</t>
  </si>
  <si>
    <t>GL50292X572</t>
  </si>
  <si>
    <t>GL50292X632</t>
  </si>
  <si>
    <t>358/17894</t>
  </si>
  <si>
    <t>J611928</t>
  </si>
  <si>
    <t>GL50308X408</t>
  </si>
  <si>
    <t>GL50308X508</t>
  </si>
  <si>
    <t>362/18065</t>
  </si>
  <si>
    <t>J612112</t>
  </si>
  <si>
    <t>GL50312X362</t>
  </si>
  <si>
    <t>362/18055</t>
  </si>
  <si>
    <t>J612017</t>
  </si>
  <si>
    <t>GL50312x512</t>
  </si>
  <si>
    <t>362/18054</t>
  </si>
  <si>
    <t>362/18056</t>
  </si>
  <si>
    <t>J612062</t>
  </si>
  <si>
    <t>GL50322X472</t>
  </si>
  <si>
    <t>GL50336X486</t>
  </si>
  <si>
    <t>GL50337X747</t>
  </si>
  <si>
    <t>GL50338X608</t>
  </si>
  <si>
    <t>358/17874</t>
  </si>
  <si>
    <t>J611718</t>
  </si>
  <si>
    <t>GL50342X1062</t>
  </si>
  <si>
    <t>358/17871</t>
  </si>
  <si>
    <t>GL50342X1612</t>
  </si>
  <si>
    <t>GL50362X612</t>
  </si>
  <si>
    <t>GL50362X662</t>
  </si>
  <si>
    <t>GL50362X812</t>
  </si>
  <si>
    <t>GL50388X1008</t>
  </si>
  <si>
    <t>GL50408X478</t>
  </si>
  <si>
    <t>362/18061</t>
  </si>
  <si>
    <t>J612075</t>
  </si>
  <si>
    <t>GL50412X482</t>
  </si>
  <si>
    <t>GL50412X612</t>
  </si>
  <si>
    <t>GL50412X912</t>
  </si>
  <si>
    <t>362/18059</t>
  </si>
  <si>
    <t>J612078</t>
  </si>
  <si>
    <t>GL50426X886</t>
  </si>
  <si>
    <t>GL50442X1187</t>
  </si>
  <si>
    <t>GL50442X962</t>
  </si>
  <si>
    <t>GL50452X912</t>
  </si>
  <si>
    <t>GL50454X634</t>
  </si>
  <si>
    <t>358/17873</t>
  </si>
  <si>
    <t>J611641</t>
  </si>
  <si>
    <t>GL50458X1033</t>
  </si>
  <si>
    <t>GL50458X1228</t>
  </si>
  <si>
    <t>GL50462X612</t>
  </si>
  <si>
    <t>GL50462X912</t>
  </si>
  <si>
    <t>GL50486X936</t>
  </si>
  <si>
    <t>GL50488X1083</t>
  </si>
  <si>
    <t>GL50492X962</t>
  </si>
  <si>
    <t>358/17870</t>
  </si>
  <si>
    <t>J611633</t>
  </si>
  <si>
    <t>GL50508X708</t>
  </si>
  <si>
    <t>GL50512x1112</t>
  </si>
  <si>
    <t>GL50512X562</t>
  </si>
  <si>
    <t>GL50512X762</t>
  </si>
  <si>
    <t>358/17869</t>
  </si>
  <si>
    <t>J611757</t>
  </si>
  <si>
    <t>GL50512X792</t>
  </si>
  <si>
    <t>GL50512X812</t>
  </si>
  <si>
    <t>GL50512X862</t>
  </si>
  <si>
    <t>358/17875</t>
  </si>
  <si>
    <t>J611373</t>
  </si>
  <si>
    <t>GL50512X972</t>
  </si>
  <si>
    <t>358/17868</t>
  </si>
  <si>
    <t>J611716</t>
  </si>
  <si>
    <t>GL50522X1062</t>
  </si>
  <si>
    <t>GL50538X1258</t>
  </si>
  <si>
    <t>GL50562X812</t>
  </si>
  <si>
    <t>GL50562X962</t>
  </si>
  <si>
    <t>GL50602X1182</t>
  </si>
  <si>
    <t>GL50612X1032</t>
  </si>
  <si>
    <t>GL50612X912</t>
  </si>
  <si>
    <t>GL50686X886</t>
  </si>
  <si>
    <t>GL50712x912</t>
  </si>
  <si>
    <t>003/00124</t>
  </si>
  <si>
    <t>ทีกระจกไทย</t>
  </si>
  <si>
    <t>GLN60103X268</t>
  </si>
  <si>
    <t>GLN60133X228</t>
  </si>
  <si>
    <t>003/00140</t>
  </si>
  <si>
    <t>J611310</t>
  </si>
  <si>
    <t>GLN60150x230</t>
  </si>
  <si>
    <t>003/00135</t>
  </si>
  <si>
    <t>J611265,1310,1312</t>
  </si>
  <si>
    <t>GLN60150X230</t>
  </si>
  <si>
    <t>003/00123</t>
  </si>
  <si>
    <t>003/00144</t>
  </si>
  <si>
    <t>J611681</t>
  </si>
  <si>
    <t>003/00127</t>
  </si>
  <si>
    <t>J611010,STOCK</t>
  </si>
  <si>
    <t>GLN60190X290</t>
  </si>
  <si>
    <t>GLN60228X328</t>
  </si>
  <si>
    <t>GLN60230X330</t>
  </si>
  <si>
    <t>GLN60310X515</t>
  </si>
  <si>
    <t>TRVA-61/02801</t>
  </si>
  <si>
    <t>J610767</t>
  </si>
  <si>
    <t>ห้างกระจกตังนำ</t>
  </si>
  <si>
    <t>GLS50228X328</t>
  </si>
  <si>
    <t>TRVA-61/03418</t>
  </si>
  <si>
    <t>GLS50234X334</t>
  </si>
  <si>
    <t>TRVA-61/00260</t>
  </si>
  <si>
    <t>GLS50358X408</t>
  </si>
  <si>
    <t>ST610142</t>
  </si>
  <si>
    <t>ST610147</t>
  </si>
  <si>
    <t>JVB9545035T2</t>
  </si>
  <si>
    <t>ST610145</t>
  </si>
  <si>
    <t>LPP5030</t>
  </si>
  <si>
    <t>ST610149</t>
  </si>
  <si>
    <t>LPP7030</t>
  </si>
  <si>
    <t>IV6105246</t>
  </si>
  <si>
    <t>IV6100592</t>
  </si>
  <si>
    <t>J610221</t>
  </si>
  <si>
    <t>กิ้มเฮงเชียง</t>
  </si>
  <si>
    <t>SAF50386000</t>
  </si>
  <si>
    <t>IV18100008</t>
  </si>
  <si>
    <t>IV1801462</t>
  </si>
  <si>
    <t>IV1801654</t>
  </si>
  <si>
    <t>J612097,STOCK</t>
  </si>
  <si>
    <t>IV1801625</t>
  </si>
  <si>
    <t>N61/006120</t>
  </si>
  <si>
    <t>N61/009153</t>
  </si>
  <si>
    <t>24.4(2800)</t>
  </si>
  <si>
    <t>N61/008610</t>
  </si>
  <si>
    <t>SPC1604902440</t>
  </si>
  <si>
    <t>25.0(1365)</t>
  </si>
  <si>
    <t>25.0(2010)</t>
  </si>
  <si>
    <t>kg</t>
  </si>
  <si>
    <t>24.5(4580)</t>
  </si>
  <si>
    <t>N61/005988</t>
  </si>
  <si>
    <t>N61/009158</t>
  </si>
  <si>
    <t>24.5(11650)</t>
  </si>
  <si>
    <t>N61/009163</t>
  </si>
  <si>
    <t>24.5(4662)</t>
  </si>
  <si>
    <t>24.8(5280)</t>
  </si>
  <si>
    <t>N61/006159</t>
  </si>
  <si>
    <t>N61/009039</t>
  </si>
  <si>
    <t>25.5(13990)</t>
  </si>
  <si>
    <t>IV1801534</t>
  </si>
  <si>
    <t>J611884</t>
  </si>
  <si>
    <t>IV6110049</t>
  </si>
  <si>
    <t>18/7948/4336</t>
  </si>
  <si>
    <t>WS6109526</t>
  </si>
  <si>
    <t>J612044</t>
  </si>
  <si>
    <t>SUSK15025506000</t>
  </si>
  <si>
    <t>WS6109480</t>
  </si>
  <si>
    <t>J612029</t>
  </si>
  <si>
    <t>WS6109585</t>
  </si>
  <si>
    <t>J612058</t>
  </si>
  <si>
    <t>WS6109331</t>
  </si>
  <si>
    <t>WS6110012</t>
  </si>
  <si>
    <t>362/18063</t>
  </si>
  <si>
    <t>J612077</t>
  </si>
  <si>
    <t>GL50562X1342</t>
  </si>
  <si>
    <t>362/18066</t>
  </si>
  <si>
    <t>362/18068</t>
  </si>
  <si>
    <t>362/18067</t>
  </si>
  <si>
    <t>J612073</t>
  </si>
  <si>
    <t>GL50512X712</t>
  </si>
  <si>
    <t>362/18070</t>
  </si>
  <si>
    <t>J612082</t>
  </si>
  <si>
    <t>GL50502X632</t>
  </si>
  <si>
    <t>362/18072</t>
  </si>
  <si>
    <t>J612164</t>
  </si>
  <si>
    <t>GL50312X412</t>
  </si>
  <si>
    <t>362/18069</t>
  </si>
  <si>
    <t>J612156</t>
  </si>
  <si>
    <t>GL50245X435</t>
  </si>
  <si>
    <t>N61/009535</t>
  </si>
  <si>
    <t>27(750)</t>
  </si>
  <si>
    <t>ST610160</t>
  </si>
  <si>
    <t xml:space="preserve"> ST610131</t>
  </si>
  <si>
    <t>N61/009685</t>
  </si>
  <si>
    <t>5745(24.6)</t>
  </si>
  <si>
    <t>N61/009684</t>
  </si>
  <si>
    <t>9164(28)</t>
  </si>
  <si>
    <t>ST610122</t>
  </si>
  <si>
    <t>ST610166</t>
  </si>
  <si>
    <t>ST610163</t>
  </si>
  <si>
    <t>N61/009753</t>
  </si>
  <si>
    <t>MAT ST</t>
  </si>
  <si>
    <t>เหล็กแผ่นEG4'x8'T3.0</t>
  </si>
  <si>
    <t>IV0122224</t>
  </si>
  <si>
    <t>6109001214/1</t>
  </si>
  <si>
    <t>เหล็กแผ่นขาว4'x8'T2.0</t>
  </si>
  <si>
    <t>IV0123149</t>
  </si>
  <si>
    <t>เหล็กกล่อง 2'' หนา2.3 มิล</t>
  </si>
  <si>
    <t>15(450)มอก.</t>
  </si>
  <si>
    <t>SK321006000</t>
  </si>
  <si>
    <t>เหล็กกล่อง 4" หนา 3.2มิล</t>
  </si>
  <si>
    <t>2(1295)มอก.</t>
  </si>
  <si>
    <t>SK16406000</t>
  </si>
  <si>
    <t>เหล็กกล่อง 1.1/2" หนา 1.6มิล</t>
  </si>
  <si>
    <t>13(226)JISS</t>
  </si>
  <si>
    <t>SK16506000</t>
  </si>
  <si>
    <t>เหล็กกล่อง 2" หนา 1.6มิล</t>
  </si>
  <si>
    <t>20(310)JISS</t>
  </si>
  <si>
    <t>362/18075</t>
  </si>
  <si>
    <t>J612165</t>
  </si>
  <si>
    <t>GL50342x612</t>
  </si>
  <si>
    <t/>
  </si>
  <si>
    <t>362/18076</t>
  </si>
  <si>
    <t>J612198</t>
  </si>
  <si>
    <t>GL50612x712</t>
  </si>
  <si>
    <t>036/1797</t>
  </si>
  <si>
    <t>GL50458X733</t>
  </si>
  <si>
    <t>GL50512X512</t>
  </si>
  <si>
    <t>036/1798</t>
  </si>
  <si>
    <t>GL50372X582</t>
  </si>
  <si>
    <t>GL50612X892</t>
  </si>
  <si>
    <t>GL30128X258</t>
  </si>
  <si>
    <t>CAH601175</t>
  </si>
  <si>
    <t>ST610173</t>
  </si>
  <si>
    <t>N61/010102</t>
  </si>
  <si>
    <t>3670(27.80)</t>
  </si>
  <si>
    <t>N61/010101</t>
  </si>
  <si>
    <t>5270(24.80)</t>
  </si>
  <si>
    <t>N61/010100</t>
  </si>
  <si>
    <t>3724(24.50)</t>
  </si>
  <si>
    <t>WS6111007</t>
  </si>
  <si>
    <t>ขายจงจิตต์</t>
  </si>
  <si>
    <t>SUS0512202440</t>
  </si>
  <si>
    <t>N61/010103</t>
  </si>
  <si>
    <t>9320(24.6)</t>
  </si>
  <si>
    <t>1862(24.5)</t>
  </si>
  <si>
    <t>N61/010036</t>
  </si>
  <si>
    <t>10510(25.5)</t>
  </si>
  <si>
    <t>N61/010104</t>
  </si>
  <si>
    <t>IV1801800</t>
  </si>
  <si>
    <t>17.30น.</t>
  </si>
  <si>
    <t>100เส้น/940</t>
  </si>
  <si>
    <t>50เส้น/1260</t>
  </si>
  <si>
    <t>50เส้น/275</t>
  </si>
  <si>
    <t>50เส้น/525</t>
  </si>
  <si>
    <t>362/18082</t>
  </si>
  <si>
    <t>J612280</t>
  </si>
  <si>
    <t>GL50262x512</t>
  </si>
  <si>
    <t>17.30น.  5/11</t>
  </si>
  <si>
    <t>360/17977</t>
  </si>
  <si>
    <t>J612176</t>
  </si>
  <si>
    <t>GL50412x562</t>
  </si>
  <si>
    <t>360/17975</t>
  </si>
  <si>
    <t>J612260</t>
  </si>
  <si>
    <t>GL50392x712</t>
  </si>
  <si>
    <t>362/18079</t>
  </si>
  <si>
    <t>J612242</t>
  </si>
  <si>
    <t>GL30128x308</t>
  </si>
  <si>
    <t>ST610180</t>
  </si>
  <si>
    <t>CV797190110</t>
  </si>
  <si>
    <t>CV797190100</t>
  </si>
  <si>
    <t>DCE5040520</t>
  </si>
  <si>
    <t>DCE5040620</t>
  </si>
  <si>
    <t>LPP401788</t>
  </si>
  <si>
    <t>PE795400</t>
  </si>
  <si>
    <t>WS6111129</t>
  </si>
  <si>
    <t>J612206</t>
  </si>
  <si>
    <t>304/2B</t>
  </si>
  <si>
    <t>08/11 17.30น</t>
  </si>
  <si>
    <t>362/18080</t>
  </si>
  <si>
    <t>GL50342x1062</t>
  </si>
  <si>
    <t>J612238</t>
  </si>
  <si>
    <t>GL50514x737</t>
  </si>
  <si>
    <t>360/17976</t>
  </si>
  <si>
    <t>J612136</t>
  </si>
  <si>
    <t>GL50507x1952</t>
  </si>
  <si>
    <t>362/18083</t>
  </si>
  <si>
    <t>J612279</t>
  </si>
  <si>
    <t>GL50422x912</t>
  </si>
  <si>
    <t>362/18089</t>
  </si>
  <si>
    <t>J612351</t>
  </si>
  <si>
    <t>GL50262x382</t>
  </si>
  <si>
    <t>362/18086</t>
  </si>
  <si>
    <t>J612240</t>
  </si>
  <si>
    <t>GL50512x737</t>
  </si>
  <si>
    <t>ST610146</t>
  </si>
  <si>
    <t>WS6111162</t>
  </si>
  <si>
    <t>SUSK1012126000</t>
  </si>
  <si>
    <t>ST610174</t>
  </si>
  <si>
    <t>N61/010407</t>
  </si>
  <si>
    <t>24.5(3724)</t>
  </si>
  <si>
    <t>17.30น 14/11</t>
  </si>
  <si>
    <t>25.5(10625)</t>
  </si>
  <si>
    <t>ST610144</t>
  </si>
  <si>
    <t>362/18090</t>
  </si>
  <si>
    <t>J612264</t>
  </si>
  <si>
    <t>362/18097</t>
  </si>
  <si>
    <t>J612370</t>
  </si>
  <si>
    <t>GL50472X812</t>
  </si>
  <si>
    <t>362/18099</t>
  </si>
  <si>
    <t>J612330</t>
  </si>
  <si>
    <t>GL50512X912</t>
  </si>
  <si>
    <t>362/18093</t>
  </si>
  <si>
    <t>J612358</t>
  </si>
  <si>
    <t>362/18096</t>
  </si>
  <si>
    <t>J612293</t>
  </si>
  <si>
    <t>GL30132X312</t>
  </si>
  <si>
    <t>362/18087</t>
  </si>
  <si>
    <t>362/18088</t>
  </si>
  <si>
    <t>J612162</t>
  </si>
  <si>
    <t>J612294</t>
  </si>
  <si>
    <t>GL30298X908</t>
  </si>
  <si>
    <t>N61/010489</t>
  </si>
  <si>
    <t>24.6(9296)</t>
  </si>
  <si>
    <t>17.00 20/11</t>
  </si>
  <si>
    <t>24.8(5258)</t>
  </si>
  <si>
    <t>N61/010580</t>
  </si>
  <si>
    <t>24.5(7450)</t>
  </si>
  <si>
    <t>WS6111335</t>
  </si>
  <si>
    <t>J612360</t>
  </si>
  <si>
    <t>5เส้น/2850</t>
  </si>
  <si>
    <t>SO23756000</t>
  </si>
  <si>
    <t>3เส้น/700</t>
  </si>
  <si>
    <t>ST610177</t>
  </si>
  <si>
    <t>LPP401763</t>
  </si>
  <si>
    <t>FD5006845</t>
  </si>
  <si>
    <t>ST1610167</t>
  </si>
  <si>
    <t>FD7006845</t>
  </si>
  <si>
    <t>VT6107678</t>
  </si>
  <si>
    <t>17.00น 28/11</t>
  </si>
  <si>
    <t>362/18095</t>
  </si>
  <si>
    <t>J611374</t>
  </si>
  <si>
    <t>GL50512X872</t>
  </si>
  <si>
    <t>J612297</t>
  </si>
  <si>
    <t>362/18092</t>
  </si>
  <si>
    <t>J612298</t>
  </si>
  <si>
    <t>GL50312X512</t>
  </si>
  <si>
    <t>GL30126X141</t>
  </si>
  <si>
    <t>039/1945</t>
  </si>
  <si>
    <t>J612299</t>
  </si>
  <si>
    <t>362/18091</t>
  </si>
  <si>
    <t>039/1942</t>
  </si>
  <si>
    <t>J612401</t>
  </si>
  <si>
    <t>364/18151</t>
  </si>
  <si>
    <t>J612373</t>
  </si>
  <si>
    <t>GL50332X572</t>
  </si>
  <si>
    <t>038/1869</t>
  </si>
  <si>
    <t>J612422</t>
  </si>
  <si>
    <t>GL50612X992</t>
  </si>
  <si>
    <t>J611678</t>
  </si>
  <si>
    <t>OFFICE</t>
  </si>
  <si>
    <t>GL50570X1155</t>
  </si>
  <si>
    <t>J612043</t>
  </si>
  <si>
    <t>GL50402X712</t>
  </si>
  <si>
    <t>J612380</t>
  </si>
  <si>
    <t>GL30323X368</t>
  </si>
  <si>
    <t>J612379</t>
  </si>
  <si>
    <t>GL30233X358</t>
  </si>
  <si>
    <t>ACB7025720</t>
  </si>
  <si>
    <t>ST610185</t>
  </si>
  <si>
    <t>CAH60375</t>
  </si>
  <si>
    <t>DC5022520</t>
  </si>
  <si>
    <t>ST610121</t>
  </si>
  <si>
    <t>ST610175</t>
  </si>
  <si>
    <t>FL40320</t>
  </si>
  <si>
    <t>FL40420</t>
  </si>
  <si>
    <t>ST610183</t>
  </si>
  <si>
    <t>LPPT1.6</t>
  </si>
  <si>
    <t>ST610186</t>
  </si>
  <si>
    <t>WS6112115</t>
  </si>
  <si>
    <t>SF90406000</t>
  </si>
  <si>
    <t>100เส้น/370</t>
  </si>
  <si>
    <t>SR1506000</t>
  </si>
  <si>
    <t>14เส้น/250</t>
  </si>
  <si>
    <t>IV1802049</t>
  </si>
  <si>
    <t>50เส้น/920</t>
  </si>
  <si>
    <t>50เส้น/270</t>
  </si>
  <si>
    <t>N61/011092</t>
  </si>
  <si>
    <t>5734kg(24.5)</t>
  </si>
  <si>
    <t>4492kg(27.8)</t>
  </si>
  <si>
    <t>N61/011120</t>
  </si>
  <si>
    <t>3660kg(27.8)</t>
  </si>
  <si>
    <t>7455kg(24.3)</t>
  </si>
  <si>
    <t>N61/011101</t>
  </si>
  <si>
    <t>13956kg(24.5)</t>
  </si>
  <si>
    <t>N61/011152</t>
  </si>
  <si>
    <t>11564kg(25.30)</t>
  </si>
  <si>
    <t>N61/011155</t>
  </si>
  <si>
    <t>2530kg(25.30)</t>
  </si>
  <si>
    <t>IV6112040</t>
  </si>
  <si>
    <t>200เส้น/52</t>
  </si>
  <si>
    <t>J612437</t>
  </si>
  <si>
    <t>364/18162</t>
  </si>
  <si>
    <t>J612533</t>
  </si>
  <si>
    <t>J612459</t>
  </si>
  <si>
    <t>J612472</t>
  </si>
  <si>
    <t>GL30258x458</t>
  </si>
  <si>
    <t>J612532</t>
  </si>
  <si>
    <t>J612525</t>
  </si>
  <si>
    <t>ST610182</t>
  </si>
  <si>
    <t>FC6845926</t>
  </si>
  <si>
    <t>ACB7025620</t>
  </si>
  <si>
    <t>ACB7025920</t>
  </si>
  <si>
    <t>IV0122968</t>
  </si>
  <si>
    <t>ห้องเก็บวัสดุ</t>
  </si>
  <si>
    <t>SO9010000</t>
  </si>
  <si>
    <t>15เส้น /114</t>
  </si>
  <si>
    <t>ST610162</t>
  </si>
  <si>
    <t>ST610157</t>
  </si>
  <si>
    <t>JJJ4532604</t>
  </si>
  <si>
    <t>ST610184</t>
  </si>
  <si>
    <t>CV187510970</t>
  </si>
  <si>
    <t>ST610176</t>
  </si>
  <si>
    <t>039/1941</t>
  </si>
  <si>
    <t>J612535</t>
  </si>
  <si>
    <t>J612528</t>
  </si>
  <si>
    <t>J612523</t>
  </si>
  <si>
    <t>J612458</t>
  </si>
  <si>
    <t>GL50412x827</t>
  </si>
  <si>
    <t>โต๊ะพี่ฉลวย</t>
  </si>
  <si>
    <t>GL50645x1205</t>
  </si>
  <si>
    <t>J612534</t>
  </si>
  <si>
    <t>GL50362x412</t>
  </si>
  <si>
    <t>ST610172</t>
  </si>
  <si>
    <t>JJJ5032752</t>
  </si>
  <si>
    <t>JJJ5032852</t>
  </si>
  <si>
    <t>JJJ5032952</t>
  </si>
  <si>
    <t>JJH6532804</t>
  </si>
  <si>
    <t>JJH6532854</t>
  </si>
  <si>
    <t>JJJ4532354</t>
  </si>
  <si>
    <t>ST610148</t>
  </si>
  <si>
    <t>JJH6540350</t>
  </si>
  <si>
    <t>WS6112304</t>
  </si>
  <si>
    <t>J612587,stock</t>
  </si>
  <si>
    <t>IV0125182</t>
  </si>
  <si>
    <t>J612582</t>
  </si>
  <si>
    <t>2เส้น/920</t>
  </si>
  <si>
    <t>IV0125243</t>
  </si>
  <si>
    <t>J621463</t>
  </si>
  <si>
    <t>2เส้น/890</t>
  </si>
  <si>
    <t>039/1943</t>
  </si>
  <si>
    <t>GL30132x312</t>
  </si>
  <si>
    <t>360/17985</t>
  </si>
  <si>
    <t>J612558</t>
  </si>
  <si>
    <t>GL30308x428</t>
  </si>
  <si>
    <t>J612542</t>
  </si>
  <si>
    <t>GL50462x512</t>
  </si>
  <si>
    <t>J612599</t>
  </si>
  <si>
    <t>GL50458x708</t>
  </si>
  <si>
    <t>J612575</t>
  </si>
  <si>
    <t>GL50462x712</t>
  </si>
  <si>
    <t>J612577</t>
  </si>
  <si>
    <t>GL50512x922</t>
  </si>
  <si>
    <t>J612600</t>
  </si>
  <si>
    <t>GL50547x812</t>
  </si>
  <si>
    <t>J612573</t>
  </si>
  <si>
    <t>GL50312x442</t>
  </si>
  <si>
    <t>364/18176</t>
  </si>
  <si>
    <t>J612574</t>
  </si>
  <si>
    <t>WS6112361</t>
  </si>
  <si>
    <t>ST610191</t>
  </si>
  <si>
    <t>ST610193</t>
  </si>
  <si>
    <t>ST610194</t>
  </si>
  <si>
    <t>CBA725280</t>
  </si>
  <si>
    <t>ST610195</t>
  </si>
  <si>
    <t>ST610190</t>
  </si>
  <si>
    <t>ST610192</t>
  </si>
  <si>
    <t>FC8045720</t>
  </si>
  <si>
    <t>LPP401888</t>
  </si>
  <si>
    <t>WS6112430</t>
  </si>
  <si>
    <t>5เส้น/370</t>
  </si>
  <si>
    <t>ST610136</t>
  </si>
  <si>
    <t>CBC220100</t>
  </si>
  <si>
    <t>58เส้น/370</t>
  </si>
  <si>
    <t>CBC330140</t>
  </si>
  <si>
    <t>CBC280100</t>
  </si>
  <si>
    <t>CBC17080</t>
  </si>
  <si>
    <t>ST610158</t>
  </si>
  <si>
    <t>LPP29045</t>
  </si>
  <si>
    <t>J612606</t>
  </si>
  <si>
    <t>GL50612x1112</t>
  </si>
  <si>
    <t>IV6201019</t>
  </si>
  <si>
    <t>J612616</t>
  </si>
  <si>
    <t>004/00170</t>
  </si>
  <si>
    <t>J612490</t>
  </si>
  <si>
    <t>GLN60190x290</t>
  </si>
  <si>
    <t>WS6201036</t>
  </si>
  <si>
    <t>J612664</t>
  </si>
  <si>
    <t>SUSL50406000</t>
  </si>
  <si>
    <t>1เส้น/1700</t>
  </si>
  <si>
    <t>IV19010075</t>
  </si>
  <si>
    <t>00035/19</t>
  </si>
  <si>
    <t>SUS3015253050</t>
  </si>
  <si>
    <t>00036/191</t>
  </si>
  <si>
    <t>J612644</t>
  </si>
  <si>
    <t>IV6200104</t>
  </si>
  <si>
    <t>สยามสตีล กังวาไนซิ่ง</t>
  </si>
  <si>
    <t>CHAIR-HDG</t>
  </si>
  <si>
    <t>pcs</t>
  </si>
  <si>
    <t>TABLE-HDG</t>
  </si>
  <si>
    <t>IV1900047</t>
  </si>
  <si>
    <t>ST620003</t>
  </si>
  <si>
    <t>CV997210100</t>
  </si>
  <si>
    <t>CV997210110</t>
  </si>
  <si>
    <t>CV9972250100</t>
  </si>
  <si>
    <t>CV570157500</t>
  </si>
  <si>
    <t>N62/000409</t>
  </si>
  <si>
    <t>2802kg(24)</t>
  </si>
  <si>
    <t>IV6201082</t>
  </si>
  <si>
    <t>แผนกสี</t>
  </si>
  <si>
    <t>J612374</t>
  </si>
  <si>
    <t>GL50712x812</t>
  </si>
  <si>
    <t>J620005</t>
  </si>
  <si>
    <t>GL50262x462</t>
  </si>
  <si>
    <t>J612651</t>
  </si>
  <si>
    <t>GL50312x662</t>
  </si>
  <si>
    <t>365/18205</t>
  </si>
  <si>
    <t>J612652</t>
  </si>
  <si>
    <t>GL50362x662</t>
  </si>
  <si>
    <t>IV0126331</t>
  </si>
  <si>
    <t>J620014</t>
  </si>
  <si>
    <t>450/เส้น</t>
  </si>
  <si>
    <t>ST620005</t>
  </si>
  <si>
    <t>DC50221020</t>
  </si>
  <si>
    <t>ST620006</t>
  </si>
  <si>
    <t>N62/000769</t>
  </si>
  <si>
    <t>4650(25.0)</t>
  </si>
  <si>
    <t>N62/000768</t>
  </si>
  <si>
    <t>J620108</t>
  </si>
  <si>
    <t>SPC0812202440</t>
  </si>
  <si>
    <t>2520(24.5)</t>
  </si>
  <si>
    <t>N62/000710</t>
  </si>
  <si>
    <t>9312(24.20)</t>
  </si>
  <si>
    <t>2390(25.0)</t>
  </si>
  <si>
    <t>N62/000711</t>
  </si>
  <si>
    <t>7450(24.0)</t>
  </si>
  <si>
    <t>IV1900114</t>
  </si>
  <si>
    <t>50/895</t>
  </si>
  <si>
    <t>50/500</t>
  </si>
  <si>
    <t>366/18260</t>
  </si>
  <si>
    <t>J620007</t>
  </si>
  <si>
    <t>GL30117x117</t>
  </si>
  <si>
    <t>366/18259</t>
  </si>
  <si>
    <t>J620059</t>
  </si>
  <si>
    <t>364/18196</t>
  </si>
  <si>
    <t>J620114</t>
  </si>
  <si>
    <t>GL50512x887</t>
  </si>
  <si>
    <t>364/18193</t>
  </si>
  <si>
    <t>J620057</t>
  </si>
  <si>
    <t>GL50212x412</t>
  </si>
  <si>
    <t>IV6201192</t>
  </si>
  <si>
    <t>J620108+STOCK</t>
  </si>
  <si>
    <t>ST620004</t>
  </si>
  <si>
    <t>ST620007</t>
  </si>
  <si>
    <t>FD11006845</t>
  </si>
  <si>
    <t>IV6202014</t>
  </si>
  <si>
    <t>J620087</t>
  </si>
  <si>
    <t>5เส้น/115</t>
  </si>
  <si>
    <t>10เส้น/30</t>
  </si>
  <si>
    <t>WS6201492</t>
  </si>
  <si>
    <t>5เส้น/2800</t>
  </si>
  <si>
    <t>GL50512x962</t>
  </si>
  <si>
    <t>004/00183</t>
  </si>
  <si>
    <t>J612642</t>
  </si>
  <si>
    <t>GLN60152x232</t>
  </si>
  <si>
    <t>IV6200554</t>
  </si>
  <si>
    <t>ACL212202440</t>
  </si>
  <si>
    <t>IV6201119</t>
  </si>
  <si>
    <t>RE-M102020408</t>
  </si>
  <si>
    <t>N62/001057</t>
  </si>
  <si>
    <t>2800kg/23.5</t>
  </si>
  <si>
    <t>IV6202058</t>
  </si>
  <si>
    <t>5เส้น/950</t>
  </si>
  <si>
    <t>N62/001321</t>
  </si>
  <si>
    <t>2338kg/24.0</t>
  </si>
  <si>
    <t>SPC1608291818</t>
  </si>
  <si>
    <t>18kg/24.0</t>
  </si>
  <si>
    <t>1684kg/24</t>
  </si>
  <si>
    <t>SPC1606291872</t>
  </si>
  <si>
    <t>14kg/24</t>
  </si>
  <si>
    <t>1105kg/24</t>
  </si>
  <si>
    <t>1600kg/24</t>
  </si>
  <si>
    <t>IV1900219</t>
  </si>
  <si>
    <t>N62/001113</t>
  </si>
  <si>
    <t>9320kg/23.5</t>
  </si>
  <si>
    <t>ST620010</t>
  </si>
  <si>
    <t>ST620017</t>
  </si>
  <si>
    <t>368/18356</t>
  </si>
  <si>
    <t>GL30142x142</t>
  </si>
  <si>
    <t>GL30132x132</t>
  </si>
  <si>
    <t>368/18360</t>
  </si>
  <si>
    <t>J620126</t>
  </si>
  <si>
    <t>GL30108x158</t>
  </si>
  <si>
    <t>GL30146x196</t>
  </si>
  <si>
    <t>368/18357</t>
  </si>
  <si>
    <t>J620140</t>
  </si>
  <si>
    <t>GL30208x308</t>
  </si>
  <si>
    <t>368/18353</t>
  </si>
  <si>
    <t>J620069</t>
  </si>
  <si>
    <t>GL50547x1587</t>
  </si>
  <si>
    <t>364/18198</t>
  </si>
  <si>
    <t>J620070</t>
  </si>
  <si>
    <t>365/18208</t>
  </si>
  <si>
    <t>J620067</t>
  </si>
  <si>
    <t>368/18352</t>
  </si>
  <si>
    <t>J620072</t>
  </si>
  <si>
    <t>366/18268</t>
  </si>
  <si>
    <t>J620068,071</t>
  </si>
  <si>
    <t>IV6202100</t>
  </si>
  <si>
    <t>SK12506000</t>
  </si>
  <si>
    <t>4เส้น/290</t>
  </si>
  <si>
    <t>IV0127456</t>
  </si>
  <si>
    <t>J620019+STOCK</t>
  </si>
  <si>
    <t>10เส้น/480</t>
  </si>
  <si>
    <t>IV1900244</t>
  </si>
  <si>
    <t>50เส้น/1165</t>
  </si>
  <si>
    <t>N62/001380</t>
  </si>
  <si>
    <t>11190//23.5</t>
  </si>
  <si>
    <t>14004//23.70</t>
  </si>
  <si>
    <t>WS6202189</t>
  </si>
  <si>
    <t>J620208</t>
  </si>
  <si>
    <t>2เส้น//260</t>
  </si>
  <si>
    <t>ST620008</t>
  </si>
  <si>
    <t>CAB40575</t>
  </si>
  <si>
    <t>CAB401075</t>
  </si>
  <si>
    <t>N62/001711</t>
  </si>
  <si>
    <t>STOCKตู้น้ำมัน</t>
  </si>
  <si>
    <t>9420(23.5)</t>
  </si>
  <si>
    <t>IV6202074</t>
  </si>
  <si>
    <t>ราคารวมค่าตัด 250</t>
  </si>
  <si>
    <t>N62/001556</t>
  </si>
  <si>
    <t>9320(23.5)</t>
  </si>
  <si>
    <t>IV6202057</t>
  </si>
  <si>
    <t>J620092</t>
  </si>
  <si>
    <t>IV6202066</t>
  </si>
  <si>
    <t>VT6200963</t>
  </si>
  <si>
    <t>J620188</t>
  </si>
  <si>
    <t>แสงเมือง</t>
  </si>
  <si>
    <t>IV6202179</t>
  </si>
  <si>
    <t xml:space="preserve">ตู้น้ำมัน </t>
  </si>
  <si>
    <t>60เส้น/28</t>
  </si>
  <si>
    <t>IV6202194</t>
  </si>
  <si>
    <t>J620207</t>
  </si>
  <si>
    <t>177เส้น/280</t>
  </si>
  <si>
    <t>DN6202041</t>
  </si>
  <si>
    <t>J620213</t>
  </si>
  <si>
    <t>วินัยและดนัย อลูมิเนียม</t>
  </si>
  <si>
    <t>IV6202099</t>
  </si>
  <si>
    <t>รวมค่าตัด 200</t>
  </si>
  <si>
    <t>365/18215</t>
  </si>
  <si>
    <t>J620199</t>
  </si>
  <si>
    <t>GL30138x248</t>
  </si>
  <si>
    <t>365/18216</t>
  </si>
  <si>
    <t>J620198</t>
  </si>
  <si>
    <t>GL3088x248</t>
  </si>
  <si>
    <t>367/18339</t>
  </si>
  <si>
    <t>J620076</t>
  </si>
  <si>
    <t>GL30128x268</t>
  </si>
  <si>
    <t>368/18371</t>
  </si>
  <si>
    <t>GL30132x272</t>
  </si>
  <si>
    <t>365/18213</t>
  </si>
  <si>
    <t>J620194</t>
  </si>
  <si>
    <t>369/18402</t>
  </si>
  <si>
    <t>J620184</t>
  </si>
  <si>
    <t>GL50362x712</t>
  </si>
  <si>
    <t>368/18365</t>
  </si>
  <si>
    <t>J620200</t>
  </si>
  <si>
    <t>GL50562x962</t>
  </si>
  <si>
    <t>ST620015</t>
  </si>
  <si>
    <t>JJH6532554</t>
  </si>
  <si>
    <t>ST620009</t>
  </si>
  <si>
    <t>ST620016</t>
  </si>
  <si>
    <t>368/18375</t>
  </si>
  <si>
    <t>J620233</t>
  </si>
  <si>
    <t>GL50362x512</t>
  </si>
  <si>
    <t>368/18364</t>
  </si>
  <si>
    <t>J620183</t>
  </si>
  <si>
    <t>GL50462x762</t>
  </si>
  <si>
    <t>369/18401</t>
  </si>
  <si>
    <t>J620172</t>
  </si>
  <si>
    <t>GL50305x536</t>
  </si>
  <si>
    <t>368/18358</t>
  </si>
  <si>
    <t>368/18355</t>
  </si>
  <si>
    <t>J620160</t>
  </si>
  <si>
    <t>GL50372x912</t>
  </si>
  <si>
    <t>368/18376</t>
  </si>
  <si>
    <t>J620249</t>
  </si>
  <si>
    <t>GL50512x1012</t>
  </si>
  <si>
    <t>368/18367</t>
  </si>
  <si>
    <t>J620220</t>
  </si>
  <si>
    <t>GL50362x442</t>
  </si>
  <si>
    <t>IV6202092</t>
  </si>
  <si>
    <t>6202000240/1</t>
  </si>
  <si>
    <t>IV1900378</t>
  </si>
  <si>
    <t>50เส้น/255</t>
  </si>
  <si>
    <t>IV6202231</t>
  </si>
  <si>
    <t>SRB20x25</t>
  </si>
  <si>
    <t>ม้วน</t>
  </si>
  <si>
    <t>N62/002074</t>
  </si>
  <si>
    <t>14040kg/23.2</t>
  </si>
  <si>
    <t>IV6203011</t>
  </si>
  <si>
    <t>N62-002204</t>
  </si>
  <si>
    <t>7445(23.2)</t>
  </si>
  <si>
    <t>4580(27.5)</t>
  </si>
  <si>
    <t>N62/002280</t>
  </si>
  <si>
    <t>2810(23.2)</t>
  </si>
  <si>
    <t>WS6203061</t>
  </si>
  <si>
    <t>25เส้น/280</t>
  </si>
  <si>
    <t>S02030257</t>
  </si>
  <si>
    <t>12เส้น/280</t>
  </si>
  <si>
    <t>N62/002420</t>
  </si>
  <si>
    <t>14020(23.20)</t>
  </si>
  <si>
    <t>N62/002424</t>
  </si>
  <si>
    <t>SPC-SILICON</t>
  </si>
  <si>
    <t>352(28.0)</t>
  </si>
  <si>
    <t>IV0128582</t>
  </si>
  <si>
    <t>N62/002504</t>
  </si>
  <si>
    <t>1150(28.0)</t>
  </si>
  <si>
    <t>N62/002475</t>
  </si>
  <si>
    <t>3500(33.5)</t>
  </si>
  <si>
    <t>4300(33.5)</t>
  </si>
  <si>
    <t>IV0128753</t>
  </si>
  <si>
    <t>250เส้น/269</t>
  </si>
  <si>
    <t>IV028754</t>
  </si>
  <si>
    <t>368/18379</t>
  </si>
  <si>
    <t>J620263</t>
  </si>
  <si>
    <t>GL30258x508</t>
  </si>
  <si>
    <t>367/18348</t>
  </si>
  <si>
    <t>J620290</t>
  </si>
  <si>
    <t>368/18389</t>
  </si>
  <si>
    <t>J620226</t>
  </si>
  <si>
    <t>368/18385</t>
  </si>
  <si>
    <t>J620289</t>
  </si>
  <si>
    <t>GL30273x293</t>
  </si>
  <si>
    <t>368/18387</t>
  </si>
  <si>
    <t>J620291</t>
  </si>
  <si>
    <t>GL50542x1012</t>
  </si>
  <si>
    <t>370/18451</t>
  </si>
  <si>
    <t>J620335</t>
  </si>
  <si>
    <t>368/18382</t>
  </si>
  <si>
    <t>J620225</t>
  </si>
  <si>
    <t>GL50412x512</t>
  </si>
  <si>
    <t>368/18386</t>
  </si>
  <si>
    <t>J620288</t>
  </si>
  <si>
    <t>GL50492x1152</t>
  </si>
  <si>
    <t>ST620030</t>
  </si>
  <si>
    <t>IV19001473</t>
  </si>
  <si>
    <t>WS6203239</t>
  </si>
  <si>
    <t>J620275</t>
  </si>
  <si>
    <t>IV6203108</t>
  </si>
  <si>
    <t>N62-002752</t>
  </si>
  <si>
    <t>11670(24.6)</t>
  </si>
  <si>
    <t>N62-002753</t>
  </si>
  <si>
    <t>2386(24.6)</t>
  </si>
  <si>
    <t>2792(23.2)</t>
  </si>
  <si>
    <t>ST620035</t>
  </si>
  <si>
    <t>371/18502</t>
  </si>
  <si>
    <t>J620372</t>
  </si>
  <si>
    <t>368/18398</t>
  </si>
  <si>
    <t>J620356</t>
  </si>
  <si>
    <t>371/18501</t>
  </si>
  <si>
    <t>J620342</t>
  </si>
  <si>
    <t>368/18396</t>
  </si>
  <si>
    <t>J620277</t>
  </si>
  <si>
    <t>GL50712x712</t>
  </si>
  <si>
    <t>GL50312x412</t>
  </si>
  <si>
    <t>368/18391</t>
  </si>
  <si>
    <t>J620325</t>
  </si>
  <si>
    <t>368/18397</t>
  </si>
  <si>
    <t>J620375</t>
  </si>
  <si>
    <t>GL50362x492</t>
  </si>
  <si>
    <t>370/18454</t>
  </si>
  <si>
    <t>J620358</t>
  </si>
  <si>
    <t>GL50382x512</t>
  </si>
  <si>
    <t>IV1900545</t>
  </si>
  <si>
    <t>WS6203394</t>
  </si>
  <si>
    <t>SK19506000</t>
  </si>
  <si>
    <t>ST620036</t>
  </si>
  <si>
    <t>ST620032</t>
  </si>
  <si>
    <t>ST620031</t>
  </si>
  <si>
    <t>เอี่ยมฮง</t>
  </si>
  <si>
    <t>IV6203253</t>
  </si>
  <si>
    <t>J620385</t>
  </si>
  <si>
    <t>SK32406000</t>
  </si>
  <si>
    <t>N62/003030</t>
  </si>
  <si>
    <t>IV6203220</t>
  </si>
  <si>
    <t>J6201358,386</t>
  </si>
  <si>
    <t>SK32506000</t>
  </si>
  <si>
    <t>5เส้น/635</t>
  </si>
  <si>
    <t>40เส้น/470</t>
  </si>
  <si>
    <t>SK3275456000</t>
  </si>
  <si>
    <t>10เส้น/805</t>
  </si>
  <si>
    <t>SK32756000</t>
  </si>
  <si>
    <t>4เส้น/1010</t>
  </si>
  <si>
    <t>IV0129376</t>
  </si>
  <si>
    <t>โรงเรือน</t>
  </si>
  <si>
    <t>IV6203141</t>
  </si>
  <si>
    <t>J620363</t>
  </si>
  <si>
    <t>รวมค่าตัด 250</t>
  </si>
  <si>
    <t>INV2019030171</t>
  </si>
  <si>
    <t xml:space="preserve">สตีล เมทัล </t>
  </si>
  <si>
    <t>SCT1</t>
  </si>
  <si>
    <t>N62-003201</t>
  </si>
  <si>
    <t>584(28)</t>
  </si>
  <si>
    <t>N62-003417</t>
  </si>
  <si>
    <t>9324(23.4)</t>
  </si>
  <si>
    <t>N62-003234</t>
  </si>
  <si>
    <t>3660(27.5)</t>
  </si>
  <si>
    <t>1เส้น/710</t>
  </si>
  <si>
    <t>IV6201899</t>
  </si>
  <si>
    <t>IV6204039</t>
  </si>
  <si>
    <t>J620474</t>
  </si>
  <si>
    <t>SK2075386000</t>
  </si>
  <si>
    <t>6เส้น /480</t>
  </si>
  <si>
    <t>WS6204077</t>
  </si>
  <si>
    <t>J620232</t>
  </si>
  <si>
    <t>SUSM1012202440</t>
  </si>
  <si>
    <t>WS6204097</t>
  </si>
  <si>
    <t>20เส้น/33</t>
  </si>
  <si>
    <t>IV1900613</t>
  </si>
  <si>
    <t>50เส้น/400</t>
  </si>
  <si>
    <t>N62-003466</t>
  </si>
  <si>
    <t>7465(23.2)</t>
  </si>
  <si>
    <t>4560(27.5)</t>
  </si>
  <si>
    <t>371/18525</t>
  </si>
  <si>
    <t>J620389</t>
  </si>
  <si>
    <t>GL30238x358</t>
  </si>
  <si>
    <t>371/18522</t>
  </si>
  <si>
    <t>J620451</t>
  </si>
  <si>
    <t>371/18459</t>
  </si>
  <si>
    <t>J620399</t>
  </si>
  <si>
    <t>GL50412x712</t>
  </si>
  <si>
    <t>371/18521</t>
  </si>
  <si>
    <t>J620352</t>
  </si>
  <si>
    <t>GL5088x263</t>
  </si>
  <si>
    <t>368/18399</t>
  </si>
  <si>
    <t>J620357</t>
  </si>
  <si>
    <t>GL50482x612</t>
  </si>
  <si>
    <t>371/18523</t>
  </si>
  <si>
    <t>J620431</t>
  </si>
  <si>
    <t>GL50422x562</t>
  </si>
  <si>
    <t>371/18504</t>
  </si>
  <si>
    <t>J620398</t>
  </si>
  <si>
    <t>GL50432x632</t>
  </si>
  <si>
    <t>IV19040104</t>
  </si>
  <si>
    <t>N62-003569</t>
  </si>
  <si>
    <t>10600(24.0)</t>
  </si>
  <si>
    <t>ST620041</t>
  </si>
  <si>
    <t>ST620042</t>
  </si>
  <si>
    <t>ST620029</t>
  </si>
  <si>
    <t>IV6204073</t>
  </si>
  <si>
    <t>J620345</t>
  </si>
  <si>
    <t>170เส้น/295</t>
  </si>
  <si>
    <t>IV6204033</t>
  </si>
  <si>
    <t>N62/003736</t>
  </si>
  <si>
    <t>468(28)</t>
  </si>
  <si>
    <t>N62/003735</t>
  </si>
  <si>
    <t>117(28)</t>
  </si>
  <si>
    <t>N62/003642</t>
  </si>
  <si>
    <t>6204000519/1</t>
  </si>
  <si>
    <t>10420(23.2)</t>
  </si>
  <si>
    <t>IV1900683</t>
  </si>
  <si>
    <t>48ส้น/880</t>
  </si>
  <si>
    <t>ST620028</t>
  </si>
  <si>
    <t>JJH6540325</t>
  </si>
  <si>
    <t>SR6200009</t>
  </si>
  <si>
    <t>ลดหนี้</t>
  </si>
  <si>
    <t>ใบลดหนี้</t>
  </si>
  <si>
    <t>ST620034</t>
  </si>
  <si>
    <t>ST620033</t>
  </si>
  <si>
    <t>371-18530</t>
  </si>
  <si>
    <t>J620514</t>
  </si>
  <si>
    <t>371-18528</t>
  </si>
  <si>
    <t>J620505</t>
  </si>
  <si>
    <t>J620550</t>
  </si>
  <si>
    <t>GL50362x582</t>
  </si>
  <si>
    <t>IV6204145</t>
  </si>
  <si>
    <t>SR604000</t>
  </si>
  <si>
    <t>10เส้น/35บาท</t>
  </si>
  <si>
    <t>ST620046</t>
  </si>
  <si>
    <t>MA695305</t>
  </si>
  <si>
    <t>MA895305</t>
  </si>
  <si>
    <t>MA995305</t>
  </si>
  <si>
    <t>ST620047</t>
  </si>
  <si>
    <t>MB695175</t>
  </si>
  <si>
    <t>MB895175</t>
  </si>
  <si>
    <t>MB995175</t>
  </si>
  <si>
    <t>ST620044</t>
  </si>
  <si>
    <t>ST620038</t>
  </si>
  <si>
    <t>ST620039</t>
  </si>
  <si>
    <t>ST620037</t>
  </si>
  <si>
    <t>ST620020</t>
  </si>
  <si>
    <t>ST620024</t>
  </si>
  <si>
    <t>ST620048</t>
  </si>
  <si>
    <t>ST620022</t>
  </si>
  <si>
    <t>ST620021</t>
  </si>
  <si>
    <t>CAB40875</t>
  </si>
  <si>
    <t>IV1900716</t>
  </si>
  <si>
    <t>6204000612/1</t>
  </si>
  <si>
    <t>50เส้น/500</t>
  </si>
  <si>
    <t>IV6204191</t>
  </si>
  <si>
    <t>J620320</t>
  </si>
  <si>
    <t>SUSL95756000</t>
  </si>
  <si>
    <t>DN6204084</t>
  </si>
  <si>
    <t>N62/004172</t>
  </si>
  <si>
    <t>J620660</t>
  </si>
  <si>
    <t>11670(23.2)</t>
  </si>
  <si>
    <t>DN6205002</t>
  </si>
  <si>
    <t>GLN60250x600</t>
  </si>
  <si>
    <t>ST620025</t>
  </si>
  <si>
    <t>JJH6532704</t>
  </si>
  <si>
    <t>ST620040</t>
  </si>
  <si>
    <t>ST620056</t>
  </si>
  <si>
    <t>ST620045</t>
  </si>
  <si>
    <t>ST620023</t>
  </si>
  <si>
    <t>N62/004379</t>
  </si>
  <si>
    <t>11200(23.2)</t>
  </si>
  <si>
    <t>N62/004158</t>
  </si>
  <si>
    <t>N62/004256</t>
  </si>
  <si>
    <t>IV1900802</t>
  </si>
  <si>
    <t>100(255)</t>
  </si>
  <si>
    <t>IV6205017</t>
  </si>
  <si>
    <t>470(280)</t>
  </si>
  <si>
    <t>ST620054</t>
  </si>
  <si>
    <t>ST620049</t>
  </si>
  <si>
    <t>FC6845725</t>
  </si>
  <si>
    <t>ST620051</t>
  </si>
  <si>
    <t>CBB514140</t>
  </si>
  <si>
    <t>ST620055</t>
  </si>
  <si>
    <t>ST620053</t>
  </si>
  <si>
    <t>ST620050</t>
  </si>
  <si>
    <t>PE345450</t>
  </si>
  <si>
    <t>004-00196</t>
  </si>
  <si>
    <t>sTOCK</t>
  </si>
  <si>
    <t>N62-004402</t>
  </si>
  <si>
    <t>IV6205055</t>
  </si>
  <si>
    <t>200เส้น 52.-</t>
  </si>
  <si>
    <t>5เส้น 2410</t>
  </si>
  <si>
    <t>IV1900807</t>
  </si>
  <si>
    <t>371-18533</t>
  </si>
  <si>
    <t>J620632</t>
  </si>
  <si>
    <t>GL30108x348</t>
  </si>
  <si>
    <t>371-18534</t>
  </si>
  <si>
    <t>J620657</t>
  </si>
  <si>
    <t>J620658</t>
  </si>
  <si>
    <t>GL30108x208</t>
  </si>
  <si>
    <t>371-18531</t>
  </si>
  <si>
    <t>J620580</t>
  </si>
  <si>
    <t>GL30321x552</t>
  </si>
  <si>
    <t>369-18423</t>
  </si>
  <si>
    <t>J620590</t>
  </si>
  <si>
    <t>369-18425</t>
  </si>
  <si>
    <t>J620493</t>
  </si>
  <si>
    <t>GL30228x258</t>
  </si>
  <si>
    <t>ST620057</t>
  </si>
  <si>
    <t>JJJ729X45X32T3</t>
  </si>
  <si>
    <t>ST620052</t>
  </si>
  <si>
    <t>ST620026</t>
  </si>
  <si>
    <t>IV1900846</t>
  </si>
  <si>
    <t>IV1900845</t>
  </si>
  <si>
    <t>IV6205095</t>
  </si>
  <si>
    <t>371-18550</t>
  </si>
  <si>
    <t>J620705</t>
  </si>
  <si>
    <t>GL50254x514</t>
  </si>
  <si>
    <t>371-18547</t>
  </si>
  <si>
    <t>J620700</t>
  </si>
  <si>
    <t>GL50514x1014</t>
  </si>
  <si>
    <t>371-18536</t>
  </si>
  <si>
    <t>J620527</t>
  </si>
  <si>
    <t>GL50314x614</t>
  </si>
  <si>
    <t>371-18537</t>
  </si>
  <si>
    <t>J620694</t>
  </si>
  <si>
    <t>371-18541</t>
  </si>
  <si>
    <t>J620641</t>
  </si>
  <si>
    <t>GL50224x514</t>
  </si>
  <si>
    <t>GL50224x414</t>
  </si>
  <si>
    <t>371-18579</t>
  </si>
  <si>
    <t>J620715</t>
  </si>
  <si>
    <t>GL50414x574</t>
  </si>
  <si>
    <t>N62/004898</t>
  </si>
  <si>
    <t>13980(23.4)</t>
  </si>
  <si>
    <t>N62-004909</t>
  </si>
  <si>
    <t>9136(27.5)</t>
  </si>
  <si>
    <t>IV19050219</t>
  </si>
  <si>
    <t>J620765</t>
  </si>
  <si>
    <t>IV6205088</t>
  </si>
  <si>
    <t>IV1900916</t>
  </si>
  <si>
    <t>J620687</t>
  </si>
  <si>
    <t>5เส้น 100</t>
  </si>
  <si>
    <t>2เส้น180</t>
  </si>
  <si>
    <t>IV1900906</t>
  </si>
  <si>
    <t>IV1900907</t>
  </si>
  <si>
    <t>373-18603</t>
  </si>
  <si>
    <t>J620699</t>
  </si>
  <si>
    <t>373-18604</t>
  </si>
  <si>
    <t>J620698</t>
  </si>
  <si>
    <t>373-18609</t>
  </si>
  <si>
    <t>J620618</t>
  </si>
  <si>
    <t>GL30164x364</t>
  </si>
  <si>
    <t>GL30264x264</t>
  </si>
  <si>
    <t>371-18544</t>
  </si>
  <si>
    <t>GL30134x134</t>
  </si>
  <si>
    <t>GL50314x514</t>
  </si>
  <si>
    <t>371-18539</t>
  </si>
  <si>
    <t>J620529</t>
  </si>
  <si>
    <t>GL50564x714</t>
  </si>
  <si>
    <t>WS6205559</t>
  </si>
  <si>
    <t>J620770</t>
  </si>
  <si>
    <t>SUSO12356000</t>
  </si>
  <si>
    <t>ST620073</t>
  </si>
  <si>
    <t>CBA625220</t>
  </si>
  <si>
    <t>IV6206009</t>
  </si>
  <si>
    <t>VT6102188</t>
  </si>
  <si>
    <t>ST620076</t>
  </si>
  <si>
    <t>N62/005335</t>
  </si>
  <si>
    <t>6205000805/1</t>
  </si>
  <si>
    <t>N62/005448</t>
  </si>
  <si>
    <t>N62/005336</t>
  </si>
  <si>
    <t>N62/005337</t>
  </si>
  <si>
    <t>ST620083</t>
  </si>
  <si>
    <t>ST620085</t>
  </si>
  <si>
    <t>ST620071</t>
  </si>
  <si>
    <t>DC5022420</t>
  </si>
  <si>
    <t>ST620084</t>
  </si>
  <si>
    <t>IV1901038</t>
  </si>
  <si>
    <t>IV1901014</t>
  </si>
  <si>
    <t>VT6203616</t>
  </si>
  <si>
    <t>IV6206038</t>
  </si>
  <si>
    <t>J620417</t>
  </si>
  <si>
    <t>SK1275406000</t>
  </si>
  <si>
    <t>IV6206087</t>
  </si>
  <si>
    <t>373-18632</t>
  </si>
  <si>
    <t>J620877</t>
  </si>
  <si>
    <t>373-18621</t>
  </si>
  <si>
    <t>J620791</t>
  </si>
  <si>
    <t>GL30224x254</t>
  </si>
  <si>
    <t>373-18622</t>
  </si>
  <si>
    <t>J620780</t>
  </si>
  <si>
    <t>GL3094x254</t>
  </si>
  <si>
    <t>373-18630</t>
  </si>
  <si>
    <t>J620802</t>
  </si>
  <si>
    <t>GL30364x464</t>
  </si>
  <si>
    <t>GL501129x1204</t>
  </si>
  <si>
    <t>373-18623</t>
  </si>
  <si>
    <t>J620820</t>
  </si>
  <si>
    <t>GL50214x514</t>
  </si>
  <si>
    <t>373-18626</t>
  </si>
  <si>
    <t>J620845</t>
  </si>
  <si>
    <t>GL50374x394</t>
  </si>
  <si>
    <t>ST620080</t>
  </si>
  <si>
    <t>ST620074</t>
  </si>
  <si>
    <t>ST620075</t>
  </si>
  <si>
    <t>CBB514170</t>
  </si>
  <si>
    <t>ST620082</t>
  </si>
  <si>
    <t>ST620081</t>
  </si>
  <si>
    <t>ST620072</t>
  </si>
  <si>
    <t>ST620088</t>
  </si>
  <si>
    <t>ST620087</t>
  </si>
  <si>
    <t>ST620086</t>
  </si>
  <si>
    <t>ST620092</t>
  </si>
  <si>
    <t>ST620090</t>
  </si>
  <si>
    <t>005-00208</t>
  </si>
  <si>
    <t>J620913</t>
  </si>
  <si>
    <t>N61/010954</t>
  </si>
  <si>
    <t>12784(24.5)</t>
  </si>
  <si>
    <t>N61/010971</t>
  </si>
  <si>
    <t>20994(24.5)</t>
  </si>
  <si>
    <t>N61/010926</t>
  </si>
  <si>
    <t>12804(24.5)</t>
  </si>
  <si>
    <t>N61/010943</t>
  </si>
  <si>
    <t>12996(24.5)</t>
  </si>
  <si>
    <t>N61/010917</t>
  </si>
  <si>
    <t>22417(24.4)</t>
  </si>
  <si>
    <t>12985(24.5)</t>
  </si>
  <si>
    <t>N61/010920</t>
  </si>
  <si>
    <t>12776(24.5)</t>
  </si>
  <si>
    <t>IV6111057</t>
  </si>
  <si>
    <t>J612117,2136</t>
  </si>
  <si>
    <t>PVC3012202440</t>
  </si>
  <si>
    <t>IV1901172</t>
  </si>
  <si>
    <t>WS6206464</t>
  </si>
  <si>
    <t>372-18588</t>
  </si>
  <si>
    <t>J620844</t>
  </si>
  <si>
    <t>GL30109x274</t>
  </si>
  <si>
    <t>372-18589</t>
  </si>
  <si>
    <t>J620822</t>
  </si>
  <si>
    <t>373-18636</t>
  </si>
  <si>
    <t>J620911</t>
  </si>
  <si>
    <t>GL30208x208</t>
  </si>
  <si>
    <t>373-18637</t>
  </si>
  <si>
    <t>373-18642</t>
  </si>
  <si>
    <t>J620958</t>
  </si>
  <si>
    <t>GL30214x214</t>
  </si>
  <si>
    <t>373-18639</t>
  </si>
  <si>
    <t>J620891</t>
  </si>
  <si>
    <t>GL50514x764</t>
  </si>
  <si>
    <t>IV0005957</t>
  </si>
  <si>
    <t>เอเซียลวดตาข่าย</t>
  </si>
  <si>
    <t>SPHXS041018</t>
  </si>
  <si>
    <t>ตร.ม</t>
  </si>
  <si>
    <t>SPHXS03751100</t>
  </si>
  <si>
    <t>SPHXS0921120</t>
  </si>
  <si>
    <t>SPHXS0851100</t>
  </si>
  <si>
    <t>SPHXS0850900</t>
  </si>
  <si>
    <t>004-00176</t>
  </si>
  <si>
    <t>J612643</t>
  </si>
  <si>
    <t>J6124717</t>
  </si>
  <si>
    <t>SK12306000</t>
  </si>
  <si>
    <t>J620996</t>
  </si>
  <si>
    <t>เมธาเมทัล</t>
  </si>
  <si>
    <t>SUS806000</t>
  </si>
  <si>
    <t>N62-006349</t>
  </si>
  <si>
    <t>11180(22.9)</t>
  </si>
  <si>
    <t>IV6206263</t>
  </si>
  <si>
    <t>8เส้น 90</t>
  </si>
  <si>
    <t>ST620089</t>
  </si>
  <si>
    <t>ST620099</t>
  </si>
  <si>
    <t>ST620091</t>
  </si>
  <si>
    <t>ST620097</t>
  </si>
  <si>
    <t>ST620098</t>
  </si>
  <si>
    <t>ST620078</t>
  </si>
  <si>
    <t>MB595175</t>
  </si>
  <si>
    <t>ST620077</t>
  </si>
  <si>
    <t>MA595305</t>
  </si>
  <si>
    <t>ST620070</t>
  </si>
  <si>
    <t>IV1901241</t>
  </si>
  <si>
    <t>IV1901247</t>
  </si>
  <si>
    <t>865/เส้น</t>
  </si>
  <si>
    <t>2490/เส้น</t>
  </si>
  <si>
    <t>5070/เส้น</t>
  </si>
  <si>
    <t>VT6204184</t>
  </si>
  <si>
    <t>369-18440</t>
  </si>
  <si>
    <t>376-18751</t>
  </si>
  <si>
    <t>J621047</t>
  </si>
  <si>
    <t>373-18649</t>
  </si>
  <si>
    <t>J620967</t>
  </si>
  <si>
    <t>GL50364x714</t>
  </si>
  <si>
    <t>GL50314x1114</t>
  </si>
  <si>
    <t>373-18646</t>
  </si>
  <si>
    <t>J620966</t>
  </si>
  <si>
    <t>GL50414x714</t>
  </si>
  <si>
    <t>373-18641</t>
  </si>
  <si>
    <t>J620927</t>
  </si>
  <si>
    <t>GL50264x314</t>
  </si>
  <si>
    <t>373-18650</t>
  </si>
  <si>
    <t>J621022</t>
  </si>
  <si>
    <t>GL50514x914</t>
  </si>
  <si>
    <t>6207S2</t>
  </si>
  <si>
    <t>IV6207034</t>
  </si>
  <si>
    <t>ST620068</t>
  </si>
  <si>
    <t>ST620096</t>
  </si>
  <si>
    <t>ST620095</t>
  </si>
  <si>
    <t>N62-006445</t>
  </si>
  <si>
    <t>1881(23.1)</t>
  </si>
  <si>
    <t>N62-006444</t>
  </si>
  <si>
    <t>14000(24.3)</t>
  </si>
  <si>
    <t>ST620104</t>
  </si>
  <si>
    <t>N62-006739</t>
  </si>
  <si>
    <t>9174(27.2)</t>
  </si>
  <si>
    <t>DN6207087</t>
  </si>
  <si>
    <t>ขาย QTC</t>
  </si>
  <si>
    <t>005-00220</t>
  </si>
  <si>
    <t>ST620069</t>
  </si>
  <si>
    <t>376-18760</t>
  </si>
  <si>
    <t>J621093</t>
  </si>
  <si>
    <t>375-18706</t>
  </si>
  <si>
    <t>J621059</t>
  </si>
  <si>
    <t>GL50514x964</t>
  </si>
  <si>
    <t>376-18759</t>
  </si>
  <si>
    <t>J621053</t>
  </si>
  <si>
    <t>GL50234x334</t>
  </si>
  <si>
    <t>376-18754</t>
  </si>
  <si>
    <t>J620920</t>
  </si>
  <si>
    <t>GL50164x1044</t>
  </si>
  <si>
    <t>GL50164x1398</t>
  </si>
  <si>
    <t>376-18755</t>
  </si>
  <si>
    <t>J621055</t>
  </si>
  <si>
    <t>GL50414x664</t>
  </si>
  <si>
    <t>376-18753</t>
  </si>
  <si>
    <t>J620969</t>
  </si>
  <si>
    <t>GL50414x514</t>
  </si>
  <si>
    <t>GL50514x864</t>
  </si>
  <si>
    <t>373-18648</t>
  </si>
  <si>
    <t>J620968</t>
  </si>
  <si>
    <t>GL30339x464</t>
  </si>
  <si>
    <t>ST620108</t>
  </si>
  <si>
    <t>IV6207111</t>
  </si>
  <si>
    <t>1270/เส้น</t>
  </si>
  <si>
    <t>SUSF30506000</t>
  </si>
  <si>
    <t>550/เส้น</t>
  </si>
  <si>
    <t>IV6207128</t>
  </si>
  <si>
    <t>145/เส้น</t>
  </si>
  <si>
    <t>ST6220107</t>
  </si>
  <si>
    <t>ST620102</t>
  </si>
  <si>
    <t>ST620112</t>
  </si>
  <si>
    <t>ST620113</t>
  </si>
  <si>
    <t>IV6207152</t>
  </si>
  <si>
    <t>J621949</t>
  </si>
  <si>
    <t>IV1901388</t>
  </si>
  <si>
    <t>250/เส้น</t>
  </si>
  <si>
    <t>N62-007071</t>
  </si>
  <si>
    <t>4732(22.7)</t>
  </si>
  <si>
    <t>ST620111</t>
  </si>
  <si>
    <t>ST620114</t>
  </si>
  <si>
    <t>IV6207220</t>
  </si>
  <si>
    <t>IV6207103</t>
  </si>
  <si>
    <t>376-18775</t>
  </si>
  <si>
    <t>J621200</t>
  </si>
  <si>
    <t>374-18669</t>
  </si>
  <si>
    <t>376-18757</t>
  </si>
  <si>
    <t>J621097</t>
  </si>
  <si>
    <t>GL30164x314</t>
  </si>
  <si>
    <t>376-18765</t>
  </si>
  <si>
    <t>J621071</t>
  </si>
  <si>
    <t>376-18768</t>
  </si>
  <si>
    <t>J621177</t>
  </si>
  <si>
    <t>GL3094x244</t>
  </si>
  <si>
    <t>376-18773</t>
  </si>
  <si>
    <t>J621171</t>
  </si>
  <si>
    <t>GL50452x632</t>
  </si>
  <si>
    <t>376-18771</t>
  </si>
  <si>
    <t>GL50320x1062</t>
  </si>
  <si>
    <t>376-18707</t>
  </si>
  <si>
    <t>J621104</t>
  </si>
  <si>
    <t>374-18681</t>
  </si>
  <si>
    <t>J621136</t>
  </si>
  <si>
    <t>GL50444x574</t>
  </si>
  <si>
    <t>376-18772</t>
  </si>
  <si>
    <t>J621170</t>
  </si>
  <si>
    <t>GL50434x634</t>
  </si>
  <si>
    <t>ST6200106</t>
  </si>
  <si>
    <t>ST620101</t>
  </si>
  <si>
    <t>R620025</t>
  </si>
  <si>
    <t>IV1901467</t>
  </si>
  <si>
    <t>IV1901468</t>
  </si>
  <si>
    <t>IV1901469</t>
  </si>
  <si>
    <t>510/เส้น</t>
  </si>
  <si>
    <t>IV1901470</t>
  </si>
  <si>
    <t>IV1901471</t>
  </si>
  <si>
    <t>235/เส้น</t>
  </si>
  <si>
    <t>IV1901472</t>
  </si>
  <si>
    <t>485/เส้น</t>
  </si>
  <si>
    <t>IV1901473</t>
  </si>
  <si>
    <t>375/เส้น</t>
  </si>
  <si>
    <t>N62-007387</t>
  </si>
  <si>
    <t>13986(23.8)</t>
  </si>
  <si>
    <t>IV6208003</t>
  </si>
  <si>
    <t>J621219</t>
  </si>
  <si>
    <t>180/เส้น</t>
  </si>
  <si>
    <t>IV6208004</t>
  </si>
  <si>
    <t>ทำสลักบานประตู</t>
  </si>
  <si>
    <t>52/เส้น</t>
  </si>
  <si>
    <t>IV19070372</t>
  </si>
  <si>
    <t>FCC6845820/4</t>
  </si>
  <si>
    <t>IV6208022</t>
  </si>
  <si>
    <t>SOA28206000</t>
  </si>
  <si>
    <t>560/เส้น</t>
  </si>
  <si>
    <t>2390/เส้น</t>
  </si>
  <si>
    <t>IV6208002</t>
  </si>
  <si>
    <t>J621216</t>
  </si>
  <si>
    <t>ST620109</t>
  </si>
  <si>
    <t>ST620115</t>
  </si>
  <si>
    <t>ST620118</t>
  </si>
  <si>
    <t>N62-007430</t>
  </si>
  <si>
    <t>7085(22.7)</t>
  </si>
  <si>
    <t>N62-007431</t>
  </si>
  <si>
    <t>N62-007432</t>
  </si>
  <si>
    <t>2795(22.6)</t>
  </si>
  <si>
    <t>N62-007429</t>
  </si>
  <si>
    <t>1190(22.6)</t>
  </si>
  <si>
    <t>IV6204274</t>
  </si>
  <si>
    <t>ST620125</t>
  </si>
  <si>
    <t>ST620127</t>
  </si>
  <si>
    <t>FC8045820</t>
  </si>
  <si>
    <t>ST620110</t>
  </si>
  <si>
    <t>ST620120</t>
  </si>
  <si>
    <t>ST620142</t>
  </si>
  <si>
    <t>ST620140</t>
  </si>
  <si>
    <t>N62-007689</t>
  </si>
  <si>
    <t>J621253</t>
  </si>
  <si>
    <t>SEG1012202440</t>
  </si>
  <si>
    <t>2500KG(26)</t>
  </si>
  <si>
    <t>376-18779</t>
  </si>
  <si>
    <t>376-18778</t>
  </si>
  <si>
    <t>376-18781</t>
  </si>
  <si>
    <t>J621203</t>
  </si>
  <si>
    <t>GL50439x854</t>
  </si>
  <si>
    <t>376-18780</t>
  </si>
  <si>
    <t>J621248</t>
  </si>
  <si>
    <t>GL50394x714</t>
  </si>
  <si>
    <t>376-18784</t>
  </si>
  <si>
    <t>J621226</t>
  </si>
  <si>
    <t>GL50514x614</t>
  </si>
  <si>
    <t>3575-18714</t>
  </si>
  <si>
    <t>GL30327x558</t>
  </si>
  <si>
    <t>ST620116</t>
  </si>
  <si>
    <t>ST620141</t>
  </si>
  <si>
    <t>ST620121</t>
  </si>
  <si>
    <t>ST620117</t>
  </si>
  <si>
    <t>ST620135</t>
  </si>
  <si>
    <t>ST620139</t>
  </si>
  <si>
    <t>ST620136</t>
  </si>
  <si>
    <t>ST620137</t>
  </si>
  <si>
    <t>JJH6532404</t>
  </si>
  <si>
    <t>ST620119</t>
  </si>
  <si>
    <t>ST620143</t>
  </si>
  <si>
    <t>ST620100</t>
  </si>
  <si>
    <t>ST620129</t>
  </si>
  <si>
    <t>ST620128</t>
  </si>
  <si>
    <t>376-18791</t>
  </si>
  <si>
    <t>J621335</t>
  </si>
  <si>
    <t>GL30264x284</t>
  </si>
  <si>
    <t>376-18787</t>
  </si>
  <si>
    <t>J621237</t>
  </si>
  <si>
    <t>GL30209x314</t>
  </si>
  <si>
    <t>375-18718</t>
  </si>
  <si>
    <t>376-18790</t>
  </si>
  <si>
    <t>J621317</t>
  </si>
  <si>
    <t>GL50404x614</t>
  </si>
  <si>
    <t>375-18720</t>
  </si>
  <si>
    <t>J621268</t>
  </si>
  <si>
    <t>GL50284x564</t>
  </si>
  <si>
    <t>375-18719</t>
  </si>
  <si>
    <t>J621232</t>
  </si>
  <si>
    <t>GL50114x264</t>
  </si>
  <si>
    <t>GL50264x364</t>
  </si>
  <si>
    <t>IV1901647</t>
  </si>
  <si>
    <t>860/เส้น</t>
  </si>
  <si>
    <t>980/เส้น</t>
  </si>
  <si>
    <t>ST620138</t>
  </si>
  <si>
    <t>AC-TBT1.6</t>
  </si>
  <si>
    <t>IV6209005</t>
  </si>
  <si>
    <t>375-18727</t>
  </si>
  <si>
    <t>J621339</t>
  </si>
  <si>
    <t>GL30164x304</t>
  </si>
  <si>
    <t>376-18788</t>
  </si>
  <si>
    <t>J621331</t>
  </si>
  <si>
    <t>GL30314x314</t>
  </si>
  <si>
    <t>376-18796</t>
  </si>
  <si>
    <t>J621363</t>
  </si>
  <si>
    <t>GL50212x272</t>
  </si>
  <si>
    <t>J621370</t>
  </si>
  <si>
    <t>GL30294x414</t>
  </si>
  <si>
    <t>376-18795</t>
  </si>
  <si>
    <t>J621230</t>
  </si>
  <si>
    <t>IV1901659</t>
  </si>
  <si>
    <t>J621399,1397</t>
  </si>
  <si>
    <t>ST620133</t>
  </si>
  <si>
    <t>FL40720</t>
  </si>
  <si>
    <t>ST620132</t>
  </si>
  <si>
    <t>ST620131</t>
  </si>
  <si>
    <t>IV6208323</t>
  </si>
  <si>
    <t>J621254</t>
  </si>
  <si>
    <t>376-18799</t>
  </si>
  <si>
    <t>J620133</t>
  </si>
  <si>
    <t>376-18794</t>
  </si>
  <si>
    <t>J621346</t>
  </si>
  <si>
    <t>GL50462x662</t>
  </si>
  <si>
    <t>J621354</t>
  </si>
  <si>
    <t>GL30412x562</t>
  </si>
  <si>
    <t>375-18728</t>
  </si>
  <si>
    <t>J621369</t>
  </si>
  <si>
    <t>GL50242x362</t>
  </si>
  <si>
    <t>380-18954</t>
  </si>
  <si>
    <t>GL50110x260</t>
  </si>
  <si>
    <t>376-18800</t>
  </si>
  <si>
    <t>J621341</t>
  </si>
  <si>
    <t>GL50462x812</t>
  </si>
  <si>
    <t>GL50312x532</t>
  </si>
  <si>
    <t>WS6208659</t>
  </si>
  <si>
    <t>ST620150</t>
  </si>
  <si>
    <t>TER150x197/4</t>
  </si>
  <si>
    <t>ST620130</t>
  </si>
  <si>
    <t>ST620106</t>
  </si>
  <si>
    <t>N62-008514</t>
  </si>
  <si>
    <t>5330(23.0)</t>
  </si>
  <si>
    <t>N62-008513</t>
  </si>
  <si>
    <t>3658(26.0)</t>
  </si>
  <si>
    <t>N62-008510</t>
  </si>
  <si>
    <t>1716(22.5)</t>
  </si>
  <si>
    <t>2280(22.50)</t>
  </si>
  <si>
    <t>2490(22.50)</t>
  </si>
  <si>
    <t>1620(22.50)</t>
  </si>
  <si>
    <t>1084(22.50)</t>
  </si>
  <si>
    <t>780(22.50)</t>
  </si>
  <si>
    <t>N62-008512</t>
  </si>
  <si>
    <t>2330(22.220)</t>
  </si>
  <si>
    <t>2750(26.0)</t>
  </si>
  <si>
    <t>N620-008512</t>
  </si>
  <si>
    <t>7455(22.0)</t>
  </si>
  <si>
    <t>4660(22.20)</t>
  </si>
  <si>
    <t>N62-008509</t>
  </si>
  <si>
    <t>11640(22.20)</t>
  </si>
  <si>
    <t>IV6209075</t>
  </si>
  <si>
    <t>IV6209076</t>
  </si>
  <si>
    <t>J621439</t>
  </si>
  <si>
    <t>610/เส้น</t>
  </si>
  <si>
    <t>380-18958</t>
  </si>
  <si>
    <t>J621385</t>
  </si>
  <si>
    <t>GL50614x714</t>
  </si>
  <si>
    <t>380-18959</t>
  </si>
  <si>
    <t>J621441</t>
  </si>
  <si>
    <t>GL50364x754</t>
  </si>
  <si>
    <t>380-18961</t>
  </si>
  <si>
    <t>J621399,</t>
  </si>
  <si>
    <t>GL50144x264</t>
  </si>
  <si>
    <t>380-18960</t>
  </si>
  <si>
    <t>J621456</t>
  </si>
  <si>
    <t>GL50442x572</t>
  </si>
  <si>
    <t>380-18956</t>
  </si>
  <si>
    <t>J621424</t>
  </si>
  <si>
    <t>GL50364x414</t>
  </si>
  <si>
    <t>GL50364x914</t>
  </si>
  <si>
    <t>IV6209130</t>
  </si>
  <si>
    <t>J621472</t>
  </si>
  <si>
    <t>660/เส้น</t>
  </si>
  <si>
    <t>SO231006000</t>
  </si>
  <si>
    <t>840/เส้น</t>
  </si>
  <si>
    <t>IV1901748</t>
  </si>
  <si>
    <t>J621352+STOCK</t>
  </si>
  <si>
    <t>155/เส้น</t>
  </si>
  <si>
    <t xml:space="preserve">850/เส้น </t>
  </si>
  <si>
    <t>1125/เส้น</t>
  </si>
  <si>
    <t>IV6209168</t>
  </si>
  <si>
    <t>J621540</t>
  </si>
  <si>
    <t>IV6209167</t>
  </si>
  <si>
    <t>J621580</t>
  </si>
  <si>
    <t>SUSF50506000</t>
  </si>
  <si>
    <t>900/เส้น</t>
  </si>
  <si>
    <t>380-18968</t>
  </si>
  <si>
    <t>J621493</t>
  </si>
  <si>
    <t>GL30272x372</t>
  </si>
  <si>
    <t>375-18735</t>
  </si>
  <si>
    <t>J621514</t>
  </si>
  <si>
    <t>375-18734</t>
  </si>
  <si>
    <t>J621516</t>
  </si>
  <si>
    <t>GL30277x312</t>
  </si>
  <si>
    <t>380-18955</t>
  </si>
  <si>
    <t>J621425</t>
  </si>
  <si>
    <t>GL50314x364</t>
  </si>
  <si>
    <t>GL50264x514</t>
  </si>
  <si>
    <t>GL50364x464</t>
  </si>
  <si>
    <t>380-18967</t>
  </si>
  <si>
    <t>J621501</t>
  </si>
  <si>
    <t>N62-008895</t>
  </si>
  <si>
    <t>N62-009048</t>
  </si>
  <si>
    <t>J621751</t>
  </si>
  <si>
    <t>ST620134</t>
  </si>
  <si>
    <t>ST620151</t>
  </si>
  <si>
    <t>ST620153</t>
  </si>
  <si>
    <t>005-00237</t>
  </si>
  <si>
    <t>J621555,1521</t>
  </si>
  <si>
    <t>GLN60154x234</t>
  </si>
  <si>
    <t>GLN60264x464</t>
  </si>
  <si>
    <t>IV1901789</t>
  </si>
  <si>
    <t>230/เส้น</t>
  </si>
  <si>
    <t>380-18969</t>
  </si>
  <si>
    <t>380-18970</t>
  </si>
  <si>
    <t>J621557</t>
  </si>
  <si>
    <t>GL30294x304</t>
  </si>
  <si>
    <t>380-18976</t>
  </si>
  <si>
    <t>J621555</t>
  </si>
  <si>
    <t>GL30264x304</t>
  </si>
  <si>
    <t>380-18963</t>
  </si>
  <si>
    <t>J621400</t>
  </si>
  <si>
    <t>GL30144x264</t>
  </si>
  <si>
    <t>380-18971</t>
  </si>
  <si>
    <t>J621559</t>
  </si>
  <si>
    <t>GL50414x594</t>
  </si>
  <si>
    <t>380-18974</t>
  </si>
  <si>
    <t>J621561</t>
  </si>
  <si>
    <t>GL50534x594</t>
  </si>
  <si>
    <t>380-18972</t>
  </si>
  <si>
    <t>J621560</t>
  </si>
  <si>
    <t>GL50594x614</t>
  </si>
  <si>
    <t>380-18973</t>
  </si>
  <si>
    <t>J621558</t>
  </si>
  <si>
    <t>GL50294x594</t>
  </si>
  <si>
    <t>ST620158</t>
  </si>
  <si>
    <t>ST620157</t>
  </si>
  <si>
    <t>ST620165</t>
  </si>
  <si>
    <t>ST620155</t>
  </si>
  <si>
    <t>ST620156</t>
  </si>
  <si>
    <t>ST620105</t>
  </si>
  <si>
    <t>IV6209220</t>
  </si>
  <si>
    <t>J621605</t>
  </si>
  <si>
    <t>2950/เส้น</t>
  </si>
  <si>
    <t>J621597</t>
  </si>
  <si>
    <t>380-18979</t>
  </si>
  <si>
    <t>J621565</t>
  </si>
  <si>
    <t>GL5084x204</t>
  </si>
  <si>
    <t>GL50227x282</t>
  </si>
  <si>
    <t>GL50282x307</t>
  </si>
  <si>
    <t>380-18978</t>
  </si>
  <si>
    <t>J621601</t>
  </si>
  <si>
    <t>GL50472x812</t>
  </si>
  <si>
    <t>380-18983</t>
  </si>
  <si>
    <t>J621582</t>
  </si>
  <si>
    <t>GL50334x484</t>
  </si>
  <si>
    <t>380-18982</t>
  </si>
  <si>
    <t>J621626</t>
  </si>
  <si>
    <t>GL50514x739</t>
  </si>
  <si>
    <t>380-18989</t>
  </si>
  <si>
    <t>J621562</t>
  </si>
  <si>
    <t>GL50594x814</t>
  </si>
  <si>
    <t>380-18964</t>
  </si>
  <si>
    <t>J621507</t>
  </si>
  <si>
    <t>380-18977</t>
  </si>
  <si>
    <t>J621554</t>
  </si>
  <si>
    <t>380-18975</t>
  </si>
  <si>
    <t>J621556</t>
  </si>
  <si>
    <t>GL30304x414</t>
  </si>
  <si>
    <t>GL3092x252</t>
  </si>
  <si>
    <t>ST620162</t>
  </si>
  <si>
    <t>ST620166</t>
  </si>
  <si>
    <t>ST620154</t>
  </si>
  <si>
    <t>ST620164</t>
  </si>
  <si>
    <t>ST620171</t>
  </si>
  <si>
    <t>ST620163</t>
  </si>
  <si>
    <t>IV62100521</t>
  </si>
  <si>
    <t>ห้องพิมพ์</t>
  </si>
  <si>
    <t>ACL307001200</t>
  </si>
  <si>
    <t>IV6210014</t>
  </si>
  <si>
    <t>IV6210022</t>
  </si>
  <si>
    <t>ใช้เฉพาะงาน</t>
  </si>
  <si>
    <t>ACL0348521</t>
  </si>
  <si>
    <t>IV6209314</t>
  </si>
  <si>
    <t>J621664</t>
  </si>
  <si>
    <t>SUSL60656000</t>
  </si>
  <si>
    <t>3120/เส้น</t>
  </si>
  <si>
    <t>WS6210004</t>
  </si>
  <si>
    <t>IV19100007</t>
  </si>
  <si>
    <t>VT6206329</t>
  </si>
  <si>
    <t>377-18809</t>
  </si>
  <si>
    <t>J621666</t>
  </si>
  <si>
    <t>J621614</t>
  </si>
  <si>
    <t>GL50314x414</t>
  </si>
  <si>
    <t>GL50314x714</t>
  </si>
  <si>
    <t>380-18987</t>
  </si>
  <si>
    <t>J621657</t>
  </si>
  <si>
    <t>GL30249x414</t>
  </si>
  <si>
    <t>GL50262x426</t>
  </si>
  <si>
    <t>380-18986</t>
  </si>
  <si>
    <t>J621686</t>
  </si>
  <si>
    <t>380-18985</t>
  </si>
  <si>
    <t>แทนลูกค้า</t>
  </si>
  <si>
    <t>GL30260x360</t>
  </si>
  <si>
    <t>380-18984</t>
  </si>
  <si>
    <t>J621667</t>
  </si>
  <si>
    <t>GL30244x344</t>
  </si>
  <si>
    <t>380-18991</t>
  </si>
  <si>
    <t>J621697</t>
  </si>
  <si>
    <t>380-18990</t>
  </si>
  <si>
    <t>J621643</t>
  </si>
  <si>
    <t>GL30244x324</t>
  </si>
  <si>
    <t>ST620152</t>
  </si>
  <si>
    <t>ST620160</t>
  </si>
  <si>
    <t>ST620177</t>
  </si>
  <si>
    <t>ST620176</t>
  </si>
  <si>
    <t>N62-009502</t>
  </si>
  <si>
    <t>18628kg/21.70</t>
  </si>
  <si>
    <t>N62-009505</t>
  </si>
  <si>
    <t>11176kg/21.50</t>
  </si>
  <si>
    <t>N62-009597</t>
  </si>
  <si>
    <t>10515kg/22.80</t>
  </si>
  <si>
    <t>IV1910-0083</t>
  </si>
  <si>
    <t>แกรนด์ เอเซียสตีล</t>
  </si>
  <si>
    <t>ราคา22.5/kg</t>
  </si>
  <si>
    <t>ราคา25.0/kg</t>
  </si>
  <si>
    <t>IV1901912</t>
  </si>
  <si>
    <t>455/เส้น</t>
  </si>
  <si>
    <t>820/เส้น</t>
  </si>
  <si>
    <t>ST620179</t>
  </si>
  <si>
    <t>ST620178</t>
  </si>
  <si>
    <t>ST620180</t>
  </si>
  <si>
    <t>ST620161</t>
  </si>
  <si>
    <t>ST620184</t>
  </si>
  <si>
    <t>N62-009879</t>
  </si>
  <si>
    <t>2800(21.50)</t>
  </si>
  <si>
    <t>1825(25.50)</t>
  </si>
  <si>
    <t>N62-009878</t>
  </si>
  <si>
    <t>4595(21.50)</t>
  </si>
  <si>
    <t>5735(21.70)</t>
  </si>
  <si>
    <t>IV6210104</t>
  </si>
  <si>
    <t>ST620159</t>
  </si>
  <si>
    <t>ST620182</t>
  </si>
  <si>
    <t>ST620181</t>
  </si>
  <si>
    <t>ST620183</t>
  </si>
  <si>
    <t>ST620185</t>
  </si>
  <si>
    <t>IV6210071</t>
  </si>
  <si>
    <t>NT</t>
  </si>
  <si>
    <t>009-00403</t>
  </si>
  <si>
    <t>J621786+STOCK</t>
  </si>
  <si>
    <t>375/18747</t>
  </si>
  <si>
    <t>J621794</t>
  </si>
  <si>
    <t>GL50344x389</t>
  </si>
  <si>
    <t>377/18813</t>
  </si>
  <si>
    <t>375/18745</t>
  </si>
  <si>
    <t>J621734</t>
  </si>
  <si>
    <t>GL50444x914</t>
  </si>
  <si>
    <t>GL50494x914</t>
  </si>
  <si>
    <t>380/18993</t>
  </si>
  <si>
    <t>J621704</t>
  </si>
  <si>
    <t>GL50414x682</t>
  </si>
  <si>
    <t>380/18992</t>
  </si>
  <si>
    <t>J621733</t>
  </si>
  <si>
    <t>381-19002</t>
  </si>
  <si>
    <t>J621798</t>
  </si>
  <si>
    <t>380/18995</t>
  </si>
  <si>
    <t>381-19007</t>
  </si>
  <si>
    <t>J621813</t>
  </si>
  <si>
    <t>GL30114x244</t>
  </si>
  <si>
    <t>375-18743</t>
  </si>
  <si>
    <t>J621812</t>
  </si>
  <si>
    <t>GL50414x364</t>
  </si>
  <si>
    <t>GL50264X564</t>
  </si>
  <si>
    <t>375-18748</t>
  </si>
  <si>
    <t>J621811</t>
  </si>
  <si>
    <t>GL50314X364</t>
  </si>
  <si>
    <t>GL50364X414</t>
  </si>
  <si>
    <t>GL50244X514</t>
  </si>
  <si>
    <t>381-19005</t>
  </si>
  <si>
    <t>J621820</t>
  </si>
  <si>
    <t>GL50324X569</t>
  </si>
  <si>
    <t>IV6210195</t>
  </si>
  <si>
    <t>J621809</t>
  </si>
  <si>
    <t>2380/เส้น</t>
  </si>
  <si>
    <t>ST620126</t>
  </si>
  <si>
    <t>ST620172</t>
  </si>
  <si>
    <t>IV6210233</t>
  </si>
  <si>
    <t>J621883</t>
  </si>
  <si>
    <t>IV6210285</t>
  </si>
  <si>
    <t>J621872</t>
  </si>
  <si>
    <t>ST620186</t>
  </si>
  <si>
    <t>ST620175</t>
  </si>
  <si>
    <t>ST620174</t>
  </si>
  <si>
    <t>ST620173</t>
  </si>
  <si>
    <t>CAB40475</t>
  </si>
  <si>
    <t>ST620189</t>
  </si>
  <si>
    <t>JJJ4532454</t>
  </si>
  <si>
    <t>ST620187</t>
  </si>
  <si>
    <t>380-18997</t>
  </si>
  <si>
    <t>J621753</t>
  </si>
  <si>
    <t>GL30326x557</t>
  </si>
  <si>
    <t>381-19017</t>
  </si>
  <si>
    <t>J621817</t>
  </si>
  <si>
    <t>GL30244x314</t>
  </si>
  <si>
    <t>381-19019</t>
  </si>
  <si>
    <t>GL50191x289</t>
  </si>
  <si>
    <t>381-19011</t>
  </si>
  <si>
    <t>J621849</t>
  </si>
  <si>
    <t>GL50463x614</t>
  </si>
  <si>
    <t>381-19009</t>
  </si>
  <si>
    <t>GL50636x936</t>
  </si>
  <si>
    <t>381-19012</t>
  </si>
  <si>
    <t>J621808</t>
  </si>
  <si>
    <t>GL50486x986</t>
  </si>
  <si>
    <t>381-19020</t>
  </si>
  <si>
    <t>J621810</t>
  </si>
  <si>
    <t>GL50487x1077</t>
  </si>
  <si>
    <t>DN6210327</t>
  </si>
  <si>
    <t>ขายQTC</t>
  </si>
  <si>
    <t>J621877</t>
  </si>
  <si>
    <t>R35</t>
  </si>
  <si>
    <t>ST620190</t>
  </si>
  <si>
    <t>ST620191</t>
  </si>
  <si>
    <t>ST620193</t>
  </si>
  <si>
    <t>DC50221220</t>
  </si>
  <si>
    <t>ST620192</t>
  </si>
  <si>
    <t>CAB401275</t>
  </si>
  <si>
    <t>N62-010519</t>
  </si>
  <si>
    <t>2295(25.0)</t>
  </si>
  <si>
    <t>4737(22.80)</t>
  </si>
  <si>
    <t>N62-010523</t>
  </si>
  <si>
    <t>5345(22.50)</t>
  </si>
  <si>
    <t>6890(25.0)</t>
  </si>
  <si>
    <t>N62-010643</t>
  </si>
  <si>
    <t>9195(22.80)</t>
  </si>
  <si>
    <t>N62-010511</t>
  </si>
  <si>
    <t>3645(25.0)</t>
  </si>
  <si>
    <t>2105(22.0)</t>
  </si>
  <si>
    <t>1085(22.0)</t>
  </si>
  <si>
    <t>IV6211001</t>
  </si>
  <si>
    <t>IV6211019</t>
  </si>
  <si>
    <t>IV1902208</t>
  </si>
  <si>
    <t>IV1902209</t>
  </si>
  <si>
    <t>381-19014</t>
  </si>
  <si>
    <t>J621853</t>
  </si>
  <si>
    <t>GL50229x284</t>
  </si>
  <si>
    <t>381-19024</t>
  </si>
  <si>
    <t>J621903</t>
  </si>
  <si>
    <t>GL50452x522</t>
  </si>
  <si>
    <t>381-19025</t>
  </si>
  <si>
    <t>J621930</t>
  </si>
  <si>
    <t>381-19016</t>
  </si>
  <si>
    <t>J621862</t>
  </si>
  <si>
    <t>GL30274x284</t>
  </si>
  <si>
    <t>381-19004</t>
  </si>
  <si>
    <t>J621828</t>
  </si>
  <si>
    <t>ST620196</t>
  </si>
  <si>
    <t>ST620200</t>
  </si>
  <si>
    <t>WS6211153</t>
  </si>
  <si>
    <t>49/เส้น</t>
  </si>
  <si>
    <t>0009/00410</t>
  </si>
  <si>
    <t>J621948-949</t>
  </si>
  <si>
    <t>ST620203</t>
  </si>
  <si>
    <t>ST620198</t>
  </si>
  <si>
    <t>ST620199</t>
  </si>
  <si>
    <t>ST620202</t>
  </si>
  <si>
    <t>ST620197</t>
  </si>
  <si>
    <t>WS6211164</t>
  </si>
  <si>
    <t>J621502,503</t>
  </si>
  <si>
    <t>SUS2512202440</t>
  </si>
  <si>
    <t>SUSR126000</t>
  </si>
  <si>
    <t>SUSR406000</t>
  </si>
  <si>
    <t>7100/เส้น</t>
  </si>
  <si>
    <t>SUSU46000</t>
  </si>
  <si>
    <t>7400/เส้น</t>
  </si>
  <si>
    <t>ST620201</t>
  </si>
  <si>
    <t>INSTOCK</t>
  </si>
  <si>
    <t>CODE</t>
  </si>
  <si>
    <t>GROUP</t>
  </si>
  <si>
    <t>LIST</t>
  </si>
  <si>
    <t>LOCATION</t>
  </si>
  <si>
    <t>MAX</t>
  </si>
  <si>
    <t>SUM IN</t>
  </si>
  <si>
    <t>SUM OUT</t>
  </si>
  <si>
    <t>คงเหลือ</t>
  </si>
  <si>
    <t>กลุ่ม ประเภท</t>
  </si>
  <si>
    <t>JHH8546835</t>
  </si>
  <si>
    <t>PART</t>
  </si>
  <si>
    <t>คานเจปรับระดับ854x68x35T3.0</t>
  </si>
  <si>
    <t>วัสดุ แผ่นเหล็ก</t>
  </si>
  <si>
    <t>เหล็กท่อกลม 3/4" หนา 2.3 มิล</t>
  </si>
  <si>
    <t>MAT GL</t>
  </si>
  <si>
    <t>วัสดุ กระจก</t>
  </si>
  <si>
    <t>ACB70251020</t>
  </si>
  <si>
    <t>คานตัวC 70x25T3.0x1020</t>
  </si>
  <si>
    <t>ชิ้นส่วนสำเร็จรูป</t>
  </si>
  <si>
    <t>คานตัวC 70x25T3.0x420</t>
  </si>
  <si>
    <t>ACB7025495</t>
  </si>
  <si>
    <t>คานตัวC 70x25T3.0x495</t>
  </si>
  <si>
    <t>คานตัวC 70x25T3.0x520</t>
  </si>
  <si>
    <t>คานตัวC 70x25T3.0x620</t>
  </si>
  <si>
    <t>คานตัวC 70x25T3.0x720</t>
  </si>
  <si>
    <t>ACB7025790</t>
  </si>
  <si>
    <t>คานตัวC 70x25T3.0x790</t>
  </si>
  <si>
    <t>ACB7025795</t>
  </si>
  <si>
    <t>คานตัวC 70x25T3.0x795</t>
  </si>
  <si>
    <t>ACB7025820</t>
  </si>
  <si>
    <t>คานตัวC 70x25T3.0x820</t>
  </si>
  <si>
    <t>ACB7025895</t>
  </si>
  <si>
    <t>คานตัวC 70x25T3.0x895</t>
  </si>
  <si>
    <t>คานตัวC 70x25T3.0x920</t>
  </si>
  <si>
    <t>ACB7035790</t>
  </si>
  <si>
    <t>คานตัวC 70x35T3.0x790</t>
  </si>
  <si>
    <t>ACB7035794</t>
  </si>
  <si>
    <t>คานตัวC 70x35T3.0x794</t>
  </si>
  <si>
    <t>ACB7035990</t>
  </si>
  <si>
    <t>คานตัวC 70x35T3.0x990</t>
  </si>
  <si>
    <t>ACB7035994</t>
  </si>
  <si>
    <t>คานตัวC 70x35T3.0x994</t>
  </si>
  <si>
    <t>ชุดฝากันระเบิด 500x500</t>
  </si>
  <si>
    <t>ACC5029</t>
  </si>
  <si>
    <t>ฉากตัวL รับแผ่นกั้น50x29</t>
  </si>
  <si>
    <t>ฉากตัวZ รับแผ่นกั้น50x34x29</t>
  </si>
  <si>
    <t>ชุดฝากันระเบิด 600x330</t>
  </si>
  <si>
    <t>ชุดฝากันระเบิด 600x500</t>
  </si>
  <si>
    <t>ฉากสามเหลี่ยม70x70x45</t>
  </si>
  <si>
    <t>ACC907045</t>
  </si>
  <si>
    <t>ฉากสามเหลี่ยม90x70x45</t>
  </si>
  <si>
    <t>ACL3011901240</t>
  </si>
  <si>
    <t>อะคิลิคใส1190x1240T3.0เศษ</t>
  </si>
  <si>
    <t>อคิลิคใส4x8T3.0</t>
  </si>
  <si>
    <t>ACL303001300</t>
  </si>
  <si>
    <t>อะคิลิคใส300x1300T3.0เศษ</t>
  </si>
  <si>
    <t>ACL305801276</t>
  </si>
  <si>
    <t>อะคิลิคใส580x1276T3.0เศษ</t>
  </si>
  <si>
    <t>ACL306001220</t>
  </si>
  <si>
    <t>อะคิลิคใส600x1220T3.0เศษ</t>
  </si>
  <si>
    <t>แผ่นอะคิลิค4x8..T5.0</t>
  </si>
  <si>
    <t>ACL5012301440</t>
  </si>
  <si>
    <t>อคิลิคใส1230X1440T5.0เศษ</t>
  </si>
  <si>
    <t>ACL580X1276T3</t>
  </si>
  <si>
    <t>อคิลิคใส580X1276T3.0เศษ</t>
  </si>
  <si>
    <t>ขายึดเทอมีนอลT1.6</t>
  </si>
  <si>
    <t>BC5022920</t>
  </si>
  <si>
    <t>คานฝาหน้ารูพิเศษ 50x22x920</t>
  </si>
  <si>
    <t>BR1012202440</t>
  </si>
  <si>
    <t>แผ่นเบกไลท์1220x2440T10</t>
  </si>
  <si>
    <t>BR1220X1220T5</t>
  </si>
  <si>
    <t>แผ่นเบกไลท์1220X1220T5.0เศษ</t>
  </si>
  <si>
    <t>แผ่นเบกไลท์ 140x338 T15</t>
  </si>
  <si>
    <t>แผ่นเบกไลท์ 1220x2440T5.0</t>
  </si>
  <si>
    <t>ชินโชริ</t>
  </si>
  <si>
    <t>หมวกตู้ 40x1075</t>
  </si>
  <si>
    <t>CAB401175</t>
  </si>
  <si>
    <t>หมวกตู้ 40x1175</t>
  </si>
  <si>
    <t>CAB40275</t>
  </si>
  <si>
    <t>หมวกตู้ 40x275</t>
  </si>
  <si>
    <t>หมวกตู้ 40x325</t>
  </si>
  <si>
    <t>CAB40375</t>
  </si>
  <si>
    <t>หมวกตู้ 40x375</t>
  </si>
  <si>
    <t>หมวกตู้ 40x475</t>
  </si>
  <si>
    <t>หมวกตู้ 40x575</t>
  </si>
  <si>
    <t>หมวกตู้ 40x675</t>
  </si>
  <si>
    <t>หมวกตู้ 40x775</t>
  </si>
  <si>
    <t>หมวกตู้ 40x875</t>
  </si>
  <si>
    <t>หมวกตู้ 40x975</t>
  </si>
  <si>
    <t>CAH601075</t>
  </si>
  <si>
    <t>หมวกตู้ 60x1075</t>
  </si>
  <si>
    <t>หมวกตู้ 60x1175</t>
  </si>
  <si>
    <t>หมวกตู้ 60x375</t>
  </si>
  <si>
    <t>หมวกตู้ 60x475</t>
  </si>
  <si>
    <t>หมวกตู้ 60x575</t>
  </si>
  <si>
    <t>CAH60675</t>
  </si>
  <si>
    <t>หมวกตู้ 60x675</t>
  </si>
  <si>
    <t>หมวกตู้ 60x775</t>
  </si>
  <si>
    <t>หมวกตู้ 60x875</t>
  </si>
  <si>
    <t>หมวกตู้ 60x975</t>
  </si>
  <si>
    <t>CAP50251000</t>
  </si>
  <si>
    <t>คานตัวC 50x25T2.0x1000</t>
  </si>
  <si>
    <t>CAP5025595</t>
  </si>
  <si>
    <t>คานตัวC 50x25T2.0x595</t>
  </si>
  <si>
    <t>CAP5025695</t>
  </si>
  <si>
    <t>คานตัวC 50x25T2.0x695</t>
  </si>
  <si>
    <t>CAP5025795</t>
  </si>
  <si>
    <t>คานตัวC 50x25T2.0x795</t>
  </si>
  <si>
    <t>CAP5025895</t>
  </si>
  <si>
    <t>คานตัวC 50x25T2.0x895</t>
  </si>
  <si>
    <t>CAP5025900</t>
  </si>
  <si>
    <t>คานตัวC 50x25T2.0x900</t>
  </si>
  <si>
    <t>CAP5025995</t>
  </si>
  <si>
    <t>คานตัวC 50x25T2.0x995</t>
  </si>
  <si>
    <t>คานตัวC 70x25T2.0x495</t>
  </si>
  <si>
    <t>คานตัวC 70x25T2.0x595</t>
  </si>
  <si>
    <t>คานตัวC70x25T.2.0X795</t>
  </si>
  <si>
    <t>CAP702589520</t>
  </si>
  <si>
    <t>คานตัวC70X25T2.0X895</t>
  </si>
  <si>
    <t>คานตัวC 70x25T2.0x995</t>
  </si>
  <si>
    <t>CBA275170</t>
  </si>
  <si>
    <t>เพลทเบกเกอร์ 275x170</t>
  </si>
  <si>
    <t>CBA275200</t>
  </si>
  <si>
    <t>เพลทเบกเกอร์ 275x200</t>
  </si>
  <si>
    <t>เพลทเบกเกอร์ 275x220</t>
  </si>
  <si>
    <t>เพลทเบกเกอร์ 275x280</t>
  </si>
  <si>
    <t>CBA275330</t>
  </si>
  <si>
    <t>เพลทเบกเกอร์ 275x330</t>
  </si>
  <si>
    <t>CBA275400</t>
  </si>
  <si>
    <t>เพลทเบกเกอร์ 275x400</t>
  </si>
  <si>
    <t>CBA275410</t>
  </si>
  <si>
    <t>เพลทเบกเกอร์ 275x410</t>
  </si>
  <si>
    <t>CBA325220</t>
  </si>
  <si>
    <t>เพลทเบกเกอร์ 325x220</t>
  </si>
  <si>
    <t>CBA325280</t>
  </si>
  <si>
    <t>เพลทเบกเกอร์ 325x280</t>
  </si>
  <si>
    <t>CBA325330</t>
  </si>
  <si>
    <t>เพลทเบกเกอร์ 325x330</t>
  </si>
  <si>
    <t>CBA425170</t>
  </si>
  <si>
    <t>เพลทเบกเกอร์ 425x170</t>
  </si>
  <si>
    <t>CBA425220</t>
  </si>
  <si>
    <t>เพลทเบกเกอร์ 425x220</t>
  </si>
  <si>
    <t>CBA425280</t>
  </si>
  <si>
    <t>เพลทเบกเกอร์ 425x280</t>
  </si>
  <si>
    <t>CBA425330</t>
  </si>
  <si>
    <t>เพลทเบกเกอร์ 425x330</t>
  </si>
  <si>
    <t>CBA425410</t>
  </si>
  <si>
    <t>เพลทเบกเกอร์ 425x410</t>
  </si>
  <si>
    <t>CBA525160</t>
  </si>
  <si>
    <t>เพลทเบกเกอร์ 525x160</t>
  </si>
  <si>
    <t>CBA525170</t>
  </si>
  <si>
    <t>เพลทเบกเกอร์ 525x170</t>
  </si>
  <si>
    <t>CBA525220</t>
  </si>
  <si>
    <t>เพลทเบกเกอร์ 525x220</t>
  </si>
  <si>
    <t>เพลทเบกเกอร์ 525x280</t>
  </si>
  <si>
    <t>CBA525330</t>
  </si>
  <si>
    <t>เพลทเบกเกอร์ 525x330</t>
  </si>
  <si>
    <t>CBA525380</t>
  </si>
  <si>
    <t>เพลทเบกเกอร์ 525x380</t>
  </si>
  <si>
    <t>CBA525410</t>
  </si>
  <si>
    <t>เพลทเบกเกอร์ 525x410</t>
  </si>
  <si>
    <t>CBA625150</t>
  </si>
  <si>
    <t>เพลทเบกเกอร์ 625x150</t>
  </si>
  <si>
    <t>CBA625160</t>
  </si>
  <si>
    <t>เพลทเบกเกอร์ 625x160</t>
  </si>
  <si>
    <t>เพลทเบกเกอร์ 625x220</t>
  </si>
  <si>
    <t>เพลทเบกเกอร์ 625x280</t>
  </si>
  <si>
    <t>CBA625330</t>
  </si>
  <si>
    <t>เพลทเบกเกอร์ 625x330</t>
  </si>
  <si>
    <t>CBA625380</t>
  </si>
  <si>
    <t>เพลทเบกเกอร์ 625x380</t>
  </si>
  <si>
    <t>CBA625410</t>
  </si>
  <si>
    <t>เพลทเบกเกอร์ 625x410</t>
  </si>
  <si>
    <t>CBA725140</t>
  </si>
  <si>
    <t>เพลทเบกเกอร์ 725x140</t>
  </si>
  <si>
    <t>CBA725150</t>
  </si>
  <si>
    <t>เพลทเบกเกอร์ 725x150</t>
  </si>
  <si>
    <t>CBA725165</t>
  </si>
  <si>
    <t>เพลทเบกเกอร์ 725x165</t>
  </si>
  <si>
    <t>CBA725170</t>
  </si>
  <si>
    <t>เพลทเบกเกอร์ 725x170</t>
  </si>
  <si>
    <t>CBA725220</t>
  </si>
  <si>
    <t>เพลทเบกเกอร์ 725x220</t>
  </si>
  <si>
    <t>CBA725260</t>
  </si>
  <si>
    <t>เพลทเบกเกอร์ 725x260</t>
  </si>
  <si>
    <t>เพลทเบกเกอร์ 725x280</t>
  </si>
  <si>
    <t>CBA725330</t>
  </si>
  <si>
    <t>เพลทเบกเกอร์ 725x330</t>
  </si>
  <si>
    <t>CBA725380</t>
  </si>
  <si>
    <t>เพลทเบกเกอร์ 725x380</t>
  </si>
  <si>
    <t>CBA725410</t>
  </si>
  <si>
    <t>เพลทเบกเกอร์ 725x410</t>
  </si>
  <si>
    <t>CBA825150</t>
  </si>
  <si>
    <t>เพลทเบกเกอร์ 825x150</t>
  </si>
  <si>
    <t>CBA825170</t>
  </si>
  <si>
    <t>เพลทเบกเกอร์ 825x170</t>
  </si>
  <si>
    <t>CBA825220</t>
  </si>
  <si>
    <t>เพลทเบกเกอร์ 825x220</t>
  </si>
  <si>
    <t>เพลทเบกเกอร์ 825x280</t>
  </si>
  <si>
    <t>CBA825330</t>
  </si>
  <si>
    <t>เพลทเบกเกอร์ 825x330</t>
  </si>
  <si>
    <t>CBA825380</t>
  </si>
  <si>
    <t>เพลทเบกเกอร์ 825x380</t>
  </si>
  <si>
    <t>CBA825410</t>
  </si>
  <si>
    <t>เพลทเบกเกอร์ 825x410</t>
  </si>
  <si>
    <t>CBA925140</t>
  </si>
  <si>
    <t>เพลทเบกเกอร์ 925x140</t>
  </si>
  <si>
    <t>CBA925170</t>
  </si>
  <si>
    <t>เพลทเบกเกอร์ 925x170</t>
  </si>
  <si>
    <t>CBA925220</t>
  </si>
  <si>
    <t>เพลทเบกเกอร์ 925x220</t>
  </si>
  <si>
    <t>เพลทเบกเกอร์ 925x280</t>
  </si>
  <si>
    <t>CBA925330</t>
  </si>
  <si>
    <t>เพลทเบกเกอร์ 925x330</t>
  </si>
  <si>
    <t>CBA925380</t>
  </si>
  <si>
    <t>เพลทเบกเกอร์ 925x380</t>
  </si>
  <si>
    <t>CBA925410</t>
  </si>
  <si>
    <t>เพลทเบกเกอร์ 925x410</t>
  </si>
  <si>
    <t>เพลทเบกเกอร์ 414x140</t>
  </si>
  <si>
    <t>เพลทเบกเกอร์ 414x170</t>
  </si>
  <si>
    <t>เพลทเบกเกอร์ 514x140</t>
  </si>
  <si>
    <t>เพลทเบกเกอร์ 514x170</t>
  </si>
  <si>
    <t>เพลทเบกเกอร์ 614x140</t>
  </si>
  <si>
    <t>เพลทเบกเกอร์ 614x170</t>
  </si>
  <si>
    <t>CBB714140</t>
  </si>
  <si>
    <t>เพลทเบกเกอร์ 714x140</t>
  </si>
  <si>
    <t>CBB714170</t>
  </si>
  <si>
    <t>เพลทเบกเกอร์ 714x170</t>
  </si>
  <si>
    <t>CBB814140</t>
  </si>
  <si>
    <t>เพลทเบกเกอร์ 814x140</t>
  </si>
  <si>
    <t>เพลทเบกเกอร์ 814x170</t>
  </si>
  <si>
    <t>CBB914140</t>
  </si>
  <si>
    <t>เพลทเบกเกอร์ 914x140</t>
  </si>
  <si>
    <t>CBB914170</t>
  </si>
  <si>
    <t>เพลทเบกเกอร์ 914x170</t>
  </si>
  <si>
    <t>CBC100100</t>
  </si>
  <si>
    <t>แผ่นสไลค์ 100x100</t>
  </si>
  <si>
    <t>CBC10080</t>
  </si>
  <si>
    <t>แผ่นสไลค์ 100x80</t>
  </si>
  <si>
    <t>CBC11070</t>
  </si>
  <si>
    <t>แผ่นสไลค์ 110x70</t>
  </si>
  <si>
    <t>CBC11080</t>
  </si>
  <si>
    <t>แผ่นสไลค์ 110x80</t>
  </si>
  <si>
    <t>CBC12070</t>
  </si>
  <si>
    <t>แผ่นสไลค์ 120x70</t>
  </si>
  <si>
    <t>CBC13070</t>
  </si>
  <si>
    <t>แผ่นสไลค์ 130x70</t>
  </si>
  <si>
    <t>CBC135100</t>
  </si>
  <si>
    <t>แผ่นสไลค์ 135x100</t>
  </si>
  <si>
    <t>CBC140100</t>
  </si>
  <si>
    <t>แผ่นสไลค์ 140x100</t>
  </si>
  <si>
    <t>CBC140130</t>
  </si>
  <si>
    <t>แผ่นสไลค์ 140x130</t>
  </si>
  <si>
    <t>CBC14080</t>
  </si>
  <si>
    <t>แผ่นสไลค์ 140x80</t>
  </si>
  <si>
    <t>แผ่นสไลค์ 150x70</t>
  </si>
  <si>
    <t>CBC15080</t>
  </si>
  <si>
    <t>แผ่นสไลค์ 150x80</t>
  </si>
  <si>
    <t>CBC170100</t>
  </si>
  <si>
    <t>แผ่นสไลค์ 170x100</t>
  </si>
  <si>
    <t>CBC170130</t>
  </si>
  <si>
    <t>แผ่นสไลค์ 170x130</t>
  </si>
  <si>
    <t>แผ่นสไลค์ 170x80</t>
  </si>
  <si>
    <t>CBC200100</t>
  </si>
  <si>
    <t>แผ่นสไลค์ 200x100</t>
  </si>
  <si>
    <t>CBC200170</t>
  </si>
  <si>
    <t>แผ่นสไลค์ 200x170</t>
  </si>
  <si>
    <t>CBC20080</t>
  </si>
  <si>
    <t>แผ่นสไลค์ 200x80</t>
  </si>
  <si>
    <t>แผ่นสไลค์ 220x100</t>
  </si>
  <si>
    <t>CBC220140</t>
  </si>
  <si>
    <t>แผ่นสไลค์ 220x140</t>
  </si>
  <si>
    <t>CBC260100</t>
  </si>
  <si>
    <t>แผ่นสไลค์ 260x100</t>
  </si>
  <si>
    <t>แผ่นสไลค์ 280x100</t>
  </si>
  <si>
    <t>แผ่นสไลค์ 280x125</t>
  </si>
  <si>
    <t>CBC280140</t>
  </si>
  <si>
    <t>แผ่นสไลค์ 280x140</t>
  </si>
  <si>
    <t>CBC330100</t>
  </si>
  <si>
    <t>แผ่นสไลค์ 330x100</t>
  </si>
  <si>
    <t>แผ่นสไลค์ 330x140</t>
  </si>
  <si>
    <t>แผ่นสไลค์ 350x100</t>
  </si>
  <si>
    <t>CBC380120</t>
  </si>
  <si>
    <t>แผ่นสไลค์ 380x120</t>
  </si>
  <si>
    <t>CBC400100</t>
  </si>
  <si>
    <t>แผ่นสไลค์ 400x100</t>
  </si>
  <si>
    <t>CBC410100</t>
  </si>
  <si>
    <t>แผ่นสไลค์ 410x100</t>
  </si>
  <si>
    <t>CBC410120</t>
  </si>
  <si>
    <t>แผ่นสไลค์ 410x120</t>
  </si>
  <si>
    <t>CBC410140</t>
  </si>
  <si>
    <t>แผ่นสไลค์ 410x140</t>
  </si>
  <si>
    <t>CBC500200</t>
  </si>
  <si>
    <t>แผ่นสไลค์ 500x200</t>
  </si>
  <si>
    <t>ฝาข้าง-ฝาหลัง 1875x320</t>
  </si>
  <si>
    <t>CV187510370</t>
  </si>
  <si>
    <t>ฝาข้าง-ฝาหลัง 1875x370</t>
  </si>
  <si>
    <t>ฝาข้าง-ฝาหลัง 1875x470</t>
  </si>
  <si>
    <t>ฝาข้าง-ฝาหลัง 1875x570</t>
  </si>
  <si>
    <t>ฝาข้าง-ฝาหลัง 1875x670</t>
  </si>
  <si>
    <t>ฝาข้าง-ฝาหลัง 1875x770</t>
  </si>
  <si>
    <t>CV187510870</t>
  </si>
  <si>
    <t>ฝาข้าง-ฝาหลัง 1875x870</t>
  </si>
  <si>
    <t>ฝาข้าง-ฝาหลัง 1875x970</t>
  </si>
  <si>
    <t>CV18757700</t>
  </si>
  <si>
    <t>ฝาเรียบ 1875x770</t>
  </si>
  <si>
    <t>CV207500970</t>
  </si>
  <si>
    <t>ฝาข้างเรียบ 2075x970</t>
  </si>
  <si>
    <t>CV2075101070</t>
  </si>
  <si>
    <t>ฝาข้าง-ฝาหลัง 2075x1070</t>
  </si>
  <si>
    <t>CV2075101163</t>
  </si>
  <si>
    <t>ฝาข้าง-ฝาหลัง 2075x1163</t>
  </si>
  <si>
    <t>CV207510320</t>
  </si>
  <si>
    <t>ฝาข้าง-ฝาหลัง 2075x320</t>
  </si>
  <si>
    <t>CV207510370</t>
  </si>
  <si>
    <t>ฝาข้าง-ฝาหลัง 2075x370</t>
  </si>
  <si>
    <t>ฝาข้าง-ฝาหลัง 2075x470</t>
  </si>
  <si>
    <t>ฝาข้าง-ฝาหลัง 2075x570</t>
  </si>
  <si>
    <t>CV207510670</t>
  </si>
  <si>
    <t>ฝาข้าง-ฝาหลัง 2075x670</t>
  </si>
  <si>
    <t>ฝาข้าง-ฝาหลัง 2075x770</t>
  </si>
  <si>
    <t>ฝาข้าง-ฝาหลัง 2075x870</t>
  </si>
  <si>
    <t>CV770197510</t>
  </si>
  <si>
    <t>ฝาขนาด1975x770</t>
  </si>
  <si>
    <t>ฝารูเปเปอร์ 2101x797เรียบ</t>
  </si>
  <si>
    <t>ฝารูเปเปอร์ 2101x797เกล็ด</t>
  </si>
  <si>
    <t>ฝาข้าง-ฝาหลัง 2075x970</t>
  </si>
  <si>
    <t>ฝารูเปเปอร์ 2101x997เรียบ</t>
  </si>
  <si>
    <t>ฝารูเปเปอร์ 2101x997เกล็ด</t>
  </si>
  <si>
    <t>คานฝาหน้า 50x22x1020</t>
  </si>
  <si>
    <t>DC50221120</t>
  </si>
  <si>
    <t>คานฝาหน้า 50x22x1120</t>
  </si>
  <si>
    <t>DC5022220</t>
  </si>
  <si>
    <t>คานฝาหน้า 50x22x220</t>
  </si>
  <si>
    <t>คานฝาหน้า 50x22x270</t>
  </si>
  <si>
    <t>DC5022320</t>
  </si>
  <si>
    <t>คานฝาหน้า 50x22x320</t>
  </si>
  <si>
    <t>คานฝาหน้า 50x22x420</t>
  </si>
  <si>
    <t>คานฝาหน้า 50x22x520</t>
  </si>
  <si>
    <t>คานฝาหน้า 50x22x620</t>
  </si>
  <si>
    <t>คานฝาหน้า 50x22x720</t>
  </si>
  <si>
    <t>DC5022820</t>
  </si>
  <si>
    <t>คานฝาหน้า 50x22x820</t>
  </si>
  <si>
    <t>คานฝาหน้า 50x22x920</t>
  </si>
  <si>
    <t>DC7025420</t>
  </si>
  <si>
    <t>คานฝาหน้า 70x25x420</t>
  </si>
  <si>
    <t>DC7025520</t>
  </si>
  <si>
    <t>คานฝาหน้า 70x25x520</t>
  </si>
  <si>
    <t>DC7025620</t>
  </si>
  <si>
    <t>คานฝาหน้า 70x25x620</t>
  </si>
  <si>
    <t>DC7025720</t>
  </si>
  <si>
    <t>คานฝาหน้า 70x25x720</t>
  </si>
  <si>
    <t>DC7025820</t>
  </si>
  <si>
    <t>คานฝาหน้า 70x25x820</t>
  </si>
  <si>
    <t>DC7025920</t>
  </si>
  <si>
    <t>คานฝาหน้า 70x25x920</t>
  </si>
  <si>
    <t>DCE50401020</t>
  </si>
  <si>
    <t>คานรับลูกถ้วย 50x40x1020</t>
  </si>
  <si>
    <t>คานรับลูกถ้วย 50x40x420</t>
  </si>
  <si>
    <t>คานรับลูกถ้วย 50x40x520</t>
  </si>
  <si>
    <t>คานรับลูกถ้วย 50x40x620</t>
  </si>
  <si>
    <t>คานรับลูกถ้วย 50x40x720</t>
  </si>
  <si>
    <t>DCE5040820</t>
  </si>
  <si>
    <t>คานรับลูกถ้วย 50x40x820</t>
  </si>
  <si>
    <t>DCE5040920</t>
  </si>
  <si>
    <t>คานรับลูกถ้วย 50x40x920</t>
  </si>
  <si>
    <t>คานต่อโครง3mm 68x45x1020</t>
  </si>
  <si>
    <t>FC68451120</t>
  </si>
  <si>
    <t>คานต่อโครง3mm 68x45x1120</t>
  </si>
  <si>
    <t>FC68451220</t>
  </si>
  <si>
    <t>คานต่อโครง3mm 68x45x1220</t>
  </si>
  <si>
    <t>FC6845200</t>
  </si>
  <si>
    <t>คานต่อโครง3mm 68x45x200</t>
  </si>
  <si>
    <t>FC684520320</t>
  </si>
  <si>
    <t>คานต่อโครง 68x45T2.0x320</t>
  </si>
  <si>
    <t>FC684520370</t>
  </si>
  <si>
    <t>คานต่อโครง 68x45T2.0x370</t>
  </si>
  <si>
    <t>FC684520420</t>
  </si>
  <si>
    <t>คานต่อโครง 68x45T2.0x420</t>
  </si>
  <si>
    <t>FC684520520</t>
  </si>
  <si>
    <t>คานต่อโครง 68x45T2.0x520</t>
  </si>
  <si>
    <t>FC684520620</t>
  </si>
  <si>
    <t>คานต่อโครง 68x45T2.0x620</t>
  </si>
  <si>
    <t>FC684520720</t>
  </si>
  <si>
    <t>คานต่อโครง 68x45T2.0x720</t>
  </si>
  <si>
    <t>FC684520920</t>
  </si>
  <si>
    <t>คานต่อโครง 68x45T2.0x920</t>
  </si>
  <si>
    <t>FC6845210</t>
  </si>
  <si>
    <t>คานต่อโครง3mm 68x45x210</t>
  </si>
  <si>
    <t>FC6845220</t>
  </si>
  <si>
    <t>คานต่อโครง3mm 68x45x220</t>
  </si>
  <si>
    <t>FC6845258</t>
  </si>
  <si>
    <t>คานต่อโครง3mm 68x45x258</t>
  </si>
  <si>
    <t>คานต่อโครง3mm 68x45x260</t>
  </si>
  <si>
    <t>คานต่อโครง3mm 68x45x270</t>
  </si>
  <si>
    <t>FC6845300</t>
  </si>
  <si>
    <t>คานต่อโครง3mm 68x45x300</t>
  </si>
  <si>
    <t>FC6845320</t>
  </si>
  <si>
    <t>คานต่อโครง3mm 68x45x320</t>
  </si>
  <si>
    <t>FC6845370</t>
  </si>
  <si>
    <t>คานต่อโครง3mm 68x45x370</t>
  </si>
  <si>
    <t>คานต่อโครง3mm 68x45x420</t>
  </si>
  <si>
    <t>คานต่อโครง3mm 68x45x520</t>
  </si>
  <si>
    <t>คานต่อโครง3mm 68x45x620</t>
  </si>
  <si>
    <t>คานต่อโครง3mm 68x45x720</t>
  </si>
  <si>
    <t>FC6845770</t>
  </si>
  <si>
    <t>คานต่อโครง 68x45x3mmx770</t>
  </si>
  <si>
    <t>คานต่อโครง3mm 68x45x820</t>
  </si>
  <si>
    <t>คานต่อโครง3mm 68x45x920</t>
  </si>
  <si>
    <t>คานต่อโครง68x45x926</t>
  </si>
  <si>
    <t>FC80451020</t>
  </si>
  <si>
    <t>คานต่อโครง 80x45x3mmx1020</t>
  </si>
  <si>
    <t>FC80451120</t>
  </si>
  <si>
    <t>คานต่อโครง 80x45x3mmx1120</t>
  </si>
  <si>
    <t>คานต่อโครง 80x45x3mmx260</t>
  </si>
  <si>
    <t>FC8045320</t>
  </si>
  <si>
    <t>คานต่อโครง 80x45x3mmx320</t>
  </si>
  <si>
    <t>คานต่อโครง 80x45x3mmx420</t>
  </si>
  <si>
    <t>คานต่อโครง 80x45x3mmx520</t>
  </si>
  <si>
    <t>คานต่อโครง 80x45x3mmx620</t>
  </si>
  <si>
    <t>คานต่อโครง 80x45x3mmx720</t>
  </si>
  <si>
    <t>คานต่อโครง 80x45x3mmx820</t>
  </si>
  <si>
    <t>คานต่อโครง 80x45x3mmx920</t>
  </si>
  <si>
    <t>FCC68451020/4</t>
  </si>
  <si>
    <t>คานต่อโครง4รู 68x45x3mmx1020</t>
  </si>
  <si>
    <t>FCC68451120/4</t>
  </si>
  <si>
    <t>คานต่อโครง4รู 68x45x3mmx1120</t>
  </si>
  <si>
    <t>FCC6845520/4</t>
  </si>
  <si>
    <t>คานต่อโครง4รู 68x45x3mmx520</t>
  </si>
  <si>
    <t>FCC6845620/4</t>
  </si>
  <si>
    <t>คานต่อโครง4รู 68x45x3mmx620</t>
  </si>
  <si>
    <t>คานต่อโครง4รู 68x45x3mmx720</t>
  </si>
  <si>
    <t>คานต่อโครง4รู 68x45x3mmx820</t>
  </si>
  <si>
    <t>FCC6845920/4</t>
  </si>
  <si>
    <t>คานต่อโครง4รู 68x45x3mmx920</t>
  </si>
  <si>
    <t>FCC6845920/4-0</t>
  </si>
  <si>
    <t>คานต่อโครง4รู/0 68x45x3mmx920</t>
  </si>
  <si>
    <t>FCC6845926/4</t>
  </si>
  <si>
    <t>คานต่อโครง4รู 68x45x3mmx926</t>
  </si>
  <si>
    <t>คานเชื่อม1000</t>
  </si>
  <si>
    <t>คานเชื่อม1100</t>
  </si>
  <si>
    <t>FD12006845</t>
  </si>
  <si>
    <t>คานเชื่อม1200</t>
  </si>
  <si>
    <t>FD13006845</t>
  </si>
  <si>
    <t>คานเชื่อม1300</t>
  </si>
  <si>
    <t>FD4006845</t>
  </si>
  <si>
    <t>คานเชื่อม400</t>
  </si>
  <si>
    <t>คานเชื่อม500</t>
  </si>
  <si>
    <t>คานเชื่อม600</t>
  </si>
  <si>
    <t>คานเชื่อม700</t>
  </si>
  <si>
    <t>คานเชื่อม800</t>
  </si>
  <si>
    <t>FD9006845</t>
  </si>
  <si>
    <t>คานเชื่อม900</t>
  </si>
  <si>
    <t>FF40172550</t>
  </si>
  <si>
    <t>เสาเชื่อม1725x40x50</t>
  </si>
  <si>
    <t>เสาเชื่อม1925x40x50</t>
  </si>
  <si>
    <t>FF40202550</t>
  </si>
  <si>
    <t>เสาเชื่อม2025x40x50</t>
  </si>
  <si>
    <t>เสาเชื่อม2125x40x50</t>
  </si>
  <si>
    <t>เสาเชื่อม2275x40x50</t>
  </si>
  <si>
    <t>FL112040</t>
  </si>
  <si>
    <t>คานยืดหลอดไฟ 1120x40</t>
  </si>
  <si>
    <t>FL401020</t>
  </si>
  <si>
    <t>คานยืดหลอดไฟ 40x1020</t>
  </si>
  <si>
    <t>FL401120</t>
  </si>
  <si>
    <t>คานยึดหลอดไฟ 40x1120</t>
  </si>
  <si>
    <t>คานยืดหลอดไฟ 40x420</t>
  </si>
  <si>
    <t>คานยืดหลอดไฟ 40x520</t>
  </si>
  <si>
    <t>คานยืดหลอดไฟ 40x620</t>
  </si>
  <si>
    <t>FL40690</t>
  </si>
  <si>
    <t>คานยึดหลอดไฟ 40x690</t>
  </si>
  <si>
    <t>คานยืดหลอดไฟ 40x720</t>
  </si>
  <si>
    <t>FL40820</t>
  </si>
  <si>
    <t>คานยืดหลอดไฟ 40x820</t>
  </si>
  <si>
    <t>FL40920</t>
  </si>
  <si>
    <t>คานยืดหลอดไฟ 40x920</t>
  </si>
  <si>
    <t>FS37502138</t>
  </si>
  <si>
    <t>เสาเสริม 37x50x2138</t>
  </si>
  <si>
    <t>เสาเสริม 38x50x2mmx504</t>
  </si>
  <si>
    <t>FS40501588</t>
  </si>
  <si>
    <t>เสาเสริม 40x50x1588</t>
  </si>
  <si>
    <t>เสาเสริม 40x50x1788</t>
  </si>
  <si>
    <t>FS40501963</t>
  </si>
  <si>
    <t>เสาเสริม 40x50x1963</t>
  </si>
  <si>
    <t>เสาเสริม 40x50x1988</t>
  </si>
  <si>
    <t>FS4050201778</t>
  </si>
  <si>
    <t>เสาเสริม 40x50x2mmx1788</t>
  </si>
  <si>
    <t>FS4050201988</t>
  </si>
  <si>
    <t>เสาเสริม 40x50x2mmx1988</t>
  </si>
  <si>
    <t>FS40502138</t>
  </si>
  <si>
    <t>เสาเสริม 40x50x2138</t>
  </si>
  <si>
    <t>FS4050301888</t>
  </si>
  <si>
    <t>เสาเสริม 40x50x1888</t>
  </si>
  <si>
    <t>FS53501785</t>
  </si>
  <si>
    <t>เสาเสริม 53x50x1785</t>
  </si>
  <si>
    <t>FS53501885</t>
  </si>
  <si>
    <t>เสาเสริม 53x50x1885</t>
  </si>
  <si>
    <t>FS53501985</t>
  </si>
  <si>
    <t>เสาเสริม 53x50x1985</t>
  </si>
  <si>
    <t>กระจก103X268T3.0</t>
  </si>
  <si>
    <t>GL30108X208</t>
  </si>
  <si>
    <t>กระจก108x208T3.0</t>
  </si>
  <si>
    <t>แผ่น</t>
  </si>
  <si>
    <t>กระจก108x308T3.0</t>
  </si>
  <si>
    <t>กระจก118x260T3.0</t>
  </si>
  <si>
    <t>กระจก118x308T3.0</t>
  </si>
  <si>
    <t>กระจก132X132T3.0</t>
  </si>
  <si>
    <t>กระจก158x208T3.0</t>
  </si>
  <si>
    <t>GL30158X308</t>
  </si>
  <si>
    <t>กระจก158x308T3.0</t>
  </si>
  <si>
    <t>กระจก158x408T3.0</t>
  </si>
  <si>
    <t>GLN30190X290</t>
  </si>
  <si>
    <t>กระจกลวด190X290T6.0</t>
  </si>
  <si>
    <t>GL30118X198</t>
  </si>
  <si>
    <t>กระจก118X198T3.0</t>
  </si>
  <si>
    <t>กระจก208X408T3.0</t>
  </si>
  <si>
    <t>กระจก208x458T3.0</t>
  </si>
  <si>
    <t>กระจก208x508T3.0</t>
  </si>
  <si>
    <t>กระจก208X628T30</t>
  </si>
  <si>
    <t>GL30228X203</t>
  </si>
  <si>
    <t>กระจก228X203T3.0</t>
  </si>
  <si>
    <t>GLN30230X150</t>
  </si>
  <si>
    <t>กระจกลวด230X150T6.0</t>
  </si>
  <si>
    <t>กระจก252X497T3.0</t>
  </si>
  <si>
    <t>กระจก252X497T5.0</t>
  </si>
  <si>
    <t>กระจก258x303T3.0</t>
  </si>
  <si>
    <t>GL30258X308</t>
  </si>
  <si>
    <t>กระจก258X308T3.0</t>
  </si>
  <si>
    <t>กระจก258x408T3.0</t>
  </si>
  <si>
    <t>กระจก258X608T3.0</t>
  </si>
  <si>
    <t>กระจก262x382T5.0</t>
  </si>
  <si>
    <t>GL262X412T5</t>
  </si>
  <si>
    <t>กระจก262X412T5.0</t>
  </si>
  <si>
    <t>กระจก283x478T3.0</t>
  </si>
  <si>
    <t>GL50288X498</t>
  </si>
  <si>
    <t>กระจก288X498T5.0</t>
  </si>
  <si>
    <t>GL50288X568</t>
  </si>
  <si>
    <t>กระจก288X568T5.0</t>
  </si>
  <si>
    <t>GL50308X158</t>
  </si>
  <si>
    <t>กระจก308X158T3.0</t>
  </si>
  <si>
    <t>GL50308X308</t>
  </si>
  <si>
    <t>กระจก303X308T30</t>
  </si>
  <si>
    <t>กระจก308x508T3.0</t>
  </si>
  <si>
    <t>กระจก308x508T5.0</t>
  </si>
  <si>
    <t>กระจกลวด310x515T6.0</t>
  </si>
  <si>
    <t>GL30312X212</t>
  </si>
  <si>
    <t>กระจก312x212T3.0</t>
  </si>
  <si>
    <t>GL50312X212</t>
  </si>
  <si>
    <t>กระจก312X212T5.0</t>
  </si>
  <si>
    <t>กระจก323X458T3.0</t>
  </si>
  <si>
    <t>กระจก323X558T3.0</t>
  </si>
  <si>
    <t>กระจกเซฟตี้228x328T5.0</t>
  </si>
  <si>
    <t>GL30328X458</t>
  </si>
  <si>
    <t>กระจก328x458T3.0</t>
  </si>
  <si>
    <t>กระจก328x488T3.0</t>
  </si>
  <si>
    <t>GL30332X532</t>
  </si>
  <si>
    <t>กระจก332x532T3.0</t>
  </si>
  <si>
    <t>GL50334X234</t>
  </si>
  <si>
    <t>กระจก334X234T5.0</t>
  </si>
  <si>
    <t>กระจก336x486T5.0</t>
  </si>
  <si>
    <t>กระจก338x608T5.0</t>
  </si>
  <si>
    <t>กระจก342X1612T5.0</t>
  </si>
  <si>
    <t>GL50342X212</t>
  </si>
  <si>
    <t>กระจก342x212T5.0</t>
  </si>
  <si>
    <t>กระจก358x508T3.0</t>
  </si>
  <si>
    <t>กระจก358x558T3.0</t>
  </si>
  <si>
    <t>กระจก362X662T5.0</t>
  </si>
  <si>
    <t>GL30388X183</t>
  </si>
  <si>
    <t>กระจก388x183T3.0</t>
  </si>
  <si>
    <t>GL30388X283</t>
  </si>
  <si>
    <t>กระจก388x283T3.0</t>
  </si>
  <si>
    <t>GL30388X483</t>
  </si>
  <si>
    <t>กระจก388x483T3.0</t>
  </si>
  <si>
    <t>กระจก408x708T3.0</t>
  </si>
  <si>
    <t>GL30408X733</t>
  </si>
  <si>
    <t>กระจก408x733T3.0</t>
  </si>
  <si>
    <t>กระจก408X758T3.0</t>
  </si>
  <si>
    <t>GL30412X262</t>
  </si>
  <si>
    <t>กระจก412X262T3.0</t>
  </si>
  <si>
    <t>GL50426X386</t>
  </si>
  <si>
    <t>กระจก426x386T5.0</t>
  </si>
  <si>
    <t>กระจก428x628T3.0</t>
  </si>
  <si>
    <t>กระจก433x823T3.0</t>
  </si>
  <si>
    <t>กระจก442x1187T5.0</t>
  </si>
  <si>
    <t>กระจก442x962T5.0</t>
  </si>
  <si>
    <t>กระจก452x912T5.0</t>
  </si>
  <si>
    <t>กระจก454x634T5.0</t>
  </si>
  <si>
    <t>กระจก458x558T3.0</t>
  </si>
  <si>
    <t>กระจก458x658T3.0</t>
  </si>
  <si>
    <t>กระจก458x878T3.0</t>
  </si>
  <si>
    <t>กระจก462X612T50</t>
  </si>
  <si>
    <t>กระจก462X912T5.0</t>
  </si>
  <si>
    <t>GL50486X926</t>
  </si>
  <si>
    <t>กระจก486x926T5.0</t>
  </si>
  <si>
    <t>กระจก492x962T5.0</t>
  </si>
  <si>
    <t>GL30498X288</t>
  </si>
  <si>
    <t>กระจก498X288T3.0</t>
  </si>
  <si>
    <t>GL30508X208</t>
  </si>
  <si>
    <t>กระจก508X208T3.0</t>
  </si>
  <si>
    <t>GL30508X353</t>
  </si>
  <si>
    <t>กระจก508x353T3.0</t>
  </si>
  <si>
    <t>กระจก508X653T3.0</t>
  </si>
  <si>
    <t>GL508X958T3</t>
  </si>
  <si>
    <t>กระจก508x958T3.0</t>
  </si>
  <si>
    <t>GL50512X1112</t>
  </si>
  <si>
    <t>กระจก512x1112T5.0</t>
  </si>
  <si>
    <t>กระจก512x762T5.0</t>
  </si>
  <si>
    <t>กระจก512x812T5.0</t>
  </si>
  <si>
    <t>กระจก512x862T5.0</t>
  </si>
  <si>
    <t>GLN60515X310</t>
  </si>
  <si>
    <t>กระจกลวด515x310T6.0</t>
  </si>
  <si>
    <t>กระจก528x628T3.0</t>
  </si>
  <si>
    <t>กระจก528x953T3.0</t>
  </si>
  <si>
    <t>กระจก533x953T3.0</t>
  </si>
  <si>
    <t>GL30558X258</t>
  </si>
  <si>
    <t>กระจก558x258T3.0</t>
  </si>
  <si>
    <t>กระจก558x608T3.0</t>
  </si>
  <si>
    <t>GL50562X512</t>
  </si>
  <si>
    <t>กระจก562x512T5.0</t>
  </si>
  <si>
    <t>กระจก562x812T5.0</t>
  </si>
  <si>
    <t>กระจก562X962T5.0</t>
  </si>
  <si>
    <t>GL50602X1122</t>
  </si>
  <si>
    <t>กระจก602x1122T5.0</t>
  </si>
  <si>
    <t>กระจก608x708T3.0</t>
  </si>
  <si>
    <t>กระจก612/1032T5.0</t>
  </si>
  <si>
    <t>GL50612X412</t>
  </si>
  <si>
    <t>กระจก612X412T5.0</t>
  </si>
  <si>
    <t>กระจก612x912T5.0</t>
  </si>
  <si>
    <t>GL30626X412</t>
  </si>
  <si>
    <t>กระจก626X412T.30</t>
  </si>
  <si>
    <t>กระจก686x886T5.0</t>
  </si>
  <si>
    <t>GL50712X912</t>
  </si>
  <si>
    <t>กระจก712X912T5.0</t>
  </si>
  <si>
    <t>GL3080X40</t>
  </si>
  <si>
    <t>กระจก80X40T3.0</t>
  </si>
  <si>
    <t>กระจก88x238T3.0</t>
  </si>
  <si>
    <t>กระจก88X258T3.0</t>
  </si>
  <si>
    <t>กระจก88X290T3.0</t>
  </si>
  <si>
    <t>กระจก88X408T3.0</t>
  </si>
  <si>
    <t>GL50929X632</t>
  </si>
  <si>
    <t>กระจก929X632T5.0</t>
  </si>
  <si>
    <t>JHH10546835</t>
  </si>
  <si>
    <t>คานนเจปรับระดับ1054x68x35</t>
  </si>
  <si>
    <t>JHH11546835</t>
  </si>
  <si>
    <t>คานนเจปรับระดับ1154x68x35</t>
  </si>
  <si>
    <t>JHH4546835</t>
  </si>
  <si>
    <t>คานเจปรับระดับ454x68x35T3.0</t>
  </si>
  <si>
    <t>JHH5546835</t>
  </si>
  <si>
    <t>คานเจปรับระดับ554x68x35T3.0</t>
  </si>
  <si>
    <t>คานเจปรับระดับ654x68x35T3.0</t>
  </si>
  <si>
    <t>คานเจปรับระดับ754x68x35T3.0</t>
  </si>
  <si>
    <t>คานเจปรับระดับ954x68x35T3.0</t>
  </si>
  <si>
    <t>JJH65321054</t>
  </si>
  <si>
    <t>คานเจ 2รู 65x32x1054</t>
  </si>
  <si>
    <t>JJH65321154</t>
  </si>
  <si>
    <t>คานเจ 2รู 65x32x1154</t>
  </si>
  <si>
    <t>JJH65321254</t>
  </si>
  <si>
    <t>คานเจ 2รู 65x32x1254</t>
  </si>
  <si>
    <t>JJH6532324</t>
  </si>
  <si>
    <t>คานเจ 2รู 65x32x324</t>
  </si>
  <si>
    <t>JJH6532330</t>
  </si>
  <si>
    <t>คานเจ 2รู 65x32x330</t>
  </si>
  <si>
    <t>คานเจ2รุ65x32x354</t>
  </si>
  <si>
    <t>คานเจ 2รู 65x32x404</t>
  </si>
  <si>
    <t>JJH6532430</t>
  </si>
  <si>
    <t>คานเจ 2รู 65x32x430</t>
  </si>
  <si>
    <t>คานเจ 2รู 65x32x454</t>
  </si>
  <si>
    <t>JJH6532504</t>
  </si>
  <si>
    <t>คานเจ 2รู 65x32x504</t>
  </si>
  <si>
    <t>คานเจ 2รู 65x32x554</t>
  </si>
  <si>
    <t>คานเจ 2รู 65x32x604</t>
  </si>
  <si>
    <t>JJH6532629</t>
  </si>
  <si>
    <t>คานเจ2รุ65x32X629</t>
  </si>
  <si>
    <t>คานเจ 2รู 65x32x654</t>
  </si>
  <si>
    <t>JJH6532679</t>
  </si>
  <si>
    <t>คานเจ2รุ65x32X679</t>
  </si>
  <si>
    <t>คานเจ 2รู 65x32x704</t>
  </si>
  <si>
    <t>คานเจ2รู65x32x754</t>
  </si>
  <si>
    <t>JJH65327554</t>
  </si>
  <si>
    <t>คานเจ 2รู 65x32x7554</t>
  </si>
  <si>
    <t>คานเจ 2รู 65x32x804</t>
  </si>
  <si>
    <t>คานเจ 2รู 65x32x854</t>
  </si>
  <si>
    <t>JJH6532904</t>
  </si>
  <si>
    <t>คานเจ 2รู 65x32x904</t>
  </si>
  <si>
    <t>JJH6532954</t>
  </si>
  <si>
    <t>คานเจ 2รู 65x32x954</t>
  </si>
  <si>
    <t>JJH6540100</t>
  </si>
  <si>
    <t>คานเจ 2รู 65x40x100</t>
  </si>
  <si>
    <t>JJH6540250</t>
  </si>
  <si>
    <t>คานเจ 2รู 65x40x250</t>
  </si>
  <si>
    <t>JJH6540300</t>
  </si>
  <si>
    <t>คานเจ2รู65x40x300</t>
  </si>
  <si>
    <t>คานเจ 2รู 65x40x325</t>
  </si>
  <si>
    <t>คานเจ 2รู 65x40x350</t>
  </si>
  <si>
    <t>JJH6540354</t>
  </si>
  <si>
    <t>คานเจ 2รู 65x40x354</t>
  </si>
  <si>
    <t>JJH6540479</t>
  </si>
  <si>
    <t>คานเจ 2รู 65x40x479</t>
  </si>
  <si>
    <t>JJH6540629</t>
  </si>
  <si>
    <t>คานเจ 2รู 65x40x629</t>
  </si>
  <si>
    <t>JJH6540679</t>
  </si>
  <si>
    <t>คานเจ 2รู 65x40x679</t>
  </si>
  <si>
    <t>JJJ45321004</t>
  </si>
  <si>
    <t>คานเจ 45x32x1004</t>
  </si>
  <si>
    <t>คานเจ 45x32x254</t>
  </si>
  <si>
    <t>JJJ4532259</t>
  </si>
  <si>
    <t>คานเจ 45x32x259</t>
  </si>
  <si>
    <t>JJJ4532274</t>
  </si>
  <si>
    <t>คานเจ 45x32x274</t>
  </si>
  <si>
    <t>JJJ4532304</t>
  </si>
  <si>
    <t>คานเจ 45x32x304</t>
  </si>
  <si>
    <t>JJJ4532309</t>
  </si>
  <si>
    <t>คานเจ 45x32x309</t>
  </si>
  <si>
    <t>คานเจ 45x32x354</t>
  </si>
  <si>
    <t>JJJ4532359</t>
  </si>
  <si>
    <t>คานเจ 45x32x359</t>
  </si>
  <si>
    <t>JJJ4532370</t>
  </si>
  <si>
    <t>คานเจ 45x32x370</t>
  </si>
  <si>
    <t>JJJ4532404</t>
  </si>
  <si>
    <t>คานเจ 45x32x404</t>
  </si>
  <si>
    <t>JJJ4532409</t>
  </si>
  <si>
    <t>คานเจ 45x32x409</t>
  </si>
  <si>
    <t>คานเจ 45x32x454</t>
  </si>
  <si>
    <t>JJJ4532459</t>
  </si>
  <si>
    <t>คานเจ 45x32x459</t>
  </si>
  <si>
    <t>JJJ4532470</t>
  </si>
  <si>
    <t>คานเจ 45x32x470</t>
  </si>
  <si>
    <t>JJJ4532479</t>
  </si>
  <si>
    <t>คานเจ 45x32x479</t>
  </si>
  <si>
    <t>JJJ4532490</t>
  </si>
  <si>
    <t>คานเจ 45x32x490</t>
  </si>
  <si>
    <t>JJJ4532504</t>
  </si>
  <si>
    <t>คานเจ 45x32x504</t>
  </si>
  <si>
    <t>JJJ4532509</t>
  </si>
  <si>
    <t>คานเจ 45x32x509</t>
  </si>
  <si>
    <t>JJJ4532554</t>
  </si>
  <si>
    <t>คานเจ 45x32x554</t>
  </si>
  <si>
    <t>JJJ4532559</t>
  </si>
  <si>
    <t>คานเจ 45x32x559</t>
  </si>
  <si>
    <t>คานเจ 45x32x604</t>
  </si>
  <si>
    <t>JJJ4532609</t>
  </si>
  <si>
    <t>คานเจ 45x32x609</t>
  </si>
  <si>
    <t>JJJ4532654</t>
  </si>
  <si>
    <t>คานเจ 45x32x654</t>
  </si>
  <si>
    <t>JJJ4532659</t>
  </si>
  <si>
    <t>คานเจ 45x32x659</t>
  </si>
  <si>
    <t>JJJ4532665</t>
  </si>
  <si>
    <t>คานเจ 45x32x665</t>
  </si>
  <si>
    <t>JJJ4532690</t>
  </si>
  <si>
    <t>คานเจ 45x32x690</t>
  </si>
  <si>
    <t>JJJ4532704</t>
  </si>
  <si>
    <t>คานเจ 45x32x704</t>
  </si>
  <si>
    <t>JJJ4532709</t>
  </si>
  <si>
    <t>คานเจ 45x32x709</t>
  </si>
  <si>
    <t>คานเจ 45x32x754</t>
  </si>
  <si>
    <t>JJJ4532759</t>
  </si>
  <si>
    <t>คานเจ 45x32x759</t>
  </si>
  <si>
    <t>JJJ4532790</t>
  </si>
  <si>
    <t>คานเจ 45x32x790</t>
  </si>
  <si>
    <t>JJJ4532804</t>
  </si>
  <si>
    <t>คานเจ 45x32x804</t>
  </si>
  <si>
    <t>JJJ4532809</t>
  </si>
  <si>
    <t>คานเจ 45x32x809</t>
  </si>
  <si>
    <t>JJJ4532854</t>
  </si>
  <si>
    <t>คานเจ 45x32x854</t>
  </si>
  <si>
    <t>JJJ4532904</t>
  </si>
  <si>
    <t>คานเจ 45x32x904</t>
  </si>
  <si>
    <t>JJJ4532954</t>
  </si>
  <si>
    <t>คานเจ 1รู 45x32x954</t>
  </si>
  <si>
    <t>JVB4545035</t>
  </si>
  <si>
    <t>คานเจยึดเสาใน454x50x35T3.0</t>
  </si>
  <si>
    <t>JVB5545035</t>
  </si>
  <si>
    <t>คานเจยึดเสาใน554x50x35T3.0</t>
  </si>
  <si>
    <t>JVB6545035</t>
  </si>
  <si>
    <t>คานเจยึดเสาใน654x50x35T3.0</t>
  </si>
  <si>
    <t>คานเจยึดเสาใน754x50x35T2.0</t>
  </si>
  <si>
    <t>JVB7545035T3</t>
  </si>
  <si>
    <t>คานเจยึดเสาใน754x50x35T3.0</t>
  </si>
  <si>
    <t>คานเจยึดเสาใน954x50x35T2.0</t>
  </si>
  <si>
    <t>JVB9545035T3</t>
  </si>
  <si>
    <t>คานเจยึดเสาใน954x50x35T3.0</t>
  </si>
  <si>
    <t>LLH6532479</t>
  </si>
  <si>
    <t>คานเจ2รุ65x32X479</t>
  </si>
  <si>
    <t>ฉากรับลูกถ้วย 190x45</t>
  </si>
  <si>
    <t>ฉากรับลูกถ้วย 290x45x2.3mm</t>
  </si>
  <si>
    <t>ฉากรับกุญ 40x1763</t>
  </si>
  <si>
    <t>ฉากรับเพลท3mm 40x1788</t>
  </si>
  <si>
    <t>ฉากรับกุญแจ 40x30x1963</t>
  </si>
  <si>
    <t>ฉากรับเพลท 40x30x1988</t>
  </si>
  <si>
    <t>ฉากรับเพลท 40x30x390</t>
  </si>
  <si>
    <t>ฉากรับเพลท 40x30x790</t>
  </si>
  <si>
    <t>ฉากรับฝาใน 50x30</t>
  </si>
  <si>
    <t>ฉากรับเพลท70x30x3mm</t>
  </si>
  <si>
    <t>ขายึดเทอโมสตัดT1.6</t>
  </si>
  <si>
    <t>MA395305</t>
  </si>
  <si>
    <t>ฉากมิเตอร์ 395x305</t>
  </si>
  <si>
    <t>MA495305</t>
  </si>
  <si>
    <t>ฉากมิเตอร์ 495x305</t>
  </si>
  <si>
    <t>ฉากมิเตอร์ 595x305</t>
  </si>
  <si>
    <t>ฉากมิเตอร์ 695x305</t>
  </si>
  <si>
    <t>ฉากมิเตอร์ 795x305</t>
  </si>
  <si>
    <t>ฉากมิเตอร์ 895x305</t>
  </si>
  <si>
    <t>ฉากมิเตอร์ 995x305</t>
  </si>
  <si>
    <t>MB395175</t>
  </si>
  <si>
    <t>ฉากกันตก 395x175</t>
  </si>
  <si>
    <t>MB495175</t>
  </si>
  <si>
    <t>ฉากกันตก 495x175</t>
  </si>
  <si>
    <t>ฉากกันตก 595x175</t>
  </si>
  <si>
    <t>MB595195</t>
  </si>
  <si>
    <t>ฉากกันตก 595x195</t>
  </si>
  <si>
    <t>MB695145</t>
  </si>
  <si>
    <t>ฉากกันตก 695x145</t>
  </si>
  <si>
    <t>ฉากกันตก 695x175</t>
  </si>
  <si>
    <t>MB695195</t>
  </si>
  <si>
    <t>ฉากกันตก 695x195</t>
  </si>
  <si>
    <t>ฉากกันตก 795x175</t>
  </si>
  <si>
    <t>MB795195</t>
  </si>
  <si>
    <t>ฉากกันตก 795x195</t>
  </si>
  <si>
    <t>ฉากกันตก 895x175</t>
  </si>
  <si>
    <t>ฉากกันตก 995x175</t>
  </si>
  <si>
    <t>MB995195</t>
  </si>
  <si>
    <t>ฉากกันตก 995x195</t>
  </si>
  <si>
    <t>GLN50362x812</t>
  </si>
  <si>
    <t>กระจกลวด362X812T5.0</t>
  </si>
  <si>
    <t>GLN50362x612</t>
  </si>
  <si>
    <t>กระจกลวด362X612T5.0</t>
  </si>
  <si>
    <t>PE220690</t>
  </si>
  <si>
    <t>แพลทยึดอุปกรณ์220x690</t>
  </si>
  <si>
    <t>แพลทยึดอุปกรณ์220x700</t>
  </si>
  <si>
    <t>PE270590</t>
  </si>
  <si>
    <t>แพลทยึดอุปกรณ์270x590</t>
  </si>
  <si>
    <t>PE270690</t>
  </si>
  <si>
    <t>แพลทยึดอุปกรณ์270x690</t>
  </si>
  <si>
    <t>PE295300</t>
  </si>
  <si>
    <t>แพลทยึดอุปกรณ์295x300</t>
  </si>
  <si>
    <t>PE345250</t>
  </si>
  <si>
    <t>แพลทยึดอุปกรณ์345x250</t>
  </si>
  <si>
    <t>แพลทยึดอุปกรณ์345x300</t>
  </si>
  <si>
    <t>แพลทยึดอุปกรณ์345x450</t>
  </si>
  <si>
    <t>PE345590</t>
  </si>
  <si>
    <t>แพลทยึดอุปกรณ์345x590</t>
  </si>
  <si>
    <t>PE345600</t>
  </si>
  <si>
    <t>แพลทยึดอุปกรณ์345x600</t>
  </si>
  <si>
    <t>PE345690</t>
  </si>
  <si>
    <t>แพลทยึดอุปกรณ์345x690</t>
  </si>
  <si>
    <t>PE495250</t>
  </si>
  <si>
    <t>แพลทยึดอุปกรณ์495x250</t>
  </si>
  <si>
    <t>PE595200</t>
  </si>
  <si>
    <t>แพลทยึดอุปกรณ์595x200</t>
  </si>
  <si>
    <t>PE595220</t>
  </si>
  <si>
    <t>แพลทยึดอุปกรณ์595x220</t>
  </si>
  <si>
    <t>แพลทยึดอุปกรณ์595x250</t>
  </si>
  <si>
    <t>แพลทยึดอุปกรณ์595x300</t>
  </si>
  <si>
    <t>PE595400</t>
  </si>
  <si>
    <t>แพลทยึดอุปกรณ์595x400</t>
  </si>
  <si>
    <t>แพลทยึดอุปกรณ์595x690</t>
  </si>
  <si>
    <t>PE695180</t>
  </si>
  <si>
    <t>แพลทยึดอุปกรณ์695x180</t>
  </si>
  <si>
    <t>PE695200</t>
  </si>
  <si>
    <t>แพลทยึดอุปกรณ์695x200</t>
  </si>
  <si>
    <t>แพลทยึดอุปกรณ์695x250</t>
  </si>
  <si>
    <t>PE695260</t>
  </si>
  <si>
    <t>แพลทยึดอุปกรณ์695x260</t>
  </si>
  <si>
    <t>แพลทยึดอุปกรณ์695x300</t>
  </si>
  <si>
    <t>PE695400</t>
  </si>
  <si>
    <t>แพลทยึดอุปกรณ์695x400</t>
  </si>
  <si>
    <t>แพลทยึดอุปกรณ์695x450</t>
  </si>
  <si>
    <t>PE695500</t>
  </si>
  <si>
    <t>แพลทยึดอุปกรณ์695x500</t>
  </si>
  <si>
    <t>แพลทยึดอุปกรณ์695x690</t>
  </si>
  <si>
    <t>PE7951985</t>
  </si>
  <si>
    <t>แพลทยึดอุปกรณ์795x1985</t>
  </si>
  <si>
    <t>PE795200</t>
  </si>
  <si>
    <t>แพลทยึดอุปกรณ์795x200</t>
  </si>
  <si>
    <t>PE795300</t>
  </si>
  <si>
    <t>แพลทยึดอุปกรณ์795x300</t>
  </si>
  <si>
    <t>PE895180</t>
  </si>
  <si>
    <t>แพลทยึดอุปกรณ์895x180</t>
  </si>
  <si>
    <t>PE895200</t>
  </si>
  <si>
    <t>แพลทยึดอุปกรณ์895x200</t>
  </si>
  <si>
    <t>PE895250</t>
  </si>
  <si>
    <t>แพลทยึดอุปกรณ์895x250</t>
  </si>
  <si>
    <t>PE9951975</t>
  </si>
  <si>
    <t>แพลทยึดอุปกรณ์995x1975</t>
  </si>
  <si>
    <t>PE995400</t>
  </si>
  <si>
    <t>แพลทยึดอุปกรณ์995x400</t>
  </si>
  <si>
    <t>PE995500</t>
  </si>
  <si>
    <t>แพลทยึดอุปกรณ์995x500</t>
  </si>
  <si>
    <t>PE995540</t>
  </si>
  <si>
    <t>แพลทยึดอุปกรณ์995x540</t>
  </si>
  <si>
    <t>PE995600</t>
  </si>
  <si>
    <t>แพลทยึดอุปกรณ์995x600</t>
  </si>
  <si>
    <t>PK178153</t>
  </si>
  <si>
    <t>กระเป๋าเอกสารรุ่น 178x153</t>
  </si>
  <si>
    <t>กระเป๋าเอกสารรุ่น 316x224</t>
  </si>
  <si>
    <t>กระเป๋าเอกสารรุ่น 316x45</t>
  </si>
  <si>
    <t>แผ่นPVC ใส4'x8'T2.0</t>
  </si>
  <si>
    <t>KOBAL</t>
  </si>
  <si>
    <t>แผ่นPVC ใส4'x8'T5.0</t>
  </si>
  <si>
    <t>อลูมิเนียมแบน2'x3/8</t>
  </si>
  <si>
    <t>แผ่นอลูมิเนียม4'x8'T3.0</t>
  </si>
  <si>
    <t>ASSAVA METAL</t>
  </si>
  <si>
    <t>แผ่นอลูมิเนียม4'x8'T6.0</t>
  </si>
  <si>
    <t>แผ่นตระแกรงระบาย 4x8รู 3มิลT0.6</t>
  </si>
  <si>
    <t>ผลิตภัณตะแกรงเหล็ก</t>
  </si>
  <si>
    <t>เหล็กแผ่นEG4'x8'T1.2</t>
  </si>
  <si>
    <t>NSK</t>
  </si>
  <si>
    <t>SEG1307503000</t>
  </si>
  <si>
    <t>เหล็กแผ่นEG750X3000T2.3เศษ</t>
  </si>
  <si>
    <t>เหล็กแผ่นEG4'x8'T1.6</t>
  </si>
  <si>
    <t>เหล็กแผ่นEG4'x3000T1.6</t>
  </si>
  <si>
    <t>เหล็กแผ่นEG4'x8'T2.0</t>
  </si>
  <si>
    <t>เหล็กแผ่นEG4'x3000T2.0</t>
  </si>
  <si>
    <t>เหล็กแผ่นEG4'x8'T2.3</t>
  </si>
  <si>
    <t>เหล็กแผ่นEG4'x8'T2.6</t>
  </si>
  <si>
    <t>K.TANAWAT</t>
  </si>
  <si>
    <t>เหล็กแผ่นEG4'x3000T3.0</t>
  </si>
  <si>
    <t>เหล็กแบน 1''1/2 หนา 3 มิล</t>
  </si>
  <si>
    <t>SF321506000</t>
  </si>
  <si>
    <t>เหล็กแบน 6" หนา 3.2 มิล</t>
  </si>
  <si>
    <t>เหล็กแบน 1''1/2 หนา 4.5 มิล</t>
  </si>
  <si>
    <t>เหล็กแบน 2'' หนา 4.5 มิล</t>
  </si>
  <si>
    <t>เหล็กแบน 2" หนา 5 มิล</t>
  </si>
  <si>
    <t>เหล็กแบน 4'' หนา 6 มิล</t>
  </si>
  <si>
    <t>เหล็กแบน 2'' หนา 6 มิล</t>
  </si>
  <si>
    <t>เหล็กแบน 3'' หนา 6 มิล</t>
  </si>
  <si>
    <t>แผ่นสังกะสี4'x8'T1.2</t>
  </si>
  <si>
    <t>แผ่นสังกะสี4'x8'T1.5</t>
  </si>
  <si>
    <t>แผ่นสังกะสี4'x8'T2.0</t>
  </si>
  <si>
    <t>แผ่นสังกะสี4'x8'T3.0</t>
  </si>
  <si>
    <t>เหล็กเอชบีม 100x100x6x8</t>
  </si>
  <si>
    <t>SI1006000</t>
  </si>
  <si>
    <t>เหล็กไอบีม100x6000</t>
  </si>
  <si>
    <t>เหล็กไอบีม 200x100x7x10</t>
  </si>
  <si>
    <t>เหล็กไอบีม 200x150x9x16</t>
  </si>
  <si>
    <t>เหล็กกล่อง 1/2 หนา1.2 มิล</t>
  </si>
  <si>
    <t>พรสตีล</t>
  </si>
  <si>
    <t>เหล็กกล่อง 3/4 X 3/4หนา1.2 มิล</t>
  </si>
  <si>
    <t>เหล็กกล่อง 1'' หนา1.6 มิล</t>
  </si>
  <si>
    <t>เหล็กกล่อง 11/4 หนา2 มิล</t>
  </si>
  <si>
    <t>เหล็กกล่อง 3x2 หนา2.0 มิล</t>
  </si>
  <si>
    <t>เหล็กกล่อง 3" หนา 2.0 มิล</t>
  </si>
  <si>
    <t>เหล็กกล่อง 4'' หนา2.3 มิล</t>
  </si>
  <si>
    <t>เหล็กกล่อง 2x1 หนา 2.3 มิล</t>
  </si>
  <si>
    <t>เหล็กกล่อง 3'' หนา2.3 มิล</t>
  </si>
  <si>
    <t>เหล็กกล่อง 4x2หนา2.5 มิล</t>
  </si>
  <si>
    <t>เหล็กกล่อง 3x11/2 หนา2.5 มิล</t>
  </si>
  <si>
    <t>เหล็กกล่อง 4x2 หนา3.2 มิล</t>
  </si>
  <si>
    <t>เหล็กกล่อง 6x2 หนา 3.2 มิล</t>
  </si>
  <si>
    <t>เหล็กกล่อง 2x1 หนา3.2 มิล</t>
  </si>
  <si>
    <t>เหล็กกล่อง2''หนา3.2มิล</t>
  </si>
  <si>
    <t>เหล็กฉาก 1'หนา3มิล</t>
  </si>
  <si>
    <t>K TANAWAT</t>
  </si>
  <si>
    <t>เหล็กฉาก1''1/4 หนา3 มิล</t>
  </si>
  <si>
    <t>เหล็กฉาก 1''1/2'หนา3 มิล</t>
  </si>
  <si>
    <t>เหล็กฉาก 2''หนา3 มิล</t>
  </si>
  <si>
    <t>เหล็กฉาก 2''หนา4 มิล</t>
  </si>
  <si>
    <t>เหล็กฉาก 1''1/2'หนา5 มิล</t>
  </si>
  <si>
    <t>เหล็กฉาก 2''หนา5 มิล</t>
  </si>
  <si>
    <t>กงไกร สตีล</t>
  </si>
  <si>
    <t>เหล็กฉาก 3''หนา6 มิล</t>
  </si>
  <si>
    <t>เหล็กฉาก 4''หนา7 มิล</t>
  </si>
  <si>
    <t>เหล็กท่อกลม 1/2 หนา 1.2</t>
  </si>
  <si>
    <t>เหล็กท่อกลม 4''หนา 2 มิล</t>
  </si>
  <si>
    <t>เหล็กท่อกลม 6'' หนา 2 มิล</t>
  </si>
  <si>
    <t>เหล็กท่อกลม 1'' หนา 2มิล</t>
  </si>
  <si>
    <t>เหล็กท่อกลม 1''1/4 หนา 2มิล</t>
  </si>
  <si>
    <t>WANAWAT</t>
  </si>
  <si>
    <t>เหล็กท่อกลม 1''1/2 หนา 2มิล</t>
  </si>
  <si>
    <t>เหล็กท่อกลม 2''หนา 2 มิล</t>
  </si>
  <si>
    <t>เหล็กท่อกลม 3/4'' หนา 2.8 มิล</t>
  </si>
  <si>
    <t>เหล็กท่อกลม 4'' หนา 3 มิล</t>
  </si>
  <si>
    <t>เหล็กท่อกลม 3'' หนา 6 มิล</t>
  </si>
  <si>
    <t>เหล็กกล่อง 3x11/2 หนา1.2 มิล</t>
  </si>
  <si>
    <t>เหล็กแผ่นขาว4'x8'T1.0</t>
  </si>
  <si>
    <t>เหล็กแผ่นขาว1220x1950T1.2</t>
  </si>
  <si>
    <t>เหล็กแผ่นขาว4'x8'T1.2</t>
  </si>
  <si>
    <t>SPC1602912440</t>
  </si>
  <si>
    <t>เหล็กแผ่นขาว291x2440T1.6</t>
  </si>
  <si>
    <t>เหล็กแผ่นขาว390x2440T1.6</t>
  </si>
  <si>
    <t>เหล็กแผ่นขาว491x2440T1.6</t>
  </si>
  <si>
    <t>เหล็กแผ่นขาว590x2440T1.6</t>
  </si>
  <si>
    <t>เหล็กแผ่นขาว629x1942T1.6</t>
  </si>
  <si>
    <t>เหล็กแผ่นขาว629x2142T1.6</t>
  </si>
  <si>
    <t>เหล็กแผ่นขาว729x1942T1.6</t>
  </si>
  <si>
    <t>เหล็กแผ่นขาว729x2142T1.6</t>
  </si>
  <si>
    <t>เหล็กแผ่นขาว829x1942T1.6</t>
  </si>
  <si>
    <t>เหล็กแผ่นขาว829x2142T1.6</t>
  </si>
  <si>
    <t>เหล็กแผ่นขาว929x1220T1.6</t>
  </si>
  <si>
    <t>เหล็กแผ่นขาว929x2142T1.6</t>
  </si>
  <si>
    <t>เหล็กแผ่นขาวT1.6(เศษ)</t>
  </si>
  <si>
    <t>เหล็กแผ่นขาว1220x1942T1.6</t>
  </si>
  <si>
    <t>เหล็กแผ่นขาว1220x2142T1.6</t>
  </si>
  <si>
    <t>เหล็กแผ่นขาว4'x8'T1.6</t>
  </si>
  <si>
    <t>เหล็กแผ่นขาว4''x3000T1.6</t>
  </si>
  <si>
    <t>เหล็กแผ่นขาว4''X3000T2.0</t>
  </si>
  <si>
    <t>เหล็กแผ่นขาว4'x8'T2.3</t>
  </si>
  <si>
    <t>เหล็กแผ่นขาว4'x8'T2.6</t>
  </si>
  <si>
    <t>เหล็กแผ่นขาว4'x8'T3.0</t>
  </si>
  <si>
    <t>เหล็กแผ่นขาว4''x3000T3.0</t>
  </si>
  <si>
    <t>เหล็กแผ่นขาว4'x8'T3.2</t>
  </si>
  <si>
    <t>pn</t>
  </si>
  <si>
    <t>เหล็กแผ่นดำ4'x8'T1.6</t>
  </si>
  <si>
    <t>เหล็กแผ่นดำ4''x3000T1.6</t>
  </si>
  <si>
    <t>เหล็กแผ่นดำ4'x8'T2.0</t>
  </si>
  <si>
    <t>เหล็กแผ่นดำ4'x3000T2.0</t>
  </si>
  <si>
    <t>เหล็กแผ่นดำ5'x10'T2.0</t>
  </si>
  <si>
    <t>เหล็กแผ่นดำ5'x10'T2.3</t>
  </si>
  <si>
    <t>เหล็กแผ่นดำ4'x8'T3.0</t>
  </si>
  <si>
    <t>เหล็กแผ่นดำ5'x10'T3.0</t>
  </si>
  <si>
    <t>เหล็กแผ่นดำ5'x10'T4.5</t>
  </si>
  <si>
    <t>SPH500100045</t>
  </si>
  <si>
    <t>เหล็กแผ่นดำ500x1000T4.5เศษ</t>
  </si>
  <si>
    <t>เหล็กแผ่นดำ4'x8'T5.0</t>
  </si>
  <si>
    <t>เหล็กแผ่นดำ4'x8'T6.0</t>
  </si>
  <si>
    <t>เหล็กแผ่นดำ4'x8'T9.0</t>
  </si>
  <si>
    <t>เหล็กแผ่นลาย 4'x8' หนา 3 มิล</t>
  </si>
  <si>
    <t>SPHXS2312202440</t>
  </si>
  <si>
    <t>ตะแกรงเห็ลกฉีก4X8T2.3</t>
  </si>
  <si>
    <t>ตะแกรงเหล็กฉีก 4'x8' XS-42</t>
  </si>
  <si>
    <t>เพลาเหล็กสี่เหลี่ยม 1"1/2x1"1/2</t>
  </si>
  <si>
    <t>เหล็กเพลากลม 5มิล</t>
  </si>
  <si>
    <t>เหล็กเพลากลม 7มิล</t>
  </si>
  <si>
    <t>เหล็กเพลากลม 8มิล</t>
  </si>
  <si>
    <t>เหล็กรางน้ำ U' 2</t>
  </si>
  <si>
    <t>M</t>
  </si>
  <si>
    <t>เหล็กรางน้ำ U' 3</t>
  </si>
  <si>
    <t>เหล็กรางน้ำ U' 4</t>
  </si>
  <si>
    <t>เหล็กรางน้ำ U' 5</t>
  </si>
  <si>
    <t>เหล็กรางน้ำ U' 6</t>
  </si>
  <si>
    <t>เหล็กรางน้ำ U' 8</t>
  </si>
  <si>
    <t>สแตนเลสแผ่น4'x8'T0.8</t>
  </si>
  <si>
    <t>สแตนเลสแผ่น4'x8'T10</t>
  </si>
  <si>
    <t>สแตนเลสแผ่น4'x8'T1.2</t>
  </si>
  <si>
    <t>SUS1501220900</t>
  </si>
  <si>
    <t>สแตนเลส1220X900T1.5เศษ</t>
  </si>
  <si>
    <t>SUS1506422440</t>
  </si>
  <si>
    <t>สแตนเลส642x2440T1.5เศษ</t>
  </si>
  <si>
    <t>SUS151167X1140</t>
  </si>
  <si>
    <t>สแตนเลส1167X1140T1.5เศษ</t>
  </si>
  <si>
    <t>สแตนเลสแผ่น4'x8'T1.5</t>
  </si>
  <si>
    <t>สแตนเลสแผ่น4'x8'T2.0</t>
  </si>
  <si>
    <t>สแตนเลสแผ่น4'x8'T3.0</t>
  </si>
  <si>
    <t>สแตนเลสแผ่น4'x8'T5.0</t>
  </si>
  <si>
    <t>สแตนเลสแบน 1''1/2หนา3.0</t>
  </si>
  <si>
    <t>สแตนเลสแบน 2''หนา3.0</t>
  </si>
  <si>
    <t>สแตนเลสแบน 3''หนา3.0</t>
  </si>
  <si>
    <t>สแตนเลสแบน 4''หนา3.0</t>
  </si>
  <si>
    <t>สแตนเลสแบน 1''1/2หนา4.5</t>
  </si>
  <si>
    <t>สแตนเลสแบน 2''หนา4.5</t>
  </si>
  <si>
    <t>สแตนเลสแบน 3''หนา4.5</t>
  </si>
  <si>
    <t>ฉากสแตนเลส 1''1/2หนา3.0</t>
  </si>
  <si>
    <t>ฉากสแตนเลส 2''หนา3.0</t>
  </si>
  <si>
    <t>ฉากสแตนเลส 2''หนา4.5</t>
  </si>
  <si>
    <t>ฉากสแตนเลส 2''หนา6.0</t>
  </si>
  <si>
    <t>ท่อสแตนเลส 5/8 หนา 1.0</t>
  </si>
  <si>
    <t>ท่อสแตนเลส3/4 หนา1.0</t>
  </si>
  <si>
    <t>ท่อสแตนเลส 1'' หนา1.2</t>
  </si>
  <si>
    <t>ท่อสแตนเลส 1''1/2 หนา1.2</t>
  </si>
  <si>
    <t>ท่อสแตนเลส 2" หนา 1.2</t>
  </si>
  <si>
    <t>ท่อสแตนเลส 2'' หนา1.5</t>
  </si>
  <si>
    <t>ท่อสแตนเลส 4'' หนา3.0</t>
  </si>
  <si>
    <t>ท่อสแตนเลส 2'' หนา3.9</t>
  </si>
  <si>
    <t>เพลาสแตนเลส 5/8 หนา 16 มิล</t>
  </si>
  <si>
    <t>เพลาสแตนเลส 5 มิล</t>
  </si>
  <si>
    <t>เพลาสแตนเลส 6 มิล</t>
  </si>
  <si>
    <t>เพลาสแตนเลส 5/16หนา8</t>
  </si>
  <si>
    <t>เหล็กไวด์แฟรงค์ 100x50x5x7</t>
  </si>
  <si>
    <t>TB4012202440</t>
  </si>
  <si>
    <t>โพลีคาร์บอเนต1220x2440T4.0</t>
  </si>
  <si>
    <t>แผ่นโพลีคาร์บอเนต 4'x8' T4</t>
  </si>
  <si>
    <t>Z601095</t>
  </si>
  <si>
    <t>ตัวแซดยึดแผ่นพื้น 60x1095</t>
  </si>
  <si>
    <t>Z601195</t>
  </si>
  <si>
    <t>ตัวแซดยึดแผ่นพื้น 60x1195</t>
  </si>
  <si>
    <t>Z60395</t>
  </si>
  <si>
    <t>ตัวแซดยึดแผ่นพื้น 60x395</t>
  </si>
  <si>
    <t>ตัวแซดยึดแผ่นพื้น 60x495</t>
  </si>
  <si>
    <t>Z60595</t>
  </si>
  <si>
    <t>ตัวแซดยึดแผ่นพื้น 60x595</t>
  </si>
  <si>
    <t>ตัวแซดยึดแผ่นพื้น 60x695</t>
  </si>
  <si>
    <t>Z60795</t>
  </si>
  <si>
    <t>ตัวแซดยึดแผ่นพื้น 60x795</t>
  </si>
  <si>
    <t>ตัวแซดยึดแผ่นพื้น 60x895</t>
  </si>
  <si>
    <t>Z60995</t>
  </si>
  <si>
    <t>ตัวแซดยึดแผ่นพื้น 60x995</t>
  </si>
  <si>
    <t>แผ่นอลูมิเนียมตีนเป็ด 4'x8' T2.0</t>
  </si>
  <si>
    <t>เหล็กกล่อง 1"1/2 หนา 2.3 มิล</t>
  </si>
  <si>
    <t>เหล็กแผ่นEG4'X3000 T2.3</t>
  </si>
  <si>
    <t>ขายึดเทอมีนอล146x136</t>
  </si>
  <si>
    <t>คานตัวC 70x25T.2.0x695</t>
  </si>
  <si>
    <t>เพลทเบรกเกอร์ 225x220</t>
  </si>
  <si>
    <t>แผ่นสไลค์280x160</t>
  </si>
  <si>
    <t>คานต่อโครงพิเศษ 60 x60x420</t>
  </si>
  <si>
    <t>คานต่อโครงพิเศษ 60 x60x520</t>
  </si>
  <si>
    <t>FC7090720</t>
  </si>
  <si>
    <t>คานต่อโครงพิเศษ 70x90x720</t>
  </si>
  <si>
    <t>FC7090920</t>
  </si>
  <si>
    <t>คานต่อโครงพิเศษ 70x90x920</t>
  </si>
  <si>
    <t>เสาเชื่อม 2425X40X50</t>
  </si>
  <si>
    <t>เหล็กแผ่นขาว 290x2440xT1.6</t>
  </si>
  <si>
    <t>เหล็กแผ่นขาว 490x2440xT1.6</t>
  </si>
  <si>
    <t>เหล็กกล่อง 1'' 1/2 หนา2 มิล</t>
  </si>
  <si>
    <t>ฉากสามเหลี่ยม95x70x45</t>
  </si>
  <si>
    <t>กระจก208X408T5.0</t>
  </si>
  <si>
    <t>กระจก128X128T3.0</t>
  </si>
  <si>
    <t>กระจก108X108T3.0</t>
  </si>
  <si>
    <t>GL30388X688</t>
  </si>
  <si>
    <t>กระจก388X688T3.0</t>
  </si>
  <si>
    <t>กระจก258X358T3.0</t>
  </si>
  <si>
    <t>กระจก358X828T3.0</t>
  </si>
  <si>
    <t>กระจก358X658T3.0</t>
  </si>
  <si>
    <t>กระจก458X1228T5.0</t>
  </si>
  <si>
    <t>กระจก308X608T3.0</t>
  </si>
  <si>
    <t>กระจก358X358T3.0</t>
  </si>
  <si>
    <t>กระจก358X708T3.0</t>
  </si>
  <si>
    <t>กระจก558X708T3.0</t>
  </si>
  <si>
    <t>กระจก508X608T3.0</t>
  </si>
  <si>
    <t>กระจก228X468T3.0</t>
  </si>
  <si>
    <t>กระจก508X878T3.0</t>
  </si>
  <si>
    <t>GL50358X408</t>
  </si>
  <si>
    <t>กระจก358X408T5.0</t>
  </si>
  <si>
    <t>JJH6532304</t>
  </si>
  <si>
    <t>คานเจ2รู65X32X304</t>
  </si>
  <si>
    <t>GL3088X260</t>
  </si>
  <si>
    <t>กระจก88x260T3.0</t>
  </si>
  <si>
    <t>GL50588X1088</t>
  </si>
  <si>
    <t>กระจก588X1088T5.0</t>
  </si>
  <si>
    <t>กระจก538X1258T5.0</t>
  </si>
  <si>
    <t>กระจก443X473T3.0</t>
  </si>
  <si>
    <t>กระจก273X443T3.0</t>
  </si>
  <si>
    <t>กระจก223X293T3.0</t>
  </si>
  <si>
    <t>กระจก488X1083T5.0</t>
  </si>
  <si>
    <t>กระจก143X223T3.0</t>
  </si>
  <si>
    <t>กระจก408X478T5.0</t>
  </si>
  <si>
    <t>FCC6845770/4</t>
  </si>
  <si>
    <t>คานต่โครง4รู68X45X770T3.0</t>
  </si>
  <si>
    <t>JHH7046835</t>
  </si>
  <si>
    <t>คานเจปรับระดับ704x68x35T3.0</t>
  </si>
  <si>
    <t>JJJ4532204</t>
  </si>
  <si>
    <t>คานเจ45x32x204</t>
  </si>
  <si>
    <t>SK12256000</t>
  </si>
  <si>
    <t>เหล็กกล่อง1''หนา1.2มิล</t>
  </si>
  <si>
    <t>ฉากสแตนเลส2'หนา5.0</t>
  </si>
  <si>
    <t>SUS1050X1960T5</t>
  </si>
  <si>
    <t>แผ่นสแตนเลส1050x1960หนา5.0เศษ</t>
  </si>
  <si>
    <t>กระจก412x912T5.0</t>
  </si>
  <si>
    <t>เหล็กเพลากลม9มิล</t>
  </si>
  <si>
    <t>ACL3010201220</t>
  </si>
  <si>
    <t>อคิลิคใส1020x1220T3.0เศษ</t>
  </si>
  <si>
    <t>SUS1212201100</t>
  </si>
  <si>
    <t>แผ่นสแตนเลส1220x1100T1.2เศษ</t>
  </si>
  <si>
    <t>SK20506000</t>
  </si>
  <si>
    <t>เหล็กกล่อง2''หนา2.0มิล</t>
  </si>
  <si>
    <t>SPH3015251100</t>
  </si>
  <si>
    <t>เหล็กแผ่นดำ152x1100T3.0เศษ</t>
  </si>
  <si>
    <t>SPH459001940</t>
  </si>
  <si>
    <t>เหล็กแผ่นดำ900X1940T4.5เศษ</t>
  </si>
  <si>
    <t>SUSR16166000</t>
  </si>
  <si>
    <t>เพลาสแตนตัน5/8</t>
  </si>
  <si>
    <t>เหล็กกล่อง3x2'หนา2.3มิล</t>
  </si>
  <si>
    <t>กระจก508x708T5.0</t>
  </si>
  <si>
    <t>กระจก342X1062T5.0</t>
  </si>
  <si>
    <t>กระจก512X792T5.0</t>
  </si>
  <si>
    <t>กระจก522X1062T5.0</t>
  </si>
  <si>
    <t>คานต่อโครง4รูดาม720x68x45</t>
  </si>
  <si>
    <t>คานต่อโครงรับลูกถ้วย720x68x45</t>
  </si>
  <si>
    <t>คานต่อโครงรับลูกถ้วย920X68X45</t>
  </si>
  <si>
    <t>คานต่อโครง4รูดาม920x68x45</t>
  </si>
  <si>
    <t>กระจก128x308T3.0</t>
  </si>
  <si>
    <t>กระจก458X1033T5.0</t>
  </si>
  <si>
    <t>กระจก388X668T3.0</t>
  </si>
  <si>
    <t>BR508551600</t>
  </si>
  <si>
    <t>เบกไลท์855x1600T5.0เศษ</t>
  </si>
  <si>
    <t>แผ่นเบกไลท์ 100x100T10</t>
  </si>
  <si>
    <t>เหล็กกล่อง 6x6 หนา 3.2 มิล</t>
  </si>
  <si>
    <t>เสาเชื่อม 2000x40x50</t>
  </si>
  <si>
    <t>เสาเชื่อม 2100x40x50</t>
  </si>
  <si>
    <t>กระจก262x412T5.0</t>
  </si>
  <si>
    <t>กระจก337x747T5.0</t>
  </si>
  <si>
    <t>กระจก262x512T5.0</t>
  </si>
  <si>
    <t>กระจก512x562T5.0</t>
  </si>
  <si>
    <t>กระจก212x312T5.0</t>
  </si>
  <si>
    <t>กระจก212x342T5.0</t>
  </si>
  <si>
    <t>กระจก188x198T3.0</t>
  </si>
  <si>
    <t>กระจก112x312T3.0</t>
  </si>
  <si>
    <t>กระจกลวด150X230T6.0</t>
  </si>
  <si>
    <t>กระจก258x558T3.0</t>
  </si>
  <si>
    <t>กระจก308x308T3.0</t>
  </si>
  <si>
    <t>กระจก203x228T3.0</t>
  </si>
  <si>
    <t>กระจก283x388T3.0</t>
  </si>
  <si>
    <t>กระจก183x388T3.0</t>
  </si>
  <si>
    <t>กระจก388x433T3.0</t>
  </si>
  <si>
    <t>กระจก292x572T5.0</t>
  </si>
  <si>
    <t>กระจก292x502T5.0</t>
  </si>
  <si>
    <t>กระจก412x612T5.0</t>
  </si>
  <si>
    <t>กระจก292x632T5.0</t>
  </si>
  <si>
    <t>กระจก288x498T3.0</t>
  </si>
  <si>
    <t>กระจก362x612T5.0</t>
  </si>
  <si>
    <t>กระจก362x812T5.0</t>
  </si>
  <si>
    <t>กระจก602x1182T5.0</t>
  </si>
  <si>
    <t>กระจก262x412T3.0</t>
  </si>
  <si>
    <t>กระจก228x1158T3.0</t>
  </si>
  <si>
    <t>กระจก353x508T3.0</t>
  </si>
  <si>
    <t>กระจก40x80T3.0</t>
  </si>
  <si>
    <t>กระจกเซฟตี้234X334T5.0</t>
  </si>
  <si>
    <t>กระจกลวด103X268T6.0</t>
  </si>
  <si>
    <t>กระจกลวด228X328T6.0</t>
  </si>
  <si>
    <t>กระจก486x936T5.0</t>
  </si>
  <si>
    <t>กระจก426x886T5.0</t>
  </si>
  <si>
    <t>กระจก408x732T3.0</t>
  </si>
  <si>
    <t>กระจกลวด133x228T6.0</t>
  </si>
  <si>
    <t>กระจก328X508T3.0</t>
  </si>
  <si>
    <t>กระจกลวด230x330T6.0</t>
  </si>
  <si>
    <t>กระจก358x828T3.0</t>
  </si>
  <si>
    <t>กระจก578x958T3.0</t>
  </si>
  <si>
    <t>กระจก533x588T3.0</t>
  </si>
  <si>
    <t>กระจก208x358T3.0</t>
  </si>
  <si>
    <t>กระจก458x1308T3.0</t>
  </si>
  <si>
    <t>กระจก468X708T3.0</t>
  </si>
  <si>
    <t>กระจก388X1008T5.0</t>
  </si>
  <si>
    <t>GL50386X426</t>
  </si>
  <si>
    <t>กระจก386X426T5.0</t>
  </si>
  <si>
    <t>GL50434X634</t>
  </si>
  <si>
    <t>กระจก434X634T5.0</t>
  </si>
  <si>
    <t>GL30412X626</t>
  </si>
  <si>
    <t>กระจก412X626T3.0</t>
  </si>
  <si>
    <t>GL50342X412</t>
  </si>
  <si>
    <t>กระจก342X412T5.0</t>
  </si>
  <si>
    <t>กระจก512X512T5.0</t>
  </si>
  <si>
    <t>กระจก128X258T3.0</t>
  </si>
  <si>
    <t>GL50372X852</t>
  </si>
  <si>
    <t>กระจก372X852T5.0</t>
  </si>
  <si>
    <t>กระจก458X733T5.0</t>
  </si>
  <si>
    <t>กระจก262X312T5.0</t>
  </si>
  <si>
    <t>กระจก612X892T5.0</t>
  </si>
  <si>
    <t>กระจก308X408T5.0</t>
  </si>
  <si>
    <t>แผ่นอะคริลิคใส 445x1134 T10.0</t>
  </si>
  <si>
    <t>กระจกเซฟตี้ 358x408T5.0</t>
  </si>
  <si>
    <t>กล่องแสตนเลส 1"x2" T1.5</t>
  </si>
  <si>
    <t>กระจก312x512T5.0</t>
  </si>
  <si>
    <t>กระจก158x358T3.0</t>
  </si>
  <si>
    <t>กระจก512x972T5.0</t>
  </si>
  <si>
    <t>กระจก162x412T3.0</t>
  </si>
  <si>
    <t>กระจก168x168T3.0</t>
  </si>
  <si>
    <t>กระจก178x178T3.0</t>
  </si>
  <si>
    <t>กระจก312x362T5.0</t>
  </si>
  <si>
    <t>กระจก412x482T5.0</t>
  </si>
  <si>
    <t>กระจก322x472T5.0</t>
  </si>
  <si>
    <t>ชุดฝากันระเบิด500X330</t>
  </si>
  <si>
    <t>กระจก 512x712 T5.0</t>
  </si>
  <si>
    <t>กระจก 502x632 T5.0</t>
  </si>
  <si>
    <t>กระจก 312x412 T5.0</t>
  </si>
  <si>
    <t>กระจก 245x435 T5.0</t>
  </si>
  <si>
    <t>กระจก 562x1342 T5.0</t>
  </si>
  <si>
    <t>กระจก 342x612 T5.0</t>
  </si>
  <si>
    <t>กระจก 612x712 T5.0</t>
  </si>
  <si>
    <t>กระจก 372x582 T5.0</t>
  </si>
  <si>
    <t>คานยึดหลอดไฟ40X320</t>
  </si>
  <si>
    <t>สแตนเลสแผ่น4'x8'T0.5</t>
  </si>
  <si>
    <t>กระจก 412x562 T5.0</t>
  </si>
  <si>
    <t>กระจก 392x712 T5.0</t>
  </si>
  <si>
    <t>ฝารูเปเปอร์1901x797เกล็ด</t>
  </si>
  <si>
    <t>ฝารูเปเปอร์1901x797เรียบ</t>
  </si>
  <si>
    <t>แพลทยึดอุปกรณ์795x400</t>
  </si>
  <si>
    <t>กระจก 514x737 T5.0</t>
  </si>
  <si>
    <t>กระจก 507x1952 T5.0</t>
  </si>
  <si>
    <t>กระจก 422x912 T5.0</t>
  </si>
  <si>
    <t>กระจก 512x737 T5.0</t>
  </si>
  <si>
    <t>กล่องแสตนเลส 1/2"x1/2" T1.0</t>
  </si>
  <si>
    <t>กระจก 472x812 T5.0</t>
  </si>
  <si>
    <t>กระจก 512x912 T5.0</t>
  </si>
  <si>
    <t>กระจก 132x312 T3.0</t>
  </si>
  <si>
    <t>กระจก 298x908 T3.0</t>
  </si>
  <si>
    <t>เหล็กท่อกลม 3" หนา 2.3มิล</t>
  </si>
  <si>
    <t>กระจก 512x872 T5.0</t>
  </si>
  <si>
    <t>กระจก 262x512 T5.0</t>
  </si>
  <si>
    <t>กระจก 126x141 T3.0</t>
  </si>
  <si>
    <t>กระจก 332x572 T5.0</t>
  </si>
  <si>
    <t>กระจก 612x992 T5.0</t>
  </si>
  <si>
    <t>กระจก 570x1155 T5.0</t>
  </si>
  <si>
    <t>กระจก 402x712 T5.0</t>
  </si>
  <si>
    <t>กระจก 323x368 T3.0</t>
  </si>
  <si>
    <t>กระจก 233x358 T3.0</t>
  </si>
  <si>
    <t>เหล็กแบน 1"1/2 หนา 9.0 มิล</t>
  </si>
  <si>
    <t>เหล็กเพลากลม 15 มิล</t>
  </si>
  <si>
    <t>กระจก 258x458 T3.0</t>
  </si>
  <si>
    <t>เหล็กท่อกลม 9.0mmx10M</t>
  </si>
  <si>
    <t>กระจก 412x827 T5.0</t>
  </si>
  <si>
    <t>กระจก 645x1205 T5.0</t>
  </si>
  <si>
    <t>กระจก 362x412 T5.0</t>
  </si>
  <si>
    <t>คานเจ50x32x752</t>
  </si>
  <si>
    <t>คานเจ50x32x852</t>
  </si>
  <si>
    <t>คานเจ50x32x952</t>
  </si>
  <si>
    <t>กระจก 308x428 T3.0</t>
  </si>
  <si>
    <t>กระจก 462x512 T5.0</t>
  </si>
  <si>
    <t>กระจก 458x708 T5.0</t>
  </si>
  <si>
    <t>กระจก 462x712 T5.0</t>
  </si>
  <si>
    <t>กระจก 512x922 T5.0</t>
  </si>
  <si>
    <t>กระจก 547x812 T5.0</t>
  </si>
  <si>
    <t>กระจก 312x442 T5.0</t>
  </si>
  <si>
    <t>ฉากรับเพลท3mm401888</t>
  </si>
  <si>
    <t>กระจก 612x1112 T5.0</t>
  </si>
  <si>
    <t>JJH5046835</t>
  </si>
  <si>
    <t>คานเจปรับระดับ504x68x35T3.0</t>
  </si>
  <si>
    <t>ฉากสแตนเลส 1''1/2หนา5.0</t>
  </si>
  <si>
    <t>SAL2012202440</t>
  </si>
  <si>
    <t>แผ่นอลูมิเนียม4'x8'T2.0</t>
  </si>
  <si>
    <t>ฝารูเปเปอร์2250x997เรียบ</t>
  </si>
  <si>
    <t>ฝาเรียบ 1575x570</t>
  </si>
  <si>
    <t>เก้าอี้นั่ง ขนาด 700x700x800 ชุบ HOTDIP</t>
  </si>
  <si>
    <t>โต๊ะ ขนาด 350x445 ชุบHOTDIP</t>
  </si>
  <si>
    <t>สแตนเลสแผ่น 5x10 T3.0</t>
  </si>
  <si>
    <t>กระจก 712x816 T 5.0</t>
  </si>
  <si>
    <t>กระจก 262x462 T 5.0</t>
  </si>
  <si>
    <t>กระจก 312x662 T 5.0</t>
  </si>
  <si>
    <t>เหล็กแผ่นขาว 4x8 หนา 0.8 มิล</t>
  </si>
  <si>
    <t>กระจก 117x117 T 3.0</t>
  </si>
  <si>
    <t>กระจก 512x887 T 5.0</t>
  </si>
  <si>
    <t>กระจก 212x412 T 5.0</t>
  </si>
  <si>
    <t>กระจก 512x962 หนา 5.0</t>
  </si>
  <si>
    <t>กระจกลวด 152x232 หนา 6.0</t>
  </si>
  <si>
    <t>แผ่นอคิลิคใส 4'x8' T2.0</t>
  </si>
  <si>
    <t>พลาสติกสีแดง M102 4'x8' T2.0mm</t>
  </si>
  <si>
    <t>กระจก 142x142 หนา 3.0 มิล</t>
  </si>
  <si>
    <t>เหล็กแผ่นขาว 829x1818 T 1.6</t>
  </si>
  <si>
    <t>เหล็กแผ่นขาว 629x1872 T 1.6</t>
  </si>
  <si>
    <t>กระจก 108x158 หนา 3.0 มิล</t>
  </si>
  <si>
    <t>กระจก 146x196 หนา 3.0 มิล</t>
  </si>
  <si>
    <t>กระจก 547x1587 หนา 5.0 มิล</t>
  </si>
  <si>
    <t>กระจก 208x308 หนา 3.0 มิล</t>
  </si>
  <si>
    <t>เหล็กกล่อง 2" หนา 1.2 มิล</t>
  </si>
  <si>
    <t>กระจก138x248T3.0</t>
  </si>
  <si>
    <t>กระจก 88x248 T3.0</t>
  </si>
  <si>
    <t>กระจก 128x268 T3.0</t>
  </si>
  <si>
    <t>กระจก 132x272 T3.0</t>
  </si>
  <si>
    <t>กระจก 362x712 T5.0</t>
  </si>
  <si>
    <t>กระจก 362x512 T5.0</t>
  </si>
  <si>
    <t>กระจก 462x762 T5.0</t>
  </si>
  <si>
    <t>กระจก 305x536 T5.0</t>
  </si>
  <si>
    <t>กระจก 372x912 T5.0</t>
  </si>
  <si>
    <t>กระจก 512x1012 T5.0</t>
  </si>
  <si>
    <t>กระจก 362x442 T5.0</t>
  </si>
  <si>
    <t>เหล็กตะแกรงไวร์เมช 20cmx20cmx5.6mmx2.0Mx25M</t>
  </si>
  <si>
    <t>เหล็กแผ่น ซิลิคอน 1200x2440 T 0.5MM</t>
  </si>
  <si>
    <t xml:space="preserve">กระจก 258x508 T 3.0 </t>
  </si>
  <si>
    <t>กระจก 273x293 T 3.0</t>
  </si>
  <si>
    <t>กระจก 542x1012 T 5.0</t>
  </si>
  <si>
    <t>กระจก 412x512 T 5.0</t>
  </si>
  <si>
    <t>กระจก 492x1152 T 5.0</t>
  </si>
  <si>
    <t>กระจก 362x492 T 5.0</t>
  </si>
  <si>
    <t>กระจก 382x512 T 5.0</t>
  </si>
  <si>
    <t>กระจก 712x712 T 5.0</t>
  </si>
  <si>
    <t>เหล็กกล่อง 2" หนา 1.9 มิล</t>
  </si>
  <si>
    <t>เหล็กกล่อง 1.1/2"x1.1/2" T 3.2mm</t>
  </si>
  <si>
    <t>เหล็กกล่อง 75x45 T 3.2mm</t>
  </si>
  <si>
    <t>เหล็กกล่อง 3"x3" T 3.2mm</t>
  </si>
  <si>
    <t>สันตะแกรงเหล็ก ขนาด 60ซมx690ซม หนา 0.6</t>
  </si>
  <si>
    <t>เหล็กกล่อง 3"x1.1/2" T 2.0mm</t>
  </si>
  <si>
    <t>แผ่นสเตนเลส 304/ฯ.8 4"x8" T 1.0mm (แบบเงากระจก)</t>
  </si>
  <si>
    <t>กระจก 238x358 T 3.0</t>
  </si>
  <si>
    <t>กระจก 412x712 T 5.0</t>
  </si>
  <si>
    <t>กระจก 88x263 T 5.0</t>
  </si>
  <si>
    <t>กระจก 482x612 T 5.0</t>
  </si>
  <si>
    <t>กระจก 422x562 T 5.0</t>
  </si>
  <si>
    <t>กระจก 432x632 T 5.0</t>
  </si>
  <si>
    <t>คานต่อโครง3mm68x45x725</t>
  </si>
  <si>
    <t>กระจกใส 362x582 หนา 5.0 มิล</t>
  </si>
  <si>
    <t xml:space="preserve">เหล็กเพลากลม 6 มิล </t>
  </si>
  <si>
    <t>ฉากแสตนเลส 3"x3"x3/8"x6M</t>
  </si>
  <si>
    <t>กระจกลวด 250x600 หนา 6.0มิล</t>
  </si>
  <si>
    <t>กระจก 108x348 หนา 3.0มิล</t>
  </si>
  <si>
    <t>กระจก 108x208 หนา 3.0มิล</t>
  </si>
  <si>
    <t>กระจก 321x552 หนา 3.0มิล</t>
  </si>
  <si>
    <t>กระจก 228x258 หนา 3.0มิล</t>
  </si>
  <si>
    <t>JJJ7294532</t>
  </si>
  <si>
    <t>คานเจ 1รู729X45X32T3</t>
  </si>
  <si>
    <t>กระจก 254x514 หนา 5.0มิล</t>
  </si>
  <si>
    <t>กระจก 514x1014 หนา 5.0มิล</t>
  </si>
  <si>
    <t>กระจก 314x614 หนา 5.0มิล</t>
  </si>
  <si>
    <t>กระจก 224x514 หนา 5.0มิล</t>
  </si>
  <si>
    <t>กระจก 224x414 หนา 5.0มิล</t>
  </si>
  <si>
    <t>กระจก 414x574 หนา 5.0มิล</t>
  </si>
  <si>
    <t>กระจก 164x364 หนา 3.0มิล</t>
  </si>
  <si>
    <t>กระจก 264x264 หนา 3.0มิล</t>
  </si>
  <si>
    <t>กระจก 134x134 หนา 3.0มิล</t>
  </si>
  <si>
    <t>กระจก 314x514 หนา 5.0มิล</t>
  </si>
  <si>
    <t>กระจก 564x714 หนา 5.0มิล</t>
  </si>
  <si>
    <t xml:space="preserve">ท่อสเตนเลสกลม 1-1/4"x1.2mm </t>
  </si>
  <si>
    <t>กระจกใส 224x254 หนา 3.0 มิล</t>
  </si>
  <si>
    <t>กระจกใส 94x254 หนา 3.0 มิล</t>
  </si>
  <si>
    <t>กระจกใส 364x454 หนา 3.0 มิล</t>
  </si>
  <si>
    <t>กระจกใส 1129x1204 หนา 5.0 มิล</t>
  </si>
  <si>
    <t>กระจกใส 214x514 หนา 5.0 มิล</t>
  </si>
  <si>
    <t>กระจกใส 374x394 หนา 5.0 มิล</t>
  </si>
  <si>
    <t>แผ่น PVC ใส 4x8 หนา 3.0 มิล</t>
  </si>
  <si>
    <t>กระจกใส 109x274 หนา 3.0</t>
  </si>
  <si>
    <t>กระจกใส 208x208 หนา 3.0</t>
  </si>
  <si>
    <t>กระจกใส 214x214 หนา 3.0</t>
  </si>
  <si>
    <t>กระจกใส 514x764 หนา 5.0</t>
  </si>
  <si>
    <t>ตะแกรง 1-1/2 #10 ขนาด 0.400x1.018 -6แผ่น</t>
  </si>
  <si>
    <t>ASIA</t>
  </si>
  <si>
    <t>ตะแกรง 1-1/2 #10 ขนาด 0.375x1.100 -6แผ่น</t>
  </si>
  <si>
    <t>ตะแกรง 1-1/2 #10 ขนาด 0.920x1.120 -6แผ่น</t>
  </si>
  <si>
    <t>ตะแกรง 1-1/2 #10 ขนาด 0.850x1.100 -6แผ่น</t>
  </si>
  <si>
    <t>ตะแกรง 1-1/2 #10 ขนาด 0.850x0.900 -6แผ่น</t>
  </si>
  <si>
    <t xml:space="preserve">เหล็กกล่อง 1-1/4x1-1/4 T 1.2 </t>
  </si>
  <si>
    <t>แสตนเลสกลม 304 8mm</t>
  </si>
  <si>
    <t>กระจกใส  364x714 T 5.0</t>
  </si>
  <si>
    <t>กระจกใส  314x1114 T 5.0</t>
  </si>
  <si>
    <t>กระจกใส  414x714 T 5.0</t>
  </si>
  <si>
    <t>กระจกใส  264x314 T 5.0</t>
  </si>
  <si>
    <t>กระจกใส  514x914 T 5.0</t>
  </si>
  <si>
    <t>กระจกใส  514x964 T 5.0</t>
  </si>
  <si>
    <t>กระจกใส  234x334 T 5.0</t>
  </si>
  <si>
    <t>กระจกใส  164x1044 T 5.0</t>
  </si>
  <si>
    <t>กระจกใส  164x1398  T 5.0</t>
  </si>
  <si>
    <t>กระจกใส  414x664 T 5.0</t>
  </si>
  <si>
    <t>กระจกใส  414x514 T 5.0</t>
  </si>
  <si>
    <t>กระจกใส  514x864 T 5.0</t>
  </si>
  <si>
    <t>กระจกใส  339x464 T 3.0</t>
  </si>
  <si>
    <t>สแตนเลสแบน  2"x1/8"x6M</t>
  </si>
  <si>
    <t>กระจกใส 164x314 T 3.0mm</t>
  </si>
  <si>
    <t>กระจกใส 94x244 T 3.0mm</t>
  </si>
  <si>
    <t>กระจกใส 234x334 T 5.0mm</t>
  </si>
  <si>
    <t>กระจกใส 452x632 T 5.0mm</t>
  </si>
  <si>
    <t>กระจกใส 320x1062 T 5.0mm</t>
  </si>
  <si>
    <t>กระจกใส 374x394 T 5.0mm</t>
  </si>
  <si>
    <t>กระจกใส 444x574 T 5.0mm</t>
  </si>
  <si>
    <t>ท่อกลมสตีม(API) 3/4" T 2.8mm</t>
  </si>
  <si>
    <t>เหล็กแผ่น EG 4x8 หนา 1.0 มิล</t>
  </si>
  <si>
    <t>กระจกใส 439x854 หนา 5.0มิล</t>
  </si>
  <si>
    <t>กระจกใส 394x714 หนา 5.0มิล</t>
  </si>
  <si>
    <t>กระจกใส 514x614 หนา 5.0มิล</t>
  </si>
  <si>
    <t>กระจกใส 327x558 หนา 3.0มิล</t>
  </si>
  <si>
    <t>กระจกใส 264x284 หนา 3.0มิล</t>
  </si>
  <si>
    <t>กระจกใส 209x314 หนา 3.0มิล</t>
  </si>
  <si>
    <t>กระจกใส 404x614 หนา 5.0มิล</t>
  </si>
  <si>
    <t>กระจกใส 284x564 หนา 5.0มิล</t>
  </si>
  <si>
    <t>กระจกใส 114x264 หนา 5.0มิล</t>
  </si>
  <si>
    <t>กระจกใส 264x364 หนา 5.0มิล</t>
  </si>
  <si>
    <t>กระจกใส 364x304 หนา 3.0มิล</t>
  </si>
  <si>
    <t>กระจกใส 314x314 หนา 3.0มิล</t>
  </si>
  <si>
    <t>กระจกใส 212x272 หนา 5.0มิล</t>
  </si>
  <si>
    <t>กระจกใส 294x414 หนา 3.0มิล</t>
  </si>
  <si>
    <t>กระจกใส 462x662 หนา 5.0มิล</t>
  </si>
  <si>
    <t>กระจกใส 412x562 หนา 3.0มิล</t>
  </si>
  <si>
    <t>กระจกใส 242x362 หนา 5.0มิล</t>
  </si>
  <si>
    <t>กระจกใส 110x260 หนา 5.0มิล</t>
  </si>
  <si>
    <t>กระจกใส 462x812 หนา 5.0มิล</t>
  </si>
  <si>
    <t>กระจกใส 312x532 หนา 5.0มิล</t>
  </si>
  <si>
    <t>TER150X197/4</t>
  </si>
  <si>
    <t>ขายึดเทอมีนอล150X197 4รู</t>
  </si>
  <si>
    <t>EA</t>
  </si>
  <si>
    <t>กระจกใส 614x714 หนา 5.0มิล</t>
  </si>
  <si>
    <t>กระจกใส 364x754 หนา 5.0มิล</t>
  </si>
  <si>
    <t>กระจกใส 144x264 หนา 5.0มิล</t>
  </si>
  <si>
    <t>กระจกใส 442x572 หนา 5.0มิล</t>
  </si>
  <si>
    <t>กระจกใส 364x414 หนา 5.0มิล</t>
  </si>
  <si>
    <t>กระจกใส 364x914 หนา 5.0มิล</t>
  </si>
  <si>
    <t>เหล็กท่อกลม 4" หนา 2.3มิล</t>
  </si>
  <si>
    <t>สแตนเลสแบน 2"x3/16x6M</t>
  </si>
  <si>
    <t>กระจกใส 272x372 หนา 3.0มิล</t>
  </si>
  <si>
    <t>กระจกใส 277x312 หนา 3.0มิล</t>
  </si>
  <si>
    <t>กระจกใส 314x364 หนา 5.0มิล</t>
  </si>
  <si>
    <t>กระจกใส 264x514 หนา 5.0มิล</t>
  </si>
  <si>
    <t>กระจกใส 364x464 หนา 5.0มิล</t>
  </si>
  <si>
    <t>กระจกลวด 154x234 หนา 6มิล</t>
  </si>
  <si>
    <t>กระจกลวด 264x464 หนา 6มิล</t>
  </si>
  <si>
    <t>กระจกใส 294x304 หนา 3.0มิล</t>
  </si>
  <si>
    <t>กระจกใส 264x304 หนา 3.0มิล</t>
  </si>
  <si>
    <t>กระจกใส 144x264 หนา 3.0มิล</t>
  </si>
  <si>
    <t>กระจกใส 414x594 หนา 5.0มิล</t>
  </si>
  <si>
    <t>กระจกใส 534x594 หนา 5.0มิล</t>
  </si>
  <si>
    <t>กระจกใส 594x614 หนา 5.0มิล</t>
  </si>
  <si>
    <t>กระจกใส 294x594 หนา 5.0มิล</t>
  </si>
  <si>
    <t>กระจกใส 84x204 หนา 5.0มิล</t>
  </si>
  <si>
    <t>กระจกใส 227x282 หนา 5.0มิล</t>
  </si>
  <si>
    <t>กระจกใส 282x307 หนา 5.0มิล</t>
  </si>
  <si>
    <t>กระจกใส 334x484 หนา 5.0มิล</t>
  </si>
  <si>
    <t>กระจกใส 514x739 หนา 5.0มิล</t>
  </si>
  <si>
    <t>กระจกใส 594x814 หนา 5.0มิล</t>
  </si>
  <si>
    <t>กระจกใส 304x414 หนา 3.0มิล</t>
  </si>
  <si>
    <t>กระจกใส 92x252 หนา 3.0มิล</t>
  </si>
  <si>
    <t>แผ่นอะคริลิคขาวขุ่น 700x1200mm T3.0mm</t>
  </si>
  <si>
    <t>แผ่นอะคริลิคสีชาใส 4'x8' T3.0mm #521</t>
  </si>
  <si>
    <t>ฉากสเตนเลส 2.1/2"x2.1/2"x1/4"x6M</t>
  </si>
  <si>
    <t>กระจกใส 314x414 หนา 5.0มิล</t>
  </si>
  <si>
    <t>กระจกใส 314x714 หนา 5.0มิล</t>
  </si>
  <si>
    <t>กระจกใส 249x414 หนา 3.0มิล</t>
  </si>
  <si>
    <t>กระจกใส 262x426 หนา 5.0มิล</t>
  </si>
  <si>
    <t>กระจกใส 260x360 หนา 3.0มิล</t>
  </si>
  <si>
    <t>กระจกใส 244x324 หนา 3.0มิล</t>
  </si>
  <si>
    <t>กระจกใส 244x344 หนา 3.0มิล</t>
  </si>
  <si>
    <t>กระจกใส 344x389 หนา 5.0มิล</t>
  </si>
  <si>
    <t>กระจกใส 444x914 หนา 5.0มิล</t>
  </si>
  <si>
    <t>กระจกใส 494x914 หนา 5.0มิล</t>
  </si>
  <si>
    <t>กระจกใส 414x682 หนา 5.0มิล</t>
  </si>
  <si>
    <t>กระจกใส 114x244 หนา 3.0มิล</t>
  </si>
  <si>
    <t>กระจกใส 414x364 หนา 5.0มิล</t>
  </si>
  <si>
    <t>กระจกใส 264x564 หนา 5.0มิล</t>
  </si>
  <si>
    <t>กระจกใส 244x514 หนา 5.0มิล</t>
  </si>
  <si>
    <t>กระจกใส 324x569 หนา 5.0มิล</t>
  </si>
  <si>
    <t>กระจกใส 326x557 หนา 3.0มิล</t>
  </si>
  <si>
    <t>กระจกใส 244x314 หนา 3.0มิล</t>
  </si>
  <si>
    <t>กระจกใส 191.5x289 หนา 5.0มิล</t>
  </si>
  <si>
    <t>กระจกใส 463x614 หนา 5.0มิล</t>
  </si>
  <si>
    <t>กระจกใส 636x936 หนา 5.0มิล</t>
  </si>
  <si>
    <t>กระจกใส 486x986 หนา 5.0มิล</t>
  </si>
  <si>
    <t>กระจกใส 487x1077 หนา 5.0มิล</t>
  </si>
  <si>
    <t>หมวกตู้40x1275</t>
  </si>
  <si>
    <t>คานฝาหน้า50X22X1220</t>
  </si>
  <si>
    <t>กระจกใส 229x284 หนา 5.0มิล</t>
  </si>
  <si>
    <t>กระจกใส 452x522 หนา 5.0มิล</t>
  </si>
  <si>
    <t>กระจกใส 274x284 หนา 3.0มิล</t>
  </si>
  <si>
    <t>สเตนเลสแผ่น 4'x8' T 2.5มิล</t>
  </si>
  <si>
    <t>เพลาสเตนเล 12มิล</t>
  </si>
  <si>
    <t xml:space="preserve">เพลาสเตนเลส 40มิล </t>
  </si>
  <si>
    <t>รางสเตนเลส 10x50x5.0mmx6M รีด</t>
  </si>
  <si>
    <t>(All)</t>
  </si>
  <si>
    <t>Values</t>
  </si>
  <si>
    <t>Sum of QTY</t>
  </si>
  <si>
    <t>Sum of Total</t>
  </si>
  <si>
    <t>N61/004696 Total</t>
  </si>
  <si>
    <t>Average of UNIT/Price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</si>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</sst>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\-m\-yy"/>
    <numFmt numFmtId="165" formatCode="D/M/YYYY"/>
    <numFmt numFmtId="166" formatCode="[$-1070000]d/m/yy"/>
    <numFmt numFmtId="167" formatCode="_-* #,##0.00_-;\-* #,##0.00_-;_-* &quot;-&quot;??_-;_-@"/>
  </numFmts>
  <fonts count="8">
    <font>
      <sz val="12.0"/>
      <color theme="1"/>
      <name val="Arial"/>
    </font>
    <font>
      <sz val="12.0"/>
      <color theme="1"/>
      <name val="Angsana New"/>
    </font>
    <font>
      <sz val="12.0"/>
      <color rgb="FFFF0000"/>
      <name val="Angsana New"/>
    </font>
    <font>
      <u/>
      <sz val="12.0"/>
      <color theme="10"/>
      <name val="Angsana New"/>
    </font>
    <font>
      <u/>
      <sz val="12.0"/>
      <color theme="10"/>
      <name val="Angsana New"/>
    </font>
    <font>
      <sz val="12.0"/>
      <color rgb="FF000000"/>
      <name val="Angsana New"/>
    </font>
    <font>
      <sz val="12.0"/>
      <color theme="1"/>
      <name val="Calibri"/>
    </font>
    <font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theme="8"/>
        <bgColor theme="8"/>
      </patternFill>
    </fill>
    <fill>
      <patternFill patternType="solid">
        <fgColor rgb="FFD0CECE"/>
        <bgColor rgb="FFD0CECE"/>
      </patternFill>
    </fill>
  </fills>
  <borders count="9">
    <border/>
    <border>
      <left/>
      <right/>
      <top/>
      <bottom/>
    </border>
    <border>
      <top style="thin">
        <color theme="5"/>
      </top>
    </border>
    <border>
      <left style="thin">
        <color theme="5"/>
      </left>
      <top style="thin">
        <color theme="5"/>
      </top>
    </border>
    <border>
      <left/>
      <right/>
      <top style="thin">
        <color theme="5"/>
      </top>
      <bottom/>
    </border>
    <border>
      <left style="thin">
        <color theme="5"/>
      </left>
      <right/>
      <top style="thin">
        <color theme="5"/>
      </top>
      <bottom/>
    </border>
    <border>
      <top style="thin">
        <color theme="5"/>
      </top>
      <bottom style="thin">
        <color theme="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theme="9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Font="1"/>
    <xf borderId="0" fillId="0" fontId="1" numFmtId="1" xfId="0" applyFont="1" applyNumberFormat="1"/>
    <xf borderId="0" fillId="0" fontId="1" numFmtId="164" xfId="0" applyFont="1" applyNumberFormat="1"/>
    <xf borderId="0" fillId="0" fontId="1" numFmtId="4" xfId="0" applyFont="1" applyNumberFormat="1"/>
    <xf borderId="1" fillId="2" fontId="1" numFmtId="0" xfId="0" applyBorder="1" applyFill="1" applyFont="1"/>
    <xf borderId="1" fillId="2" fontId="1" numFmtId="4" xfId="0" applyBorder="1" applyFont="1" applyNumberFormat="1"/>
    <xf borderId="1" fillId="3" fontId="1" numFmtId="4" xfId="0" applyBorder="1" applyFill="1" applyFont="1" applyNumberFormat="1"/>
    <xf borderId="1" fillId="4" fontId="1" numFmtId="1" xfId="0" applyBorder="1" applyFill="1" applyFont="1" applyNumberFormat="1"/>
    <xf borderId="1" fillId="5" fontId="1" numFmtId="0" xfId="0" applyBorder="1" applyFill="1" applyFont="1"/>
    <xf borderId="2" fillId="0" fontId="1" numFmtId="1" xfId="0" applyBorder="1" applyFont="1" applyNumberFormat="1"/>
    <xf borderId="1" fillId="6" fontId="1" numFmtId="0" xfId="0" applyBorder="1" applyFill="1" applyFont="1"/>
    <xf borderId="3" fillId="0" fontId="1" numFmtId="164" xfId="0" applyBorder="1" applyFont="1" applyNumberFormat="1"/>
    <xf borderId="2" fillId="0" fontId="1" numFmtId="0" xfId="0" applyBorder="1" applyFont="1"/>
    <xf borderId="2" fillId="0" fontId="1" numFmtId="4" xfId="0" applyBorder="1" applyFont="1" applyNumberFormat="1"/>
    <xf borderId="4" fillId="7" fontId="1" numFmtId="0" xfId="0" applyBorder="1" applyFill="1" applyFont="1"/>
    <xf borderId="4" fillId="8" fontId="1" numFmtId="1" xfId="0" applyBorder="1" applyFill="1" applyFont="1" applyNumberFormat="1"/>
    <xf borderId="4" fillId="6" fontId="1" numFmtId="0" xfId="0" applyBorder="1" applyFont="1"/>
    <xf borderId="5" fillId="7" fontId="1" numFmtId="164" xfId="0" applyBorder="1" applyFont="1" applyNumberFormat="1"/>
    <xf borderId="4" fillId="7" fontId="1" numFmtId="1" xfId="0" applyBorder="1" applyFont="1" applyNumberFormat="1"/>
    <xf borderId="4" fillId="7" fontId="1" numFmtId="4" xfId="0" applyBorder="1" applyFont="1" applyNumberFormat="1"/>
    <xf borderId="1" fillId="7" fontId="1" numFmtId="0" xfId="0" applyBorder="1" applyFont="1"/>
    <xf borderId="1" fillId="8" fontId="1" numFmtId="1" xfId="0" applyBorder="1" applyFont="1" applyNumberFormat="1"/>
    <xf borderId="5" fillId="8" fontId="1" numFmtId="164" xfId="0" applyBorder="1" applyFont="1" applyNumberFormat="1"/>
    <xf borderId="4" fillId="8" fontId="1" numFmtId="0" xfId="0" applyBorder="1" applyFont="1"/>
    <xf borderId="4" fillId="8" fontId="1" numFmtId="4" xfId="0" applyBorder="1" applyFont="1" applyNumberFormat="1"/>
    <xf borderId="1" fillId="8" fontId="1" numFmtId="0" xfId="0" applyBorder="1" applyFont="1"/>
    <xf borderId="2" fillId="0" fontId="1" numFmtId="0" xfId="0" applyAlignment="1" applyBorder="1" applyFont="1">
      <alignment horizontal="left"/>
    </xf>
    <xf borderId="4" fillId="4" fontId="1" numFmtId="1" xfId="0" applyBorder="1" applyFont="1" applyNumberFormat="1"/>
    <xf borderId="4" fillId="4" fontId="1" numFmtId="4" xfId="0" applyBorder="1" applyFont="1" applyNumberFormat="1"/>
    <xf borderId="6" fillId="0" fontId="1" numFmtId="1" xfId="0" applyBorder="1" applyFont="1" applyNumberFormat="1"/>
    <xf borderId="6" fillId="0" fontId="1" numFmtId="4" xfId="0" applyBorder="1" applyFont="1" applyNumberFormat="1"/>
    <xf borderId="1" fillId="9" fontId="1" numFmtId="1" xfId="0" applyBorder="1" applyFill="1" applyFont="1" applyNumberFormat="1"/>
    <xf borderId="1" fillId="9" fontId="1" numFmtId="164" xfId="0" applyBorder="1" applyFont="1" applyNumberFormat="1"/>
    <xf borderId="1" fillId="9" fontId="1" numFmtId="0" xfId="0" applyBorder="1" applyFont="1"/>
    <xf borderId="1" fillId="9" fontId="1" numFmtId="4" xfId="0" applyBorder="1" applyFont="1" applyNumberFormat="1"/>
    <xf borderId="1" fillId="8" fontId="1" numFmtId="0" xfId="0" applyBorder="1" applyFont="1"/>
    <xf borderId="1" fillId="8" fontId="1" numFmtId="164" xfId="0" applyBorder="1" applyFont="1" applyNumberFormat="1"/>
    <xf borderId="1" fillId="8" fontId="1" numFmtId="4" xfId="0" applyBorder="1" applyFont="1" applyNumberFormat="1"/>
    <xf borderId="0" fillId="0" fontId="1" numFmtId="0" xfId="0" applyAlignment="1" applyFont="1">
      <alignment horizontal="right"/>
    </xf>
    <xf borderId="1" fillId="4" fontId="2" numFmtId="0" xfId="0" applyBorder="1" applyFont="1"/>
    <xf borderId="1" fillId="4" fontId="1" numFmtId="0" xfId="0" applyBorder="1" applyFont="1"/>
    <xf borderId="0" fillId="0" fontId="1" numFmtId="165" xfId="0" applyFont="1" applyNumberFormat="1"/>
    <xf borderId="0" fillId="0" fontId="3" numFmtId="0" xfId="0" applyAlignment="1" applyFont="1">
      <alignment horizontal="left"/>
    </xf>
    <xf borderId="0" fillId="0" fontId="4" numFmtId="0" xfId="0" applyFont="1"/>
    <xf borderId="0" fillId="0" fontId="1" numFmtId="4" xfId="0" applyAlignment="1" applyFont="1" applyNumberFormat="1">
      <alignment horizontal="right"/>
    </xf>
    <xf borderId="0" fillId="0" fontId="1" numFmtId="0" xfId="0" applyAlignment="1" applyFont="1">
      <alignment horizontal="left"/>
    </xf>
    <xf borderId="0" fillId="0" fontId="1" numFmtId="4" xfId="0" applyAlignment="1" applyFont="1" applyNumberFormat="1">
      <alignment horizontal="right"/>
    </xf>
    <xf borderId="7" fillId="0" fontId="1" numFmtId="0" xfId="0" applyBorder="1" applyFont="1"/>
    <xf borderId="0" fillId="0" fontId="5" numFmtId="0" xfId="0" applyAlignment="1" applyFont="1">
      <alignment readingOrder="0"/>
    </xf>
    <xf borderId="0" fillId="0" fontId="1" numFmtId="0" xfId="0" applyAlignment="1" applyFont="1">
      <alignment horizontal="center"/>
    </xf>
    <xf borderId="1" fillId="10" fontId="1" numFmtId="4" xfId="0" applyAlignment="1" applyBorder="1" applyFill="1" applyFont="1" applyNumberFormat="1">
      <alignment horizontal="right"/>
    </xf>
    <xf borderId="1" fillId="10" fontId="1" numFmtId="0" xfId="0" applyBorder="1" applyFont="1"/>
    <xf borderId="7" fillId="8" fontId="1" numFmtId="0" xfId="0" applyBorder="1" applyFont="1"/>
    <xf borderId="1" fillId="7" fontId="1" numFmtId="0" xfId="0" applyAlignment="1" applyBorder="1" applyFont="1">
      <alignment horizontal="left"/>
    </xf>
    <xf borderId="1" fillId="7" fontId="1" numFmtId="0" xfId="0" applyBorder="1" applyFont="1"/>
    <xf borderId="8" fillId="0" fontId="1" numFmtId="0" xfId="0" applyBorder="1" applyFont="1"/>
    <xf borderId="1" fillId="3" fontId="1" numFmtId="0" xfId="0" applyAlignment="1" applyBorder="1" applyFont="1">
      <alignment horizontal="left"/>
    </xf>
    <xf borderId="1" fillId="3" fontId="1" numFmtId="0" xfId="0" applyBorder="1" applyFont="1"/>
    <xf borderId="1" fillId="3" fontId="1" numFmtId="0" xfId="0" applyAlignment="1" applyBorder="1" applyFont="1">
      <alignment horizontal="center"/>
    </xf>
    <xf borderId="1" fillId="3" fontId="1" numFmtId="0" xfId="0" applyBorder="1" applyFont="1"/>
    <xf borderId="1" fillId="7" fontId="1" numFmtId="0" xfId="0" applyAlignment="1" applyBorder="1" applyFont="1">
      <alignment horizontal="center"/>
    </xf>
    <xf borderId="1" fillId="10" fontId="1" numFmtId="1" xfId="0" applyBorder="1" applyFont="1" applyNumberFormat="1"/>
    <xf borderId="7" fillId="8" fontId="1" numFmtId="0" xfId="0" applyBorder="1" applyFont="1"/>
    <xf borderId="0" fillId="0" fontId="6" numFmtId="0" xfId="0" applyFont="1"/>
    <xf borderId="0" fillId="0" fontId="6" numFmtId="166" xfId="0" applyAlignment="1" applyFont="1" applyNumberFormat="1">
      <alignment horizontal="left"/>
    </xf>
    <xf borderId="0" fillId="0" fontId="6" numFmtId="167" xfId="0" applyFont="1" applyNumberFormat="1"/>
    <xf borderId="0" fillId="0" fontId="7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B4C6E7"/>
          <bgColor rgb="FFB4C6E7"/>
        </patternFill>
      </fill>
      <border/>
    </dxf>
    <dxf>
      <font/>
      <fill>
        <patternFill patternType="solid">
          <fgColor rgb="FFD9E2F3"/>
          <bgColor rgb="FFD9E2F3"/>
        </patternFill>
      </fill>
      <border/>
    </dxf>
    <dxf>
      <font/>
      <fill>
        <patternFill patternType="solid">
          <fgColor theme="4"/>
          <bgColor theme="4"/>
        </patternFill>
      </fill>
      <border/>
    </dxf>
  </dxfs>
  <tableStyles count="2">
    <tableStyle count="3" pivot="0" name="INSTOCK-style">
      <tableStyleElement dxfId="1" type="headerRow"/>
      <tableStyleElement dxfId="2" type="firstRowStripe"/>
      <tableStyleElement dxfId="3" type="secondRowStripe"/>
    </tableStyle>
    <tableStyle count="3" pivot="0" name="TABLEITEM-style">
      <tableStyleElement dxfId="4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2-OUTSTOCKMETAL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2-OUTSTOCKMETAL"/>
    </sheetNames>
    <sheetDataSet>
      <sheetData sheetId="0" refreshError="1"/>
      <sheetData sheetId="1" refreshError="1"/>
    </sheetDataSet>
  </externalBook>
</externalLink>
</file>

<file path=xl/tables/table1.xml><?xml version="1.0" encoding="utf-8"?>
<table xmlns="http://schemas.openxmlformats.org/spreadsheetml/2006/main" ref="B1:P2025" displayName="Table_1" id="1">
  <tableColumns count="15">
    <tableColumn name="NO." id="1"/>
    <tableColumn name="DATE " id="2"/>
    <tableColumn name="IV No." id="3"/>
    <tableColumn name="PO No." id="4"/>
    <tableColumn name="PC Job" id="5"/>
    <tableColumn name="SUPPLIER" id="6"/>
    <tableColumn name="ID" id="7"/>
    <tableColumn name="QTY" id="8"/>
    <tableColumn name="unit" id="9"/>
    <tableColumn name="UNIT/Price" id="10"/>
    <tableColumn name="group" id="11"/>
    <tableColumn name="LIST " id="12"/>
    <tableColumn name="Total" id="13"/>
    <tableColumn name="Column1" id="14"/>
    <tableColumn name="Column2" id="15"/>
  </tableColumns>
  <tableStyleInfo name="INSTOCK-style" showColumnStripes="0" showFirstColumn="1" showLastColumn="1" showRowStripes="1"/>
</table>
</file>

<file path=xl/tables/table2.xml><?xml version="1.0" encoding="utf-8"?>
<table xmlns="http://schemas.openxmlformats.org/spreadsheetml/2006/main" ref="A2:J1138" displayName="Table_2" id="2">
  <tableColumns count="10">
    <tableColumn name="NO." id="1"/>
    <tableColumn name="CODE" id="2"/>
    <tableColumn name="GROUP" id="3"/>
    <tableColumn name="LIST" id="4"/>
    <tableColumn name="unit" id="5"/>
    <tableColumn name="LOCATION" id="6"/>
    <tableColumn name="MAX" id="7"/>
    <tableColumn name="SUM IN" id="8"/>
    <tableColumn name="SUM OUT" id="9"/>
    <tableColumn name="คงเหลือ" id="10"/>
  </tableColumns>
  <tableStyleInfo name="TABLEIT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hidden="1" min="1" max="1" width="1.78"/>
    <col customWidth="1" min="2" max="2" width="5.33"/>
    <col customWidth="1" min="3" max="3" width="8.33"/>
    <col customWidth="1" min="4" max="5" width="10.22"/>
    <col customWidth="1" min="6" max="6" width="11.0"/>
    <col customWidth="1" min="7" max="7" width="14.22"/>
    <col customWidth="1" min="8" max="8" width="11.67"/>
    <col customWidth="1" min="9" max="9" width="6.22"/>
    <col customWidth="1" min="10" max="10" width="4.78"/>
    <col customWidth="1" min="11" max="11" width="8.11"/>
    <col customWidth="1" min="12" max="12" width="7.22"/>
    <col customWidth="1" min="13" max="13" width="26.44"/>
    <col customWidth="1" min="14" max="16" width="11.0"/>
  </cols>
  <sheetData>
    <row r="1" ht="18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</row>
    <row r="2" ht="18.0" customHeight="1">
      <c r="A2" s="1"/>
      <c r="B2" s="3">
        <v>1.0</v>
      </c>
      <c r="C2" s="4">
        <v>43101.0</v>
      </c>
      <c r="D2" s="2" t="s">
        <v>15</v>
      </c>
      <c r="E2" s="2"/>
      <c r="F2" s="3"/>
      <c r="G2" s="2"/>
      <c r="H2" s="2" t="s">
        <v>16</v>
      </c>
      <c r="I2" s="3">
        <v>12.0</v>
      </c>
      <c r="J2" s="3"/>
      <c r="K2" s="5">
        <v>561.6</v>
      </c>
      <c r="L2" s="6" t="str">
        <f>IF(D2&lt;&gt;"",VLOOKUP(H2,TABLEITEM,2,FALSE),"")</f>
        <v>MAT ST</v>
      </c>
      <c r="M2" s="6" t="str">
        <f>IF(D2&lt;&gt;"",VLOOKUP(H2,TABLEITEM,3,FALSE),"")</f>
        <v>เหล็กแผ่นขาว4'x8'T1.0</v>
      </c>
      <c r="N2" s="7">
        <f>INSTOCK!$I2*INSTOCK!$K2</f>
        <v>6739.2</v>
      </c>
      <c r="O2" s="2"/>
      <c r="P2" s="2"/>
    </row>
    <row r="3" ht="18.0" customHeight="1">
      <c r="A3" s="1"/>
      <c r="B3" s="3">
        <v>2.0</v>
      </c>
      <c r="C3" s="4">
        <v>43101.0</v>
      </c>
      <c r="D3" s="2" t="s">
        <v>15</v>
      </c>
      <c r="E3" s="2"/>
      <c r="F3" s="3"/>
      <c r="G3" s="2"/>
      <c r="H3" s="2" t="s">
        <v>17</v>
      </c>
      <c r="I3" s="3">
        <v>104.0</v>
      </c>
      <c r="J3" s="3"/>
      <c r="K3" s="5">
        <v>644.0</v>
      </c>
      <c r="L3" s="6" t="str">
        <f>IF(D3&lt;&gt;"",VLOOKUP(H3,TABLEITEM,2,FALSE),"")</f>
        <v>MAT ST</v>
      </c>
      <c r="M3" s="6" t="str">
        <f>IF(D3&lt;&gt;"",VLOOKUP(H3,TABLEITEM,3,FALSE),"")</f>
        <v>เหล็กแผ่นขาว4'x8'T1.2</v>
      </c>
      <c r="N3" s="7">
        <f>INSTOCK!$I3*INSTOCK!$K3</f>
        <v>66976</v>
      </c>
      <c r="O3" s="2"/>
      <c r="P3" s="2"/>
    </row>
    <row r="4" ht="18.0" customHeight="1">
      <c r="A4" s="1"/>
      <c r="B4" s="3">
        <v>3.0</v>
      </c>
      <c r="C4" s="4">
        <v>43101.0</v>
      </c>
      <c r="D4" s="2" t="s">
        <v>15</v>
      </c>
      <c r="E4" s="2"/>
      <c r="F4" s="3"/>
      <c r="G4" s="2"/>
      <c r="H4" s="2" t="s">
        <v>18</v>
      </c>
      <c r="I4" s="3">
        <v>0.0</v>
      </c>
      <c r="J4" s="3"/>
      <c r="K4" s="5">
        <v>570.7</v>
      </c>
      <c r="L4" s="6" t="str">
        <f>IF(D4&lt;&gt;"",VLOOKUP(H4,TABLEITEM,2,FALSE),"")</f>
        <v>MAT ST</v>
      </c>
      <c r="M4" s="6" t="str">
        <f>IF(D4&lt;&gt;"",VLOOKUP(H4,TABLEITEM,3,FALSE),"")</f>
        <v>เหล็กแผ่นขาว1220x1950T1.2</v>
      </c>
      <c r="N4" s="7">
        <f>INSTOCK!$I4*INSTOCK!$K4</f>
        <v>0</v>
      </c>
      <c r="O4" s="2"/>
      <c r="P4" s="2"/>
    </row>
    <row r="5" ht="18.0" customHeight="1">
      <c r="A5" s="1"/>
      <c r="B5" s="3">
        <v>4.0</v>
      </c>
      <c r="C5" s="4">
        <v>43101.0</v>
      </c>
      <c r="D5" s="2" t="s">
        <v>15</v>
      </c>
      <c r="E5" s="2"/>
      <c r="F5" s="3"/>
      <c r="G5" s="2"/>
      <c r="H5" s="2" t="s">
        <v>19</v>
      </c>
      <c r="I5" s="3">
        <v>398.0</v>
      </c>
      <c r="J5" s="3"/>
      <c r="K5" s="5">
        <v>857.9</v>
      </c>
      <c r="L5" s="6" t="str">
        <f>IF(D5&lt;&gt;"",VLOOKUP(H5,TABLEITEM,2,FALSE),"")</f>
        <v>MAT ST</v>
      </c>
      <c r="M5" s="6" t="str">
        <f>IF(D5&lt;&gt;"",VLOOKUP(H5,TABLEITEM,3,FALSE),"")</f>
        <v>เหล็กแผ่นขาว4'x8'T1.6</v>
      </c>
      <c r="N5" s="7">
        <f>INSTOCK!$I5*INSTOCK!$K5</f>
        <v>341444.2</v>
      </c>
      <c r="O5" s="2"/>
      <c r="P5" s="2"/>
    </row>
    <row r="6" ht="18.0" customHeight="1">
      <c r="A6" s="1"/>
      <c r="B6" s="3">
        <v>5.0</v>
      </c>
      <c r="C6" s="4">
        <v>43101.0</v>
      </c>
      <c r="D6" s="2" t="s">
        <v>15</v>
      </c>
      <c r="E6" s="2"/>
      <c r="F6" s="3"/>
      <c r="G6" s="2"/>
      <c r="H6" s="2" t="s">
        <v>20</v>
      </c>
      <c r="I6" s="3">
        <v>109.0</v>
      </c>
      <c r="J6" s="3"/>
      <c r="K6" s="5">
        <v>1055.7</v>
      </c>
      <c r="L6" s="6" t="str">
        <f>IF(D6&lt;&gt;"",VLOOKUP(H6,TABLEITEM,2,FALSE),"")</f>
        <v>MAT ST</v>
      </c>
      <c r="M6" s="6" t="str">
        <f>IF(D6&lt;&gt;"",VLOOKUP(H6,TABLEITEM,3,FALSE),"")</f>
        <v>เหล็กแผ่นขาว4''x3000T1.6</v>
      </c>
      <c r="N6" s="7">
        <f>INSTOCK!$I6*INSTOCK!$K6</f>
        <v>115071.3</v>
      </c>
      <c r="O6" s="2"/>
      <c r="P6" s="2"/>
    </row>
    <row r="7" ht="18.0" customHeight="1">
      <c r="A7" s="1"/>
      <c r="B7" s="3">
        <v>6.0</v>
      </c>
      <c r="C7" s="4">
        <v>43101.0</v>
      </c>
      <c r="D7" s="2" t="s">
        <v>15</v>
      </c>
      <c r="E7" s="2"/>
      <c r="F7" s="3"/>
      <c r="G7" s="2"/>
      <c r="H7" s="2" t="s">
        <v>21</v>
      </c>
      <c r="I7" s="3">
        <v>286.0</v>
      </c>
      <c r="J7" s="3"/>
      <c r="K7" s="5">
        <v>1092.0</v>
      </c>
      <c r="L7" s="6" t="str">
        <f>IF(D7&lt;&gt;"",VLOOKUP(H7,TABLEITEM,2,FALSE),"")</f>
        <v>MAT ST</v>
      </c>
      <c r="M7" s="6" t="str">
        <f>IF(D7&lt;&gt;"",VLOOKUP(H7,TABLEITEM,3,FALSE),"")</f>
        <v>เหล็กแผ่นขาว4'x8'T2.0</v>
      </c>
      <c r="N7" s="7">
        <f>INSTOCK!$I7*INSTOCK!$K7</f>
        <v>312312</v>
      </c>
      <c r="O7" s="2"/>
      <c r="P7" s="2"/>
    </row>
    <row r="8" ht="18.0" customHeight="1">
      <c r="A8" s="1"/>
      <c r="B8" s="3">
        <v>7.0</v>
      </c>
      <c r="C8" s="4">
        <v>43101.0</v>
      </c>
      <c r="D8" s="2" t="s">
        <v>15</v>
      </c>
      <c r="E8" s="2"/>
      <c r="F8" s="3"/>
      <c r="G8" s="2"/>
      <c r="H8" s="2" t="s">
        <v>22</v>
      </c>
      <c r="I8" s="3">
        <v>146.0</v>
      </c>
      <c r="J8" s="3"/>
      <c r="K8" s="5">
        <v>1346.0</v>
      </c>
      <c r="L8" s="6" t="str">
        <f>IF(D8&lt;&gt;"",VLOOKUP(H8,TABLEITEM,2,FALSE),"")</f>
        <v>MAT ST</v>
      </c>
      <c r="M8" s="6" t="str">
        <f>IF(D8&lt;&gt;"",VLOOKUP(H8,TABLEITEM,3,FALSE),"")</f>
        <v>เหล็กแผ่นขาว4''X3000T2.0</v>
      </c>
      <c r="N8" s="7">
        <f>INSTOCK!$I8*INSTOCK!$K8</f>
        <v>196516</v>
      </c>
      <c r="O8" s="2"/>
      <c r="P8" s="2"/>
    </row>
    <row r="9" ht="18.0" customHeight="1">
      <c r="A9" s="1"/>
      <c r="B9" s="3">
        <v>8.0</v>
      </c>
      <c r="C9" s="4">
        <v>43101.0</v>
      </c>
      <c r="D9" s="2" t="s">
        <v>15</v>
      </c>
      <c r="E9" s="2"/>
      <c r="F9" s="3"/>
      <c r="G9" s="2"/>
      <c r="H9" s="2" t="s">
        <v>23</v>
      </c>
      <c r="I9" s="3">
        <v>119.0</v>
      </c>
      <c r="J9" s="3"/>
      <c r="K9" s="5">
        <v>1308.0</v>
      </c>
      <c r="L9" s="6" t="str">
        <f>IF(D9&lt;&gt;"",VLOOKUP(H9,TABLEITEM,2,FALSE),"")</f>
        <v>MAT ST</v>
      </c>
      <c r="M9" s="6" t="str">
        <f>IF(D9&lt;&gt;"",VLOOKUP(H9,TABLEITEM,3,FALSE),"")</f>
        <v>เหล็กแผ่นขาว4'x8'T2.3</v>
      </c>
      <c r="N9" s="7">
        <f>INSTOCK!$I9*INSTOCK!$K9</f>
        <v>155652</v>
      </c>
      <c r="O9" s="2"/>
      <c r="P9" s="2"/>
    </row>
    <row r="10" ht="18.0" customHeight="1">
      <c r="A10" s="1"/>
      <c r="B10" s="3">
        <v>9.0</v>
      </c>
      <c r="C10" s="4">
        <v>43101.0</v>
      </c>
      <c r="D10" s="2" t="s">
        <v>15</v>
      </c>
      <c r="E10" s="2"/>
      <c r="F10" s="3"/>
      <c r="G10" s="2"/>
      <c r="H10" s="2" t="s">
        <v>24</v>
      </c>
      <c r="I10" s="3">
        <v>14.0</v>
      </c>
      <c r="J10" s="3"/>
      <c r="K10" s="5">
        <v>1501.8</v>
      </c>
      <c r="L10" s="6" t="str">
        <f>IF(D10&lt;&gt;"",VLOOKUP(H10,TABLEITEM,2,FALSE),"")</f>
        <v>MAT ST</v>
      </c>
      <c r="M10" s="6" t="str">
        <f>IF(D10&lt;&gt;"",VLOOKUP(H10,TABLEITEM,3,FALSE),"")</f>
        <v>เหล็กแผ่นขาว4'x8'T2.6</v>
      </c>
      <c r="N10" s="7">
        <f>INSTOCK!$I10*INSTOCK!$K10</f>
        <v>21025.2</v>
      </c>
      <c r="O10" s="2"/>
      <c r="P10" s="2"/>
    </row>
    <row r="11" ht="18.0" customHeight="1">
      <c r="A11" s="1"/>
      <c r="B11" s="3">
        <v>10.0</v>
      </c>
      <c r="C11" s="4">
        <v>43101.0</v>
      </c>
      <c r="D11" s="2" t="s">
        <v>15</v>
      </c>
      <c r="E11" s="2"/>
      <c r="F11" s="3"/>
      <c r="G11" s="2"/>
      <c r="H11" s="2" t="s">
        <v>25</v>
      </c>
      <c r="I11" s="3">
        <v>260.0</v>
      </c>
      <c r="J11" s="3"/>
      <c r="K11" s="5">
        <v>1685.6</v>
      </c>
      <c r="L11" s="6" t="str">
        <f>IF(D11&lt;&gt;"",VLOOKUP(H11,TABLEITEM,2,FALSE),"")</f>
        <v>MAT ST</v>
      </c>
      <c r="M11" s="6" t="str">
        <f>IF(D11&lt;&gt;"",VLOOKUP(H11,TABLEITEM,3,FALSE),"")</f>
        <v>เหล็กแผ่นขาว4'x8'T3.0</v>
      </c>
      <c r="N11" s="7">
        <f>INSTOCK!$I11*INSTOCK!$K11</f>
        <v>438256</v>
      </c>
      <c r="O11" s="2"/>
      <c r="P11" s="2"/>
    </row>
    <row r="12" ht="18.0" customHeight="1">
      <c r="A12" s="1"/>
      <c r="B12" s="3">
        <v>11.0</v>
      </c>
      <c r="C12" s="4">
        <v>43101.0</v>
      </c>
      <c r="D12" s="2" t="s">
        <v>15</v>
      </c>
      <c r="E12" s="2"/>
      <c r="F12" s="3"/>
      <c r="G12" s="2"/>
      <c r="H12" s="2" t="s">
        <v>26</v>
      </c>
      <c r="I12" s="3">
        <v>8.0</v>
      </c>
      <c r="J12" s="3"/>
      <c r="K12" s="5">
        <v>2256.0</v>
      </c>
      <c r="L12" s="6" t="str">
        <f>IF(D12&lt;&gt;"",VLOOKUP(H12,TABLEITEM,2,FALSE),"")</f>
        <v>MAT ST</v>
      </c>
      <c r="M12" s="6" t="str">
        <f>IF(D12&lt;&gt;"",VLOOKUP(H12,TABLEITEM,3,FALSE),"")</f>
        <v>เหล็กแผ่นขาว4'x8'T3.2</v>
      </c>
      <c r="N12" s="7">
        <f>INSTOCK!$I12*INSTOCK!$K12</f>
        <v>18048</v>
      </c>
      <c r="O12" s="2"/>
      <c r="P12" s="2"/>
    </row>
    <row r="13" ht="18.0" customHeight="1">
      <c r="A13" s="1"/>
      <c r="B13" s="3">
        <v>12.0</v>
      </c>
      <c r="C13" s="4">
        <v>43101.0</v>
      </c>
      <c r="D13" s="2" t="s">
        <v>15</v>
      </c>
      <c r="E13" s="2"/>
      <c r="F13" s="3"/>
      <c r="G13" s="2"/>
      <c r="H13" s="2" t="s">
        <v>27</v>
      </c>
      <c r="I13" s="3">
        <v>84.0</v>
      </c>
      <c r="J13" s="3"/>
      <c r="K13" s="5">
        <v>282.0</v>
      </c>
      <c r="L13" s="6" t="str">
        <f>IF(D13&lt;&gt;"",VLOOKUP(H13,TABLEITEM,2,FALSE),"")</f>
        <v>MAT ST</v>
      </c>
      <c r="M13" s="6" t="str">
        <f>IF(D13&lt;&gt;"",VLOOKUP(H13,TABLEITEM,3,FALSE),"")</f>
        <v>เหล็กแผ่นขาว390x2440T1.6</v>
      </c>
      <c r="N13" s="7">
        <f>INSTOCK!$I13*INSTOCK!$K13</f>
        <v>23688</v>
      </c>
      <c r="O13" s="2"/>
      <c r="P13" s="2"/>
    </row>
    <row r="14" ht="18.0" customHeight="1">
      <c r="A14" s="1"/>
      <c r="B14" s="3">
        <v>13.0</v>
      </c>
      <c r="C14" s="4">
        <v>43101.0</v>
      </c>
      <c r="D14" s="2" t="s">
        <v>15</v>
      </c>
      <c r="E14" s="2"/>
      <c r="F14" s="3"/>
      <c r="G14" s="2"/>
      <c r="H14" s="2" t="s">
        <v>28</v>
      </c>
      <c r="I14" s="3">
        <v>92.0</v>
      </c>
      <c r="J14" s="3"/>
      <c r="K14" s="5">
        <v>423.0</v>
      </c>
      <c r="L14" s="6" t="str">
        <f>IF(D14&lt;&gt;"",VLOOKUP(H14,TABLEITEM,2,FALSE),"")</f>
        <v>MAT ST</v>
      </c>
      <c r="M14" s="6" t="str">
        <f>IF(D14&lt;&gt;"",VLOOKUP(H14,TABLEITEM,3,FALSE),"")</f>
        <v>เหล็กแผ่นขาว590x2440T1.6</v>
      </c>
      <c r="N14" s="7">
        <f>INSTOCK!$I14*INSTOCK!$K14</f>
        <v>38916</v>
      </c>
      <c r="O14" s="2"/>
      <c r="P14" s="2"/>
    </row>
    <row r="15" ht="18.0" customHeight="1">
      <c r="A15" s="1"/>
      <c r="B15" s="3">
        <v>14.0</v>
      </c>
      <c r="C15" s="4">
        <v>43101.0</v>
      </c>
      <c r="D15" s="2" t="s">
        <v>15</v>
      </c>
      <c r="E15" s="2"/>
      <c r="F15" s="3"/>
      <c r="G15" s="2"/>
      <c r="H15" s="2" t="s">
        <v>29</v>
      </c>
      <c r="I15" s="3">
        <v>80.0</v>
      </c>
      <c r="J15" s="3"/>
      <c r="K15" s="5">
        <v>357.2</v>
      </c>
      <c r="L15" s="6" t="str">
        <f>IF(D15&lt;&gt;"",VLOOKUP(H15,TABLEITEM,2,FALSE),"")</f>
        <v>MAT ST</v>
      </c>
      <c r="M15" s="6" t="str">
        <f>IF(D15&lt;&gt;"",VLOOKUP(H15,TABLEITEM,3,FALSE),"")</f>
        <v>เหล็กแผ่นขาว629x1942T1.6</v>
      </c>
      <c r="N15" s="7">
        <f>INSTOCK!$I15*INSTOCK!$K15</f>
        <v>28576</v>
      </c>
      <c r="O15" s="2"/>
      <c r="P15" s="2"/>
    </row>
    <row r="16" ht="18.0" customHeight="1">
      <c r="A16" s="1"/>
      <c r="B16" s="3">
        <v>15.0</v>
      </c>
      <c r="C16" s="4">
        <v>43101.0</v>
      </c>
      <c r="D16" s="2" t="s">
        <v>15</v>
      </c>
      <c r="E16" s="2"/>
      <c r="F16" s="3"/>
      <c r="G16" s="2"/>
      <c r="H16" s="2" t="s">
        <v>30</v>
      </c>
      <c r="I16" s="3">
        <v>96.0</v>
      </c>
      <c r="J16" s="3"/>
      <c r="K16" s="5">
        <v>416.0</v>
      </c>
      <c r="L16" s="6" t="str">
        <f>IF(D16&lt;&gt;"",VLOOKUP(H16,TABLEITEM,2,FALSE),"")</f>
        <v>MAT ST</v>
      </c>
      <c r="M16" s="6" t="str">
        <f>IF(D16&lt;&gt;"",VLOOKUP(H16,TABLEITEM,3,FALSE),"")</f>
        <v>เหล็กแผ่นขาว729x1942T1.6</v>
      </c>
      <c r="N16" s="7">
        <f>INSTOCK!$I16*INSTOCK!$K16</f>
        <v>39936</v>
      </c>
      <c r="O16" s="2"/>
      <c r="P16" s="2"/>
    </row>
    <row r="17" ht="18.0" customHeight="1">
      <c r="A17" s="1"/>
      <c r="B17" s="3">
        <v>16.0</v>
      </c>
      <c r="C17" s="4">
        <v>43101.0</v>
      </c>
      <c r="D17" s="2" t="s">
        <v>15</v>
      </c>
      <c r="E17" s="2"/>
      <c r="F17" s="3"/>
      <c r="G17" s="2"/>
      <c r="H17" s="2" t="s">
        <v>31</v>
      </c>
      <c r="I17" s="3">
        <v>148.0</v>
      </c>
      <c r="J17" s="3"/>
      <c r="K17" s="5">
        <v>472.4</v>
      </c>
      <c r="L17" s="6" t="str">
        <f>IF(D17&lt;&gt;"",VLOOKUP(H17,TABLEITEM,2,FALSE),"")</f>
        <v>MAT ST</v>
      </c>
      <c r="M17" s="6" t="str">
        <f>IF(D17&lt;&gt;"",VLOOKUP(H17,TABLEITEM,3,FALSE),"")</f>
        <v>เหล็กแผ่นขาว829x1942T1.6</v>
      </c>
      <c r="N17" s="7">
        <f>INSTOCK!$I17*INSTOCK!$K17</f>
        <v>69915.2</v>
      </c>
      <c r="O17" s="2"/>
      <c r="P17" s="2"/>
    </row>
    <row r="18" ht="18.0" customHeight="1">
      <c r="A18" s="1"/>
      <c r="B18" s="3">
        <v>17.0</v>
      </c>
      <c r="C18" s="4">
        <v>43101.0</v>
      </c>
      <c r="D18" s="2" t="s">
        <v>15</v>
      </c>
      <c r="E18" s="2"/>
      <c r="F18" s="3"/>
      <c r="G18" s="2"/>
      <c r="H18" s="2" t="s">
        <v>32</v>
      </c>
      <c r="I18" s="3">
        <v>54.0</v>
      </c>
      <c r="J18" s="3"/>
      <c r="K18" s="5"/>
      <c r="L18" s="6" t="str">
        <f>IF(D18&lt;&gt;"",VLOOKUP(H18,TABLEITEM,2,FALSE),"")</f>
        <v>MAT ST</v>
      </c>
      <c r="M18" s="6" t="str">
        <f>IF(D18&lt;&gt;"",VLOOKUP(H18,TABLEITEM,3,FALSE),"")</f>
        <v>เหล็กแผ่นขาว929x1220T1.6</v>
      </c>
      <c r="N18" s="7">
        <f>INSTOCK!$I18*INSTOCK!$K18</f>
        <v>0</v>
      </c>
      <c r="O18" s="2"/>
      <c r="P18" s="2"/>
    </row>
    <row r="19" ht="18.0" customHeight="1">
      <c r="A19" s="1"/>
      <c r="B19" s="3">
        <v>18.0</v>
      </c>
      <c r="C19" s="4">
        <v>43101.0</v>
      </c>
      <c r="D19" s="2" t="s">
        <v>15</v>
      </c>
      <c r="E19" s="2"/>
      <c r="F19" s="3"/>
      <c r="G19" s="2"/>
      <c r="H19" s="2" t="s">
        <v>33</v>
      </c>
      <c r="I19" s="3">
        <v>127.0</v>
      </c>
      <c r="J19" s="3"/>
      <c r="K19" s="5">
        <v>394.8</v>
      </c>
      <c r="L19" s="6" t="str">
        <f>IF(D19&lt;&gt;"",VLOOKUP(H19,TABLEITEM,2,FALSE),"")</f>
        <v>MAT ST</v>
      </c>
      <c r="M19" s="6" t="str">
        <f>IF(D19&lt;&gt;"",VLOOKUP(H19,TABLEITEM,3,FALSE),"")</f>
        <v>เหล็กแผ่นขาว629x2142T1.6</v>
      </c>
      <c r="N19" s="7">
        <f>INSTOCK!$I19*INSTOCK!$K19</f>
        <v>50139.6</v>
      </c>
      <c r="O19" s="2"/>
      <c r="P19" s="2"/>
    </row>
    <row r="20" ht="18.0" customHeight="1">
      <c r="A20" s="1"/>
      <c r="B20" s="3">
        <v>19.0</v>
      </c>
      <c r="C20" s="4">
        <v>43101.0</v>
      </c>
      <c r="D20" s="2" t="s">
        <v>15</v>
      </c>
      <c r="E20" s="2"/>
      <c r="F20" s="3"/>
      <c r="G20" s="2"/>
      <c r="H20" s="2" t="s">
        <v>34</v>
      </c>
      <c r="I20" s="3">
        <v>61.0</v>
      </c>
      <c r="J20" s="3"/>
      <c r="K20" s="5">
        <v>524.1</v>
      </c>
      <c r="L20" s="6" t="str">
        <f>IF(D20&lt;&gt;"",VLOOKUP(H20,TABLEITEM,2,FALSE),"")</f>
        <v>MAT ST</v>
      </c>
      <c r="M20" s="6" t="str">
        <f>IF(D20&lt;&gt;"",VLOOKUP(H20,TABLEITEM,3,FALSE),"")</f>
        <v>เหล็กแผ่นขาว729x2142T1.6</v>
      </c>
      <c r="N20" s="7">
        <f>INSTOCK!$I20*INSTOCK!$K20</f>
        <v>31970.1</v>
      </c>
      <c r="O20" s="2"/>
      <c r="P20" s="2"/>
    </row>
    <row r="21" ht="18.0" customHeight="1">
      <c r="A21" s="1"/>
      <c r="B21" s="3">
        <v>20.0</v>
      </c>
      <c r="C21" s="4">
        <v>43101.0</v>
      </c>
      <c r="D21" s="2" t="s">
        <v>15</v>
      </c>
      <c r="E21" s="2"/>
      <c r="F21" s="3"/>
      <c r="G21" s="2"/>
      <c r="H21" s="2" t="s">
        <v>35</v>
      </c>
      <c r="I21" s="3">
        <v>56.0</v>
      </c>
      <c r="J21" s="3"/>
      <c r="K21" s="5">
        <v>528.4</v>
      </c>
      <c r="L21" s="6" t="str">
        <f>IF(D21&lt;&gt;"",VLOOKUP(H21,TABLEITEM,2,FALSE),"")</f>
        <v>MAT ST</v>
      </c>
      <c r="M21" s="6" t="str">
        <f>IF(D21&lt;&gt;"",VLOOKUP(H21,TABLEITEM,3,FALSE),"")</f>
        <v>เหล็กแผ่นขาว829x2142T1.6</v>
      </c>
      <c r="N21" s="7">
        <f>INSTOCK!$I21*INSTOCK!$K21</f>
        <v>29590.4</v>
      </c>
      <c r="O21" s="2"/>
      <c r="P21" s="2"/>
    </row>
    <row r="22" ht="18.0" customHeight="1">
      <c r="A22" s="1"/>
      <c r="B22" s="3">
        <v>21.0</v>
      </c>
      <c r="C22" s="4">
        <v>43101.0</v>
      </c>
      <c r="D22" s="2" t="s">
        <v>15</v>
      </c>
      <c r="E22" s="2"/>
      <c r="F22" s="3"/>
      <c r="G22" s="2"/>
      <c r="H22" s="2" t="s">
        <v>36</v>
      </c>
      <c r="I22" s="3">
        <v>44.0</v>
      </c>
      <c r="J22" s="3"/>
      <c r="K22" s="5">
        <v>860.0</v>
      </c>
      <c r="L22" s="6" t="str">
        <f>IF(D22&lt;&gt;"",VLOOKUP(H22,TABLEITEM,2,FALSE),"")</f>
        <v>MAT ST</v>
      </c>
      <c r="M22" s="6" t="str">
        <f>IF(D22&lt;&gt;"",VLOOKUP(H22,TABLEITEM,3,FALSE),"")</f>
        <v>เหล็กแผ่นขาว1220x2142T1.6</v>
      </c>
      <c r="N22" s="7">
        <f>INSTOCK!$I22*INSTOCK!$K22</f>
        <v>37840</v>
      </c>
      <c r="O22" s="2"/>
      <c r="P22" s="2"/>
    </row>
    <row r="23" ht="18.0" customHeight="1">
      <c r="A23" s="1"/>
      <c r="B23" s="3">
        <v>22.0</v>
      </c>
      <c r="C23" s="4">
        <v>43101.0</v>
      </c>
      <c r="D23" s="2" t="s">
        <v>15</v>
      </c>
      <c r="E23" s="2"/>
      <c r="F23" s="3"/>
      <c r="G23" s="2"/>
      <c r="H23" s="2" t="s">
        <v>37</v>
      </c>
      <c r="I23" s="3">
        <v>57.0</v>
      </c>
      <c r="J23" s="3"/>
      <c r="K23" s="5">
        <v>585.2</v>
      </c>
      <c r="L23" s="6" t="str">
        <f>IF(D23&lt;&gt;"",VLOOKUP(H23,TABLEITEM,2,FALSE),"")</f>
        <v>MAT ST</v>
      </c>
      <c r="M23" s="6" t="str">
        <f>IF(D23&lt;&gt;"",VLOOKUP(H23,TABLEITEM,3,FALSE),"")</f>
        <v>เหล็กแผ่นขาว929x2142T1.6</v>
      </c>
      <c r="N23" s="7">
        <f>INSTOCK!$I23*INSTOCK!$K23</f>
        <v>33356.4</v>
      </c>
      <c r="O23" s="2"/>
      <c r="P23" s="2"/>
    </row>
    <row r="24" ht="18.0" customHeight="1">
      <c r="A24" s="1"/>
      <c r="B24" s="3">
        <v>23.0</v>
      </c>
      <c r="C24" s="4">
        <v>43101.0</v>
      </c>
      <c r="D24" s="2" t="s">
        <v>15</v>
      </c>
      <c r="E24" s="2"/>
      <c r="F24" s="3"/>
      <c r="G24" s="2"/>
      <c r="H24" s="2" t="s">
        <v>38</v>
      </c>
      <c r="I24" s="3">
        <v>5.0</v>
      </c>
      <c r="J24" s="3"/>
      <c r="K24" s="5">
        <v>2206.7</v>
      </c>
      <c r="L24" s="6" t="str">
        <f>IF(D24&lt;&gt;"",VLOOKUP(H24,TABLEITEM,2,FALSE),"")</f>
        <v>MAT ST</v>
      </c>
      <c r="M24" s="6" t="str">
        <f>IF(D24&lt;&gt;"",VLOOKUP(H24,TABLEITEM,3,FALSE),"")</f>
        <v>เหล็กแผ่นขาว4''x3000T3.0</v>
      </c>
      <c r="N24" s="7">
        <f>INSTOCK!$I24*INSTOCK!$K24</f>
        <v>11033.5</v>
      </c>
      <c r="O24" s="2"/>
      <c r="P24" s="2"/>
    </row>
    <row r="25" ht="18.0" customHeight="1">
      <c r="A25" s="1"/>
      <c r="B25" s="3">
        <v>24.0</v>
      </c>
      <c r="C25" s="4">
        <v>43101.0</v>
      </c>
      <c r="D25" s="2" t="s">
        <v>15</v>
      </c>
      <c r="E25" s="2"/>
      <c r="F25" s="3"/>
      <c r="G25" s="2"/>
      <c r="H25" s="2" t="s">
        <v>39</v>
      </c>
      <c r="I25" s="3">
        <v>52.0</v>
      </c>
      <c r="J25" s="3"/>
      <c r="K25" s="5">
        <v>778.4</v>
      </c>
      <c r="L25" s="6" t="str">
        <f>IF(D25&lt;&gt;"",VLOOKUP(H25,TABLEITEM,2,FALSE),"")</f>
        <v>MAT ST</v>
      </c>
      <c r="M25" s="6" t="str">
        <f>IF(D25&lt;&gt;"",VLOOKUP(H25,TABLEITEM,3,FALSE),"")</f>
        <v>เหล็กแผ่นEG4'x8'T1.2</v>
      </c>
      <c r="N25" s="7">
        <f>INSTOCK!$I25*INSTOCK!$K25</f>
        <v>40476.8</v>
      </c>
      <c r="O25" s="2"/>
      <c r="P25" s="2"/>
    </row>
    <row r="26" ht="18.0" customHeight="1">
      <c r="A26" s="1"/>
      <c r="B26" s="3">
        <v>25.0</v>
      </c>
      <c r="C26" s="4">
        <v>43101.0</v>
      </c>
      <c r="D26" s="2" t="s">
        <v>15</v>
      </c>
      <c r="E26" s="2"/>
      <c r="F26" s="3"/>
      <c r="G26" s="2"/>
      <c r="H26" s="2" t="s">
        <v>40</v>
      </c>
      <c r="I26" s="3">
        <v>97.0</v>
      </c>
      <c r="J26" s="3"/>
      <c r="K26" s="5">
        <v>1022.0</v>
      </c>
      <c r="L26" s="6" t="str">
        <f>IF(D26&lt;&gt;"",VLOOKUP(H26,TABLEITEM,2,FALSE),"")</f>
        <v>MAT ST</v>
      </c>
      <c r="M26" s="6" t="str">
        <f>IF(D26&lt;&gt;"",VLOOKUP(H26,TABLEITEM,3,FALSE),"")</f>
        <v>เหล็กแผ่นEG4'x8'T1.6</v>
      </c>
      <c r="N26" s="7">
        <f>INSTOCK!$I26*INSTOCK!$K26</f>
        <v>99134</v>
      </c>
      <c r="O26" s="2"/>
      <c r="P26" s="2"/>
    </row>
    <row r="27" ht="18.0" customHeight="1">
      <c r="A27" s="1"/>
      <c r="B27" s="3">
        <v>26.0</v>
      </c>
      <c r="C27" s="4">
        <v>43101.0</v>
      </c>
      <c r="D27" s="2" t="s">
        <v>15</v>
      </c>
      <c r="E27" s="2"/>
      <c r="F27" s="3"/>
      <c r="G27" s="2"/>
      <c r="H27" s="2" t="s">
        <v>41</v>
      </c>
      <c r="I27" s="3">
        <v>109.0</v>
      </c>
      <c r="J27" s="3"/>
      <c r="K27" s="5">
        <v>1282.5</v>
      </c>
      <c r="L27" s="6" t="str">
        <f>IF(D27&lt;&gt;"",VLOOKUP(H27,TABLEITEM,2,FALSE),"")</f>
        <v>MAT ST</v>
      </c>
      <c r="M27" s="6" t="str">
        <f>IF(D27&lt;&gt;"",VLOOKUP(H27,TABLEITEM,3,FALSE),"")</f>
        <v>เหล็กแผ่นEG4'x3000T1.6</v>
      </c>
      <c r="N27" s="7">
        <f>INSTOCK!$I27*INSTOCK!$K27</f>
        <v>139792.5</v>
      </c>
      <c r="O27" s="2"/>
      <c r="P27" s="2"/>
    </row>
    <row r="28" ht="18.0" customHeight="1">
      <c r="A28" s="1"/>
      <c r="B28" s="3">
        <v>27.0</v>
      </c>
      <c r="C28" s="4">
        <v>43101.0</v>
      </c>
      <c r="D28" s="2" t="s">
        <v>15</v>
      </c>
      <c r="E28" s="2"/>
      <c r="F28" s="3"/>
      <c r="G28" s="2"/>
      <c r="H28" s="2" t="s">
        <v>42</v>
      </c>
      <c r="I28" s="3">
        <v>209.0</v>
      </c>
      <c r="J28" s="3"/>
      <c r="K28" s="5">
        <v>1285.2</v>
      </c>
      <c r="L28" s="6" t="str">
        <f>IF(D28&lt;&gt;"",VLOOKUP(H28,TABLEITEM,2,FALSE),"")</f>
        <v>MAT ST</v>
      </c>
      <c r="M28" s="6" t="str">
        <f>IF(D28&lt;&gt;"",VLOOKUP(H28,TABLEITEM,3,FALSE),"")</f>
        <v>เหล็กแผ่นEG4'x8'T2.0</v>
      </c>
      <c r="N28" s="7">
        <f>INSTOCK!$I28*INSTOCK!$K28</f>
        <v>268606.8</v>
      </c>
      <c r="O28" s="2"/>
      <c r="P28" s="2"/>
    </row>
    <row r="29" ht="18.0" customHeight="1">
      <c r="A29" s="1"/>
      <c r="B29" s="3">
        <v>28.0</v>
      </c>
      <c r="C29" s="4">
        <v>43101.0</v>
      </c>
      <c r="D29" s="2" t="s">
        <v>15</v>
      </c>
      <c r="E29" s="2"/>
      <c r="F29" s="3"/>
      <c r="G29" s="2"/>
      <c r="H29" s="2" t="s">
        <v>43</v>
      </c>
      <c r="I29" s="3">
        <v>144.0</v>
      </c>
      <c r="J29" s="3"/>
      <c r="K29" s="5">
        <v>1733.0</v>
      </c>
      <c r="L29" s="6" t="str">
        <f>IF(D29&lt;&gt;"",VLOOKUP(H29,TABLEITEM,2,FALSE),"")</f>
        <v>MAT ST</v>
      </c>
      <c r="M29" s="6" t="str">
        <f>IF(D29&lt;&gt;"",VLOOKUP(H29,TABLEITEM,3,FALSE),"")</f>
        <v>เหล็กแผ่นEG4'x3000T2.0</v>
      </c>
      <c r="N29" s="7">
        <f>INSTOCK!$I29*INSTOCK!$K29</f>
        <v>249552</v>
      </c>
      <c r="O29" s="2"/>
      <c r="P29" s="2"/>
    </row>
    <row r="30" ht="18.0" customHeight="1">
      <c r="A30" s="1"/>
      <c r="B30" s="3">
        <v>29.0</v>
      </c>
      <c r="C30" s="4">
        <v>43101.0</v>
      </c>
      <c r="D30" s="2" t="s">
        <v>15</v>
      </c>
      <c r="E30" s="2"/>
      <c r="F30" s="3"/>
      <c r="G30" s="2"/>
      <c r="H30" s="2" t="s">
        <v>44</v>
      </c>
      <c r="I30" s="3">
        <v>1.0</v>
      </c>
      <c r="J30" s="3"/>
      <c r="K30" s="5">
        <v>1502.0</v>
      </c>
      <c r="L30" s="6" t="str">
        <f>IF(D30&lt;&gt;"",VLOOKUP(H30,TABLEITEM,2,FALSE),"")</f>
        <v>MAT ST</v>
      </c>
      <c r="M30" s="6" t="str">
        <f>IF(D30&lt;&gt;"",VLOOKUP(H30,TABLEITEM,3,FALSE),"")</f>
        <v>เหล็กแผ่นEG4'x8'T2.3</v>
      </c>
      <c r="N30" s="7">
        <f>INSTOCK!$I30*INSTOCK!$K30</f>
        <v>1502</v>
      </c>
      <c r="O30" s="2"/>
      <c r="P30" s="2"/>
    </row>
    <row r="31" ht="18.0" customHeight="1">
      <c r="A31" s="1"/>
      <c r="B31" s="3">
        <v>30.0</v>
      </c>
      <c r="C31" s="4">
        <v>43101.0</v>
      </c>
      <c r="D31" s="2" t="s">
        <v>15</v>
      </c>
      <c r="E31" s="2"/>
      <c r="F31" s="3"/>
      <c r="G31" s="2"/>
      <c r="H31" s="2" t="s">
        <v>45</v>
      </c>
      <c r="I31" s="3">
        <v>32.0</v>
      </c>
      <c r="J31" s="3"/>
      <c r="K31" s="5"/>
      <c r="L31" s="6" t="str">
        <f>IF(D31&lt;&gt;"",VLOOKUP(H31,TABLEITEM,2,FALSE),"")</f>
        <v>MAT ST</v>
      </c>
      <c r="M31" s="6" t="str">
        <f>IF(D31&lt;&gt;"",VLOOKUP(H31,TABLEITEM,3,FALSE),"")</f>
        <v>เหล็กแผ่นEG4'x8'T2.6</v>
      </c>
      <c r="N31" s="7">
        <f>INSTOCK!$I31*INSTOCK!$K31</f>
        <v>0</v>
      </c>
      <c r="O31" s="2"/>
      <c r="P31" s="2"/>
    </row>
    <row r="32" ht="18.0" customHeight="1">
      <c r="A32" s="1"/>
      <c r="B32" s="3">
        <v>31.0</v>
      </c>
      <c r="C32" s="4">
        <v>43101.0</v>
      </c>
      <c r="D32" s="2" t="s">
        <v>15</v>
      </c>
      <c r="E32" s="2"/>
      <c r="F32" s="3"/>
      <c r="G32" s="2"/>
      <c r="H32" s="2" t="s">
        <v>46</v>
      </c>
      <c r="I32" s="3">
        <v>34.0</v>
      </c>
      <c r="J32" s="3"/>
      <c r="K32" s="5">
        <v>2246.4</v>
      </c>
      <c r="L32" s="6" t="str">
        <f>IF(D32&lt;&gt;"",VLOOKUP(H32,TABLEITEM,2,FALSE),"")</f>
        <v>MAT ST</v>
      </c>
      <c r="M32" s="6" t="str">
        <f>IF(D32&lt;&gt;"",VLOOKUP(H32,TABLEITEM,3,FALSE),"")</f>
        <v>เหล็กแผ่นEG4'x8'T3.0</v>
      </c>
      <c r="N32" s="7">
        <f>INSTOCK!$I32*INSTOCK!$K32</f>
        <v>76377.6</v>
      </c>
      <c r="O32" s="2"/>
      <c r="P32" s="2"/>
    </row>
    <row r="33" ht="18.0" customHeight="1">
      <c r="A33" s="1"/>
      <c r="B33" s="3">
        <v>32.0</v>
      </c>
      <c r="C33" s="4">
        <v>43101.0</v>
      </c>
      <c r="D33" s="2" t="s">
        <v>15</v>
      </c>
      <c r="E33" s="2"/>
      <c r="F33" s="3"/>
      <c r="G33" s="2"/>
      <c r="H33" s="2" t="s">
        <v>47</v>
      </c>
      <c r="I33" s="3">
        <v>25.0</v>
      </c>
      <c r="J33" s="3"/>
      <c r="K33" s="5">
        <v>2768.0</v>
      </c>
      <c r="L33" s="6" t="str">
        <f>IF(D33&lt;&gt;"",VLOOKUP(H33,TABLEITEM,2,FALSE),"")</f>
        <v>MAT ST</v>
      </c>
      <c r="M33" s="6" t="str">
        <f>IF(D33&lt;&gt;"",VLOOKUP(H33,TABLEITEM,3,FALSE),"")</f>
        <v>เหล็กแผ่นEG4'x3000T3.0</v>
      </c>
      <c r="N33" s="7">
        <f>INSTOCK!$I33*INSTOCK!$K33</f>
        <v>69200</v>
      </c>
      <c r="O33" s="2"/>
      <c r="P33" s="2"/>
    </row>
    <row r="34" ht="18.0" customHeight="1">
      <c r="A34" s="1"/>
      <c r="B34" s="3">
        <v>33.0</v>
      </c>
      <c r="C34" s="4">
        <v>43101.0</v>
      </c>
      <c r="D34" s="2" t="s">
        <v>15</v>
      </c>
      <c r="E34" s="2"/>
      <c r="F34" s="3"/>
      <c r="G34" s="2"/>
      <c r="H34" s="2" t="s">
        <v>48</v>
      </c>
      <c r="I34" s="3">
        <v>0.0</v>
      </c>
      <c r="J34" s="3"/>
      <c r="K34" s="8"/>
      <c r="L34" s="6" t="str">
        <f>IF(D34&lt;&gt;"",VLOOKUP(H34,TABLEITEM,2,FALSE),"")</f>
        <v>MAT ST</v>
      </c>
      <c r="M34" s="6" t="str">
        <f>IF(D34&lt;&gt;"",VLOOKUP(H34,TABLEITEM,3,FALSE),"")</f>
        <v>เหล็กแผ่นดำ4'x8'T1.6</v>
      </c>
      <c r="N34" s="7">
        <f>INSTOCK!$I34*INSTOCK!$K34</f>
        <v>0</v>
      </c>
      <c r="O34" s="2"/>
      <c r="P34" s="2"/>
    </row>
    <row r="35" ht="18.0" customHeight="1">
      <c r="A35" s="1"/>
      <c r="B35" s="3">
        <v>34.0</v>
      </c>
      <c r="C35" s="4">
        <v>43101.0</v>
      </c>
      <c r="D35" s="2" t="s">
        <v>15</v>
      </c>
      <c r="E35" s="2"/>
      <c r="F35" s="3"/>
      <c r="G35" s="2"/>
      <c r="H35" s="2" t="s">
        <v>49</v>
      </c>
      <c r="I35" s="3">
        <v>155.0</v>
      </c>
      <c r="J35" s="3"/>
      <c r="K35" s="8"/>
      <c r="L35" s="6" t="str">
        <f>IF(D35&lt;&gt;"",VLOOKUP(H35,TABLEITEM,2,FALSE),"")</f>
        <v>MAT ST</v>
      </c>
      <c r="M35" s="6" t="str">
        <f>IF(D35&lt;&gt;"",VLOOKUP(H35,TABLEITEM,3,FALSE),"")</f>
        <v>เหล็กแผ่นดำ4''x3000T1.6</v>
      </c>
      <c r="N35" s="7">
        <f>INSTOCK!$I35*INSTOCK!$K35</f>
        <v>0</v>
      </c>
      <c r="O35" s="2"/>
      <c r="P35" s="2"/>
    </row>
    <row r="36" ht="18.0" customHeight="1">
      <c r="A36" s="1"/>
      <c r="B36" s="3">
        <v>35.0</v>
      </c>
      <c r="C36" s="4">
        <v>43101.0</v>
      </c>
      <c r="D36" s="2" t="s">
        <v>15</v>
      </c>
      <c r="E36" s="2"/>
      <c r="F36" s="3"/>
      <c r="G36" s="2"/>
      <c r="H36" s="2" t="s">
        <v>50</v>
      </c>
      <c r="I36" s="3">
        <v>18.0</v>
      </c>
      <c r="J36" s="3"/>
      <c r="K36" s="8"/>
      <c r="L36" s="6" t="str">
        <f>IF(D36&lt;&gt;"",VLOOKUP(H36,TABLEITEM,2,FALSE),"")</f>
        <v>MAT ST</v>
      </c>
      <c r="M36" s="6" t="str">
        <f>IF(D36&lt;&gt;"",VLOOKUP(H36,TABLEITEM,3,FALSE),"")</f>
        <v>เหล็กแผ่นดำ4'x8'T2.0</v>
      </c>
      <c r="N36" s="7">
        <f>INSTOCK!$I36*INSTOCK!$K36</f>
        <v>0</v>
      </c>
      <c r="O36" s="2"/>
      <c r="P36" s="2"/>
    </row>
    <row r="37" ht="18.0" customHeight="1">
      <c r="A37" s="1"/>
      <c r="B37" s="3">
        <v>36.0</v>
      </c>
      <c r="C37" s="4">
        <v>43101.0</v>
      </c>
      <c r="D37" s="2" t="s">
        <v>15</v>
      </c>
      <c r="E37" s="2"/>
      <c r="F37" s="3"/>
      <c r="G37" s="2"/>
      <c r="H37" s="2" t="s">
        <v>51</v>
      </c>
      <c r="I37" s="3">
        <v>29.0</v>
      </c>
      <c r="J37" s="3"/>
      <c r="K37" s="8"/>
      <c r="L37" s="6" t="str">
        <f>IF(D37&lt;&gt;"",VLOOKUP(H37,TABLEITEM,2,FALSE),"")</f>
        <v>MAT ST</v>
      </c>
      <c r="M37" s="6" t="str">
        <f>IF(D37&lt;&gt;"",VLOOKUP(H37,TABLEITEM,3,FALSE),"")</f>
        <v>เหล็กแผ่นดำ4'x3000T2.0</v>
      </c>
      <c r="N37" s="7">
        <f>INSTOCK!$I37*INSTOCK!$K37</f>
        <v>0</v>
      </c>
      <c r="O37" s="2"/>
      <c r="P37" s="2"/>
    </row>
    <row r="38" ht="18.0" customHeight="1">
      <c r="A38" s="1"/>
      <c r="B38" s="3">
        <v>37.0</v>
      </c>
      <c r="C38" s="4">
        <v>43101.0</v>
      </c>
      <c r="D38" s="2" t="s">
        <v>15</v>
      </c>
      <c r="E38" s="2"/>
      <c r="F38" s="3"/>
      <c r="G38" s="2"/>
      <c r="H38" s="2" t="s">
        <v>52</v>
      </c>
      <c r="I38" s="3">
        <v>34.0</v>
      </c>
      <c r="J38" s="3"/>
      <c r="K38" s="5">
        <v>1795.0</v>
      </c>
      <c r="L38" s="6" t="str">
        <f>IF(D38&lt;&gt;"",VLOOKUP(H38,TABLEITEM,2,FALSE),"")</f>
        <v>MAT ST</v>
      </c>
      <c r="M38" s="6" t="str">
        <f>IF(D38&lt;&gt;"",VLOOKUP(H38,TABLEITEM,3,FALSE),"")</f>
        <v>เหล็กแผ่นดำ5'x10'T2.0</v>
      </c>
      <c r="N38" s="7">
        <f>INSTOCK!$I38*INSTOCK!$K38</f>
        <v>61030</v>
      </c>
      <c r="O38" s="2"/>
      <c r="P38" s="2"/>
    </row>
    <row r="39" ht="18.0" customHeight="1">
      <c r="A39" s="1"/>
      <c r="B39" s="3">
        <v>38.0</v>
      </c>
      <c r="C39" s="4">
        <v>43101.0</v>
      </c>
      <c r="D39" s="2" t="s">
        <v>15</v>
      </c>
      <c r="E39" s="2"/>
      <c r="F39" s="3"/>
      <c r="G39" s="2"/>
      <c r="H39" s="2" t="s">
        <v>53</v>
      </c>
      <c r="I39" s="3">
        <v>29.0</v>
      </c>
      <c r="J39" s="3"/>
      <c r="K39" s="8"/>
      <c r="L39" s="6" t="str">
        <f>IF(D39&lt;&gt;"",VLOOKUP(H39,TABLEITEM,2,FALSE),"")</f>
        <v>MAT ST</v>
      </c>
      <c r="M39" s="6" t="str">
        <f>IF(D39&lt;&gt;"",VLOOKUP(H39,TABLEITEM,3,FALSE),"")</f>
        <v>เหล็กแผ่นดำ5'x10'T2.3</v>
      </c>
      <c r="N39" s="7">
        <f>INSTOCK!$I39*INSTOCK!$K39</f>
        <v>0</v>
      </c>
      <c r="O39" s="2"/>
      <c r="P39" s="2"/>
    </row>
    <row r="40" ht="18.0" customHeight="1">
      <c r="A40" s="1"/>
      <c r="B40" s="3">
        <v>39.0</v>
      </c>
      <c r="C40" s="4">
        <v>43101.0</v>
      </c>
      <c r="D40" s="2" t="s">
        <v>15</v>
      </c>
      <c r="E40" s="2"/>
      <c r="F40" s="3"/>
      <c r="G40" s="2"/>
      <c r="H40" s="2" t="s">
        <v>54</v>
      </c>
      <c r="I40" s="3">
        <v>99.0</v>
      </c>
      <c r="J40" s="3"/>
      <c r="K40" s="5">
        <v>2690.0</v>
      </c>
      <c r="L40" s="6" t="str">
        <f>IF(D40&lt;&gt;"",VLOOKUP(H40,TABLEITEM,2,FALSE),"")</f>
        <v>MAT ST</v>
      </c>
      <c r="M40" s="6" t="str">
        <f>IF(D40&lt;&gt;"",VLOOKUP(H40,TABLEITEM,3,FALSE),"")</f>
        <v>เหล็กแผ่นดำ5'x10'T3.0</v>
      </c>
      <c r="N40" s="7">
        <f>INSTOCK!$I40*INSTOCK!$K40</f>
        <v>266310</v>
      </c>
      <c r="O40" s="2"/>
      <c r="P40" s="2"/>
    </row>
    <row r="41" ht="18.0" customHeight="1">
      <c r="A41" s="1"/>
      <c r="B41" s="3">
        <v>40.0</v>
      </c>
      <c r="C41" s="4">
        <v>43101.0</v>
      </c>
      <c r="D41" s="2" t="s">
        <v>15</v>
      </c>
      <c r="E41" s="2"/>
      <c r="F41" s="3"/>
      <c r="G41" s="2"/>
      <c r="H41" s="2" t="s">
        <v>55</v>
      </c>
      <c r="I41" s="3">
        <v>6.0</v>
      </c>
      <c r="J41" s="3"/>
      <c r="K41" s="5">
        <v>3170.0</v>
      </c>
      <c r="L41" s="6" t="str">
        <f>IF(D41&lt;&gt;"",VLOOKUP(H41,TABLEITEM,2,FALSE),"")</f>
        <v>MAT ST</v>
      </c>
      <c r="M41" s="6" t="str">
        <f>IF(D41&lt;&gt;"",VLOOKUP(H41,TABLEITEM,3,FALSE),"")</f>
        <v>เหล็กแผ่นดำ5'x10'T4.5</v>
      </c>
      <c r="N41" s="7">
        <f>INSTOCK!$I41*INSTOCK!$K41</f>
        <v>19020</v>
      </c>
      <c r="O41" s="2"/>
      <c r="P41" s="2"/>
    </row>
    <row r="42" ht="18.0" customHeight="1">
      <c r="A42" s="1"/>
      <c r="B42" s="3">
        <v>41.0</v>
      </c>
      <c r="C42" s="4">
        <v>43101.0</v>
      </c>
      <c r="D42" s="2" t="s">
        <v>15</v>
      </c>
      <c r="E42" s="2"/>
      <c r="F42" s="3"/>
      <c r="G42" s="2"/>
      <c r="H42" s="2" t="s">
        <v>56</v>
      </c>
      <c r="I42" s="3">
        <v>0.0</v>
      </c>
      <c r="J42" s="3"/>
      <c r="K42" s="5"/>
      <c r="L42" s="6" t="str">
        <f>IF(D42&lt;&gt;"",VLOOKUP(H42,TABLEITEM,2,FALSE),"")</f>
        <v>MAT ST</v>
      </c>
      <c r="M42" s="6" t="str">
        <f>IF(D42&lt;&gt;"",VLOOKUP(H42,TABLEITEM,3,FALSE),"")</f>
        <v>เหล็กแผ่นดำ4'x8'T5.0</v>
      </c>
      <c r="N42" s="7">
        <f>INSTOCK!$I42*INSTOCK!$K42</f>
        <v>0</v>
      </c>
      <c r="O42" s="2"/>
      <c r="P42" s="2"/>
    </row>
    <row r="43" ht="18.0" customHeight="1">
      <c r="A43" s="1"/>
      <c r="B43" s="3">
        <v>42.0</v>
      </c>
      <c r="C43" s="4">
        <v>43101.0</v>
      </c>
      <c r="D43" s="2" t="s">
        <v>15</v>
      </c>
      <c r="E43" s="2"/>
      <c r="F43" s="3"/>
      <c r="G43" s="2"/>
      <c r="H43" s="2" t="s">
        <v>57</v>
      </c>
      <c r="I43" s="3">
        <v>0.0</v>
      </c>
      <c r="J43" s="3"/>
      <c r="K43" s="5">
        <v>4200.0</v>
      </c>
      <c r="L43" s="6" t="str">
        <f>IF(D43&lt;&gt;"",VLOOKUP(H43,TABLEITEM,2,FALSE),"")</f>
        <v>MAT ST</v>
      </c>
      <c r="M43" s="6" t="str">
        <f>IF(D43&lt;&gt;"",VLOOKUP(H43,TABLEITEM,3,FALSE),"")</f>
        <v>เหล็กแผ่นดำ4'x8'T9.0</v>
      </c>
      <c r="N43" s="7">
        <f>INSTOCK!$I43*INSTOCK!$K43</f>
        <v>0</v>
      </c>
      <c r="O43" s="2"/>
      <c r="P43" s="2"/>
    </row>
    <row r="44" ht="18.0" customHeight="1">
      <c r="A44" s="1"/>
      <c r="B44" s="3">
        <v>43.0</v>
      </c>
      <c r="C44" s="4">
        <v>43101.0</v>
      </c>
      <c r="D44" s="2" t="s">
        <v>15</v>
      </c>
      <c r="E44" s="2"/>
      <c r="F44" s="3"/>
      <c r="G44" s="2"/>
      <c r="H44" s="2" t="s">
        <v>58</v>
      </c>
      <c r="I44" s="3">
        <v>19.0</v>
      </c>
      <c r="J44" s="3"/>
      <c r="K44" s="5">
        <v>1730.0</v>
      </c>
      <c r="L44" s="6" t="str">
        <f>IF(D44&lt;&gt;"",VLOOKUP(H44,TABLEITEM,2,FALSE),"")</f>
        <v>MAT ST</v>
      </c>
      <c r="M44" s="6" t="str">
        <f>IF(D44&lt;&gt;"",VLOOKUP(H44,TABLEITEM,3,FALSE),"")</f>
        <v>เหล็กแผ่นดำ4'x8'T3.0</v>
      </c>
      <c r="N44" s="7">
        <f>INSTOCK!$I44*INSTOCK!$K44</f>
        <v>32870</v>
      </c>
      <c r="O44" s="2"/>
      <c r="P44" s="2"/>
    </row>
    <row r="45" ht="18.0" customHeight="1">
      <c r="A45" s="1"/>
      <c r="B45" s="3">
        <v>44.0</v>
      </c>
      <c r="C45" s="4">
        <v>43101.0</v>
      </c>
      <c r="D45" s="2" t="s">
        <v>15</v>
      </c>
      <c r="E45" s="2"/>
      <c r="F45" s="3"/>
      <c r="G45" s="2"/>
      <c r="H45" s="2" t="s">
        <v>59</v>
      </c>
      <c r="I45" s="3">
        <v>0.0</v>
      </c>
      <c r="J45" s="3"/>
      <c r="K45" s="5">
        <v>3360.0</v>
      </c>
      <c r="L45" s="6" t="str">
        <f>IF(D45&lt;&gt;"",VLOOKUP(H45,TABLEITEM,2,FALSE),"")</f>
        <v>MAT ST</v>
      </c>
      <c r="M45" s="6" t="str">
        <f>IF(D45&lt;&gt;"",VLOOKUP(H45,TABLEITEM,3,FALSE),"")</f>
        <v>เหล็กแผ่นดำ4'x8'T6.0</v>
      </c>
      <c r="N45" s="7">
        <f>INSTOCK!$I45*INSTOCK!$K45</f>
        <v>0</v>
      </c>
      <c r="O45" s="2"/>
      <c r="P45" s="2"/>
    </row>
    <row r="46" ht="18.0" customHeight="1">
      <c r="A46" s="1"/>
      <c r="B46" s="3">
        <v>45.0</v>
      </c>
      <c r="C46" s="4">
        <v>43101.0</v>
      </c>
      <c r="D46" s="2" t="s">
        <v>15</v>
      </c>
      <c r="E46" s="2"/>
      <c r="F46" s="3"/>
      <c r="G46" s="2"/>
      <c r="H46" s="2" t="s">
        <v>60</v>
      </c>
      <c r="I46" s="3">
        <v>5.0</v>
      </c>
      <c r="J46" s="3"/>
      <c r="K46" s="5">
        <v>1400.0</v>
      </c>
      <c r="L46" s="6" t="str">
        <f>IF(D46&lt;&gt;"",VLOOKUP(H46,TABLEITEM,2,FALSE),"")</f>
        <v>MAT ST</v>
      </c>
      <c r="M46" s="6" t="str">
        <f>IF(D46&lt;&gt;"",VLOOKUP(H46,TABLEITEM,3,FALSE),"")</f>
        <v>สแตนเลสแผ่น4'x8'T0.8</v>
      </c>
      <c r="N46" s="7">
        <f>INSTOCK!$I46*INSTOCK!$K46</f>
        <v>7000</v>
      </c>
      <c r="O46" s="2"/>
      <c r="P46" s="2"/>
    </row>
    <row r="47" ht="18.0" customHeight="1">
      <c r="A47" s="1"/>
      <c r="B47" s="3">
        <v>46.0</v>
      </c>
      <c r="C47" s="4">
        <v>43101.0</v>
      </c>
      <c r="D47" s="2" t="s">
        <v>15</v>
      </c>
      <c r="E47" s="2"/>
      <c r="F47" s="3"/>
      <c r="G47" s="2"/>
      <c r="H47" s="2" t="s">
        <v>61</v>
      </c>
      <c r="I47" s="3">
        <v>32.0</v>
      </c>
      <c r="J47" s="3"/>
      <c r="K47" s="5">
        <v>2245.0</v>
      </c>
      <c r="L47" s="6" t="str">
        <f>IF(D47&lt;&gt;"",VLOOKUP(H47,TABLEITEM,2,FALSE),"")</f>
        <v>MAT ST</v>
      </c>
      <c r="M47" s="6" t="str">
        <f>IF(D47&lt;&gt;"",VLOOKUP(H47,TABLEITEM,3,FALSE),"")</f>
        <v>สแตนเลสแผ่น4'x8'T1.2</v>
      </c>
      <c r="N47" s="7">
        <f>INSTOCK!$I47*INSTOCK!$K47</f>
        <v>71840</v>
      </c>
      <c r="O47" s="2"/>
      <c r="P47" s="2"/>
    </row>
    <row r="48" ht="18.0" customHeight="1">
      <c r="A48" s="1"/>
      <c r="B48" s="3">
        <v>47.0</v>
      </c>
      <c r="C48" s="4">
        <v>43101.0</v>
      </c>
      <c r="D48" s="2" t="s">
        <v>15</v>
      </c>
      <c r="E48" s="2"/>
      <c r="F48" s="3"/>
      <c r="G48" s="2"/>
      <c r="H48" s="2" t="s">
        <v>62</v>
      </c>
      <c r="I48" s="3">
        <v>23.0</v>
      </c>
      <c r="J48" s="3"/>
      <c r="K48" s="5">
        <v>2850.0</v>
      </c>
      <c r="L48" s="6" t="str">
        <f>IF(D48&lt;&gt;"",VLOOKUP(H48,TABLEITEM,2,FALSE),"")</f>
        <v>MAT ST</v>
      </c>
      <c r="M48" s="6" t="str">
        <f>IF(D48&lt;&gt;"",VLOOKUP(H48,TABLEITEM,3,FALSE),"")</f>
        <v>สแตนเลสแผ่น4'x8'T1.5</v>
      </c>
      <c r="N48" s="7">
        <f>INSTOCK!$I48*INSTOCK!$K48</f>
        <v>65550</v>
      </c>
      <c r="O48" s="2"/>
      <c r="P48" s="2"/>
    </row>
    <row r="49" ht="18.0" customHeight="1">
      <c r="A49" s="1"/>
      <c r="B49" s="3">
        <v>48.0</v>
      </c>
      <c r="C49" s="4">
        <v>43101.0</v>
      </c>
      <c r="D49" s="2" t="s">
        <v>15</v>
      </c>
      <c r="E49" s="2"/>
      <c r="F49" s="3"/>
      <c r="G49" s="2"/>
      <c r="H49" s="2" t="s">
        <v>63</v>
      </c>
      <c r="I49" s="3">
        <v>24.0</v>
      </c>
      <c r="J49" s="3"/>
      <c r="K49" s="5">
        <v>3790.0</v>
      </c>
      <c r="L49" s="6" t="str">
        <f>IF(D49&lt;&gt;"",VLOOKUP(H49,TABLEITEM,2,FALSE),"")</f>
        <v>MAT ST</v>
      </c>
      <c r="M49" s="6" t="str">
        <f>IF(D49&lt;&gt;"",VLOOKUP(H49,TABLEITEM,3,FALSE),"")</f>
        <v>สแตนเลสแผ่น4'x8'T2.0</v>
      </c>
      <c r="N49" s="7">
        <f>INSTOCK!$I49*INSTOCK!$K49</f>
        <v>90960</v>
      </c>
      <c r="O49" s="2"/>
      <c r="P49" s="2"/>
    </row>
    <row r="50" ht="18.0" customHeight="1">
      <c r="A50" s="1"/>
      <c r="B50" s="3">
        <v>49.0</v>
      </c>
      <c r="C50" s="4">
        <v>43101.0</v>
      </c>
      <c r="D50" s="2" t="s">
        <v>15</v>
      </c>
      <c r="E50" s="2"/>
      <c r="F50" s="3"/>
      <c r="G50" s="2"/>
      <c r="H50" s="2" t="s">
        <v>64</v>
      </c>
      <c r="I50" s="3">
        <v>1.0</v>
      </c>
      <c r="J50" s="3"/>
      <c r="K50" s="5"/>
      <c r="L50" s="6" t="str">
        <f>IF(D50&lt;&gt;"",VLOOKUP(H50,TABLEITEM,2,FALSE),"")</f>
        <v>MAT ST</v>
      </c>
      <c r="M50" s="6" t="str">
        <f>IF(D50&lt;&gt;"",VLOOKUP(H50,TABLEITEM,3,FALSE),"")</f>
        <v>สแตนเลสแผ่น4'x8'T5.0</v>
      </c>
      <c r="N50" s="7">
        <f>INSTOCK!$I50*INSTOCK!$K50</f>
        <v>0</v>
      </c>
      <c r="O50" s="2"/>
      <c r="P50" s="2"/>
    </row>
    <row r="51" ht="18.0" customHeight="1">
      <c r="A51" s="1"/>
      <c r="B51" s="3">
        <v>50.0</v>
      </c>
      <c r="C51" s="4">
        <v>43101.0</v>
      </c>
      <c r="D51" s="2" t="s">
        <v>15</v>
      </c>
      <c r="E51" s="2"/>
      <c r="F51" s="3"/>
      <c r="G51" s="2"/>
      <c r="H51" s="2" t="s">
        <v>65</v>
      </c>
      <c r="I51" s="3">
        <v>1.0</v>
      </c>
      <c r="J51" s="3"/>
      <c r="K51" s="5">
        <v>3170.0</v>
      </c>
      <c r="L51" s="6" t="str">
        <f>IF(D51&lt;&gt;"",VLOOKUP(H51,TABLEITEM,2,FALSE),"")</f>
        <v>MAT ST</v>
      </c>
      <c r="M51" s="6" t="str">
        <f>IF(D51&lt;&gt;"",VLOOKUP(H51,TABLEITEM,3,FALSE),"")</f>
        <v>สแตนเลสแผ่น4'x8'T10</v>
      </c>
      <c r="N51" s="7">
        <f>INSTOCK!$I51*INSTOCK!$K51</f>
        <v>3170</v>
      </c>
      <c r="O51" s="2"/>
      <c r="P51" s="2"/>
    </row>
    <row r="52" ht="18.0" customHeight="1">
      <c r="A52" s="1"/>
      <c r="B52" s="3">
        <v>51.0</v>
      </c>
      <c r="C52" s="4">
        <v>43101.0</v>
      </c>
      <c r="D52" s="2" t="s">
        <v>15</v>
      </c>
      <c r="E52" s="2"/>
      <c r="F52" s="3"/>
      <c r="G52" s="2"/>
      <c r="H52" s="2" t="s">
        <v>66</v>
      </c>
      <c r="I52" s="3">
        <v>0.0</v>
      </c>
      <c r="J52" s="3"/>
      <c r="K52" s="5">
        <v>5160.0</v>
      </c>
      <c r="L52" s="6" t="str">
        <f>IF(D52&lt;&gt;"",VLOOKUP(H52,TABLEITEM,2,FALSE),"")</f>
        <v>MAT ST</v>
      </c>
      <c r="M52" s="6" t="str">
        <f>IF(D52&lt;&gt;"",VLOOKUP(H52,TABLEITEM,3,FALSE),"")</f>
        <v>สแตนเลสแผ่น4'x8'T3.0</v>
      </c>
      <c r="N52" s="7">
        <f>INSTOCK!$I52*INSTOCK!$K52</f>
        <v>0</v>
      </c>
      <c r="O52" s="2"/>
      <c r="P52" s="2"/>
    </row>
    <row r="53" ht="18.0" customHeight="1">
      <c r="A53" s="1"/>
      <c r="B53" s="3">
        <v>52.0</v>
      </c>
      <c r="C53" s="4">
        <v>43101.0</v>
      </c>
      <c r="D53" s="2" t="s">
        <v>15</v>
      </c>
      <c r="E53" s="2"/>
      <c r="F53" s="3"/>
      <c r="G53" s="2"/>
      <c r="H53" s="2" t="s">
        <v>67</v>
      </c>
      <c r="I53" s="3">
        <v>14.0</v>
      </c>
      <c r="J53" s="3"/>
      <c r="K53" s="5"/>
      <c r="L53" s="6" t="str">
        <f>IF(D53&lt;&gt;"",VLOOKUP(H53,TABLEITEM,2,FALSE),"")</f>
        <v>MAT ST</v>
      </c>
      <c r="M53" s="6" t="str">
        <f>IF(D53&lt;&gt;"",VLOOKUP(H53,TABLEITEM,3,FALSE),"")</f>
        <v>แผ่นสังกะสี4'x8'T1.2</v>
      </c>
      <c r="N53" s="7">
        <f>INSTOCK!$I53*INSTOCK!$K53</f>
        <v>0</v>
      </c>
      <c r="O53" s="2"/>
      <c r="P53" s="2"/>
    </row>
    <row r="54" ht="18.0" customHeight="1">
      <c r="A54" s="1"/>
      <c r="B54" s="3">
        <v>53.0</v>
      </c>
      <c r="C54" s="4">
        <v>43101.0</v>
      </c>
      <c r="D54" s="2" t="s">
        <v>15</v>
      </c>
      <c r="E54" s="2"/>
      <c r="F54" s="3"/>
      <c r="G54" s="2"/>
      <c r="H54" s="2" t="s">
        <v>68</v>
      </c>
      <c r="I54" s="3">
        <v>5.0</v>
      </c>
      <c r="J54" s="3"/>
      <c r="K54" s="5">
        <v>895.0</v>
      </c>
      <c r="L54" s="6" t="str">
        <f>IF(D54&lt;&gt;"",VLOOKUP(H54,TABLEITEM,2,FALSE),"")</f>
        <v>MAT ST</v>
      </c>
      <c r="M54" s="6" t="str">
        <f>IF(D54&lt;&gt;"",VLOOKUP(H54,TABLEITEM,3,FALSE),"")</f>
        <v>แผ่นสังกะสี4'x8'T1.5</v>
      </c>
      <c r="N54" s="7">
        <f>INSTOCK!$I54*INSTOCK!$K54</f>
        <v>4475</v>
      </c>
      <c r="O54" s="2"/>
      <c r="P54" s="2"/>
    </row>
    <row r="55" ht="18.0" customHeight="1">
      <c r="A55" s="1"/>
      <c r="B55" s="3">
        <v>54.0</v>
      </c>
      <c r="C55" s="4">
        <v>43101.0</v>
      </c>
      <c r="D55" s="2" t="s">
        <v>15</v>
      </c>
      <c r="E55" s="2"/>
      <c r="F55" s="3"/>
      <c r="G55" s="2"/>
      <c r="H55" s="2" t="s">
        <v>69</v>
      </c>
      <c r="I55" s="3">
        <v>34.0</v>
      </c>
      <c r="J55" s="3"/>
      <c r="K55" s="5">
        <v>1155.0</v>
      </c>
      <c r="L55" s="6" t="str">
        <f>IF(D55&lt;&gt;"",VLOOKUP(H55,TABLEITEM,2,FALSE),"")</f>
        <v>MAT ST</v>
      </c>
      <c r="M55" s="6" t="str">
        <f>IF(D55&lt;&gt;"",VLOOKUP(H55,TABLEITEM,3,FALSE),"")</f>
        <v>แผ่นสังกะสี4'x8'T2.0</v>
      </c>
      <c r="N55" s="7">
        <f>INSTOCK!$I55*INSTOCK!$K55</f>
        <v>39270</v>
      </c>
      <c r="O55" s="2"/>
      <c r="P55" s="2"/>
    </row>
    <row r="56" ht="18.0" customHeight="1">
      <c r="A56" s="1"/>
      <c r="B56" s="3">
        <v>55.0</v>
      </c>
      <c r="C56" s="4">
        <v>43101.0</v>
      </c>
      <c r="D56" s="2" t="s">
        <v>15</v>
      </c>
      <c r="E56" s="2"/>
      <c r="F56" s="3"/>
      <c r="G56" s="2"/>
      <c r="H56" s="2" t="s">
        <v>70</v>
      </c>
      <c r="I56" s="3">
        <v>13.0</v>
      </c>
      <c r="J56" s="3"/>
      <c r="K56" s="5">
        <v>2020.0</v>
      </c>
      <c r="L56" s="6" t="str">
        <f>IF(D56&lt;&gt;"",VLOOKUP(H56,TABLEITEM,2,FALSE),"")</f>
        <v>MAT ST</v>
      </c>
      <c r="M56" s="6" t="str">
        <f>IF(D56&lt;&gt;"",VLOOKUP(H56,TABLEITEM,3,FALSE),"")</f>
        <v>แผ่นสังกะสี4'x8'T3.0</v>
      </c>
      <c r="N56" s="7">
        <f>INSTOCK!$I56*INSTOCK!$K56</f>
        <v>26260</v>
      </c>
      <c r="O56" s="2"/>
      <c r="P56" s="2"/>
    </row>
    <row r="57" ht="18.0" customHeight="1">
      <c r="A57" s="1"/>
      <c r="B57" s="3">
        <v>56.0</v>
      </c>
      <c r="C57" s="4">
        <v>43101.0</v>
      </c>
      <c r="D57" s="2" t="s">
        <v>15</v>
      </c>
      <c r="E57" s="2"/>
      <c r="F57" s="3"/>
      <c r="G57" s="2"/>
      <c r="H57" s="2" t="s">
        <v>71</v>
      </c>
      <c r="I57" s="3">
        <v>33.0</v>
      </c>
      <c r="J57" s="3"/>
      <c r="K57" s="5">
        <v>2365.0</v>
      </c>
      <c r="L57" s="6" t="str">
        <f>IF(D57&lt;&gt;"",VLOOKUP(H57,TABLEITEM,2,FALSE),"")</f>
        <v>MAT ST</v>
      </c>
      <c r="M57" s="6" t="str">
        <f>IF(D57&lt;&gt;"",VLOOKUP(H57,TABLEITEM,3,FALSE),"")</f>
        <v>แผ่นอลูมิเนียม4'x8'T3.0</v>
      </c>
      <c r="N57" s="7">
        <f>INSTOCK!$I57*INSTOCK!$K57</f>
        <v>78045</v>
      </c>
      <c r="O57" s="2"/>
      <c r="P57" s="2"/>
    </row>
    <row r="58" ht="18.0" customHeight="1">
      <c r="A58" s="1"/>
      <c r="B58" s="3">
        <v>57.0</v>
      </c>
      <c r="C58" s="4">
        <v>43101.0</v>
      </c>
      <c r="D58" s="2" t="s">
        <v>15</v>
      </c>
      <c r="E58" s="2"/>
      <c r="F58" s="3"/>
      <c r="G58" s="2"/>
      <c r="H58" s="2" t="s">
        <v>72</v>
      </c>
      <c r="I58" s="3">
        <v>3.0</v>
      </c>
      <c r="J58" s="3"/>
      <c r="K58" s="5">
        <v>4970.0</v>
      </c>
      <c r="L58" s="6" t="str">
        <f>IF(D58&lt;&gt;"",VLOOKUP(H58,TABLEITEM,2,FALSE),"")</f>
        <v>MAT ST</v>
      </c>
      <c r="M58" s="6" t="str">
        <f>IF(D58&lt;&gt;"",VLOOKUP(H58,TABLEITEM,3,FALSE),"")</f>
        <v>แผ่นอลูมิเนียม4'x8'T6.0</v>
      </c>
      <c r="N58" s="7">
        <f>INSTOCK!$I58*INSTOCK!$K58</f>
        <v>14910</v>
      </c>
      <c r="O58" s="2"/>
      <c r="P58" s="2"/>
    </row>
    <row r="59" ht="18.0" customHeight="1">
      <c r="A59" s="1"/>
      <c r="B59" s="3">
        <v>58.0</v>
      </c>
      <c r="C59" s="4">
        <v>43101.0</v>
      </c>
      <c r="D59" s="2" t="s">
        <v>15</v>
      </c>
      <c r="E59" s="2"/>
      <c r="F59" s="3"/>
      <c r="G59" s="2"/>
      <c r="H59" s="2" t="s">
        <v>73</v>
      </c>
      <c r="I59" s="3">
        <v>4.0</v>
      </c>
      <c r="J59" s="3"/>
      <c r="K59" s="5">
        <v>1400.0</v>
      </c>
      <c r="L59" s="6" t="str">
        <f>IF(D59&lt;&gt;"",VLOOKUP(H59,TABLEITEM,2,FALSE),"")</f>
        <v>MAT ST</v>
      </c>
      <c r="M59" s="6" t="str">
        <f>IF(D59&lt;&gt;"",VLOOKUP(H59,TABLEITEM,3,FALSE),"")</f>
        <v>แผ่นPVC ใส4'x8'T2.0</v>
      </c>
      <c r="N59" s="7">
        <f>INSTOCK!$I59*INSTOCK!$K59</f>
        <v>5600</v>
      </c>
      <c r="O59" s="2"/>
      <c r="P59" s="2"/>
    </row>
    <row r="60" ht="18.0" customHeight="1">
      <c r="A60" s="1"/>
      <c r="B60" s="3">
        <v>59.0</v>
      </c>
      <c r="C60" s="4">
        <v>43101.0</v>
      </c>
      <c r="D60" s="2" t="s">
        <v>15</v>
      </c>
      <c r="E60" s="2"/>
      <c r="F60" s="3"/>
      <c r="G60" s="2"/>
      <c r="H60" s="2" t="s">
        <v>74</v>
      </c>
      <c r="I60" s="3">
        <v>5.0</v>
      </c>
      <c r="J60" s="3"/>
      <c r="K60" s="5">
        <v>1350.0</v>
      </c>
      <c r="L60" s="6" t="str">
        <f>IF(D60&lt;&gt;"",VLOOKUP(H60,TABLEITEM,2,FALSE),"")</f>
        <v>PART</v>
      </c>
      <c r="M60" s="6" t="str">
        <f>IF(D60&lt;&gt;"",VLOOKUP(H60,TABLEITEM,3,FALSE),"")</f>
        <v>อคิลิคใส4x8T3.0</v>
      </c>
      <c r="N60" s="7">
        <f>INSTOCK!$I60*INSTOCK!$K60</f>
        <v>6750</v>
      </c>
      <c r="O60" s="2"/>
      <c r="P60" s="2"/>
    </row>
    <row r="61" ht="18.0" customHeight="1">
      <c r="A61" s="1"/>
      <c r="B61" s="3">
        <v>60.0</v>
      </c>
      <c r="C61" s="4">
        <v>43101.0</v>
      </c>
      <c r="D61" s="2" t="s">
        <v>15</v>
      </c>
      <c r="E61" s="2"/>
      <c r="F61" s="3"/>
      <c r="G61" s="2"/>
      <c r="H61" s="2" t="s">
        <v>75</v>
      </c>
      <c r="I61" s="3">
        <v>4.0</v>
      </c>
      <c r="J61" s="3"/>
      <c r="K61" s="5">
        <v>3500.0</v>
      </c>
      <c r="L61" s="6" t="str">
        <f>IF(D61&lt;&gt;"",VLOOKUP(H61,TABLEITEM,2,FALSE),"")</f>
        <v>PART</v>
      </c>
      <c r="M61" s="6" t="str">
        <f>IF(D61&lt;&gt;"",VLOOKUP(H61,TABLEITEM,3,FALSE),"")</f>
        <v>แผ่นเบกไลท์ 1220x2440T5.0</v>
      </c>
      <c r="N61" s="7">
        <f>INSTOCK!$I61*INSTOCK!$K61</f>
        <v>14000</v>
      </c>
      <c r="O61" s="2"/>
      <c r="P61" s="2"/>
    </row>
    <row r="62" ht="18.0" customHeight="1">
      <c r="A62" s="1"/>
      <c r="B62" s="3">
        <v>61.0</v>
      </c>
      <c r="C62" s="4">
        <v>43101.0</v>
      </c>
      <c r="D62" s="2" t="s">
        <v>15</v>
      </c>
      <c r="E62" s="2"/>
      <c r="F62" s="3"/>
      <c r="G62" s="2"/>
      <c r="H62" s="2" t="s">
        <v>76</v>
      </c>
      <c r="I62" s="3">
        <v>12.0</v>
      </c>
      <c r="J62" s="3"/>
      <c r="K62" s="5">
        <v>520.0</v>
      </c>
      <c r="L62" s="6" t="str">
        <f>IF(D62&lt;&gt;"",VLOOKUP(H62,TABLEITEM,2,FALSE),"")</f>
        <v>MAT ST</v>
      </c>
      <c r="M62" s="6" t="str">
        <f>IF(D62&lt;&gt;"",VLOOKUP(H62,TABLEITEM,3,FALSE),"")</f>
        <v>แผ่นตระแกรงระบาย 4x8รู 3มิลT0.6</v>
      </c>
      <c r="N62" s="7">
        <f>INSTOCK!$I62*INSTOCK!$K62</f>
        <v>6240</v>
      </c>
      <c r="O62" s="2"/>
      <c r="P62" s="2"/>
    </row>
    <row r="63" ht="18.0" customHeight="1">
      <c r="A63" s="1"/>
      <c r="B63" s="3">
        <v>62.0</v>
      </c>
      <c r="C63" s="4">
        <v>43101.0</v>
      </c>
      <c r="D63" s="2" t="s">
        <v>15</v>
      </c>
      <c r="E63" s="2"/>
      <c r="F63" s="3"/>
      <c r="G63" s="2"/>
      <c r="H63" s="2" t="s">
        <v>77</v>
      </c>
      <c r="I63" s="3">
        <v>30.0</v>
      </c>
      <c r="J63" s="9" t="s">
        <v>78</v>
      </c>
      <c r="K63" s="5">
        <v>91.0</v>
      </c>
      <c r="L63" s="10" t="str">
        <f>IF(D63&lt;&gt;"",VLOOKUP(H63,TABLEITEM,2,FALSE),"")</f>
        <v>MAT ST</v>
      </c>
      <c r="M63" s="10" t="str">
        <f>IF(D63&lt;&gt;"",VLOOKUP(H63,TABLEITEM,3,FALSE),"")</f>
        <v>เหล็กรางน้ำ U' 2</v>
      </c>
      <c r="N63" s="7">
        <f>INSTOCK!$I63*INSTOCK!$K63</f>
        <v>2730</v>
      </c>
      <c r="O63" s="2"/>
      <c r="P63" s="2"/>
    </row>
    <row r="64" ht="18.0" customHeight="1">
      <c r="A64" s="1"/>
      <c r="B64" s="3">
        <v>63.0</v>
      </c>
      <c r="C64" s="4">
        <v>43101.0</v>
      </c>
      <c r="D64" s="2" t="s">
        <v>15</v>
      </c>
      <c r="E64" s="2"/>
      <c r="F64" s="3"/>
      <c r="G64" s="2"/>
      <c r="H64" s="2" t="s">
        <v>79</v>
      </c>
      <c r="I64" s="3">
        <v>306.0</v>
      </c>
      <c r="J64" s="9" t="s">
        <v>78</v>
      </c>
      <c r="K64" s="5">
        <v>161.0</v>
      </c>
      <c r="L64" s="10" t="str">
        <f>IF(D64&lt;&gt;"",VLOOKUP(H64,TABLEITEM,2,FALSE),"")</f>
        <v>MAT ST</v>
      </c>
      <c r="M64" s="10" t="str">
        <f>IF(D64&lt;&gt;"",VLOOKUP(H64,TABLEITEM,3,FALSE),"")</f>
        <v>เหล็กรางน้ำ U' 3</v>
      </c>
      <c r="N64" s="7">
        <f>INSTOCK!$I64*INSTOCK!$K64</f>
        <v>49266</v>
      </c>
      <c r="O64" s="2"/>
      <c r="P64" s="2"/>
    </row>
    <row r="65" ht="18.0" customHeight="1">
      <c r="A65" s="1"/>
      <c r="B65" s="3">
        <v>64.0</v>
      </c>
      <c r="C65" s="4">
        <v>43101.0</v>
      </c>
      <c r="D65" s="2" t="s">
        <v>15</v>
      </c>
      <c r="E65" s="2"/>
      <c r="F65" s="3"/>
      <c r="G65" s="2"/>
      <c r="H65" s="2" t="s">
        <v>80</v>
      </c>
      <c r="I65" s="3">
        <v>156.0</v>
      </c>
      <c r="J65" s="9" t="s">
        <v>78</v>
      </c>
      <c r="K65" s="5">
        <v>201.67</v>
      </c>
      <c r="L65" s="10" t="str">
        <f>IF(D65&lt;&gt;"",VLOOKUP(H65,TABLEITEM,2,FALSE),"")</f>
        <v>MAT ST</v>
      </c>
      <c r="M65" s="10" t="str">
        <f>IF(D65&lt;&gt;"",VLOOKUP(H65,TABLEITEM,3,FALSE),"")</f>
        <v>เหล็กรางน้ำ U' 4</v>
      </c>
      <c r="N65" s="7">
        <f>INSTOCK!$I65*INSTOCK!$K65</f>
        <v>31460.52</v>
      </c>
      <c r="O65" s="2"/>
      <c r="P65" s="2"/>
    </row>
    <row r="66" ht="18.0" customHeight="1">
      <c r="A66" s="1"/>
      <c r="B66" s="3">
        <v>65.0</v>
      </c>
      <c r="C66" s="4">
        <v>43101.0</v>
      </c>
      <c r="D66" s="2" t="s">
        <v>15</v>
      </c>
      <c r="E66" s="2"/>
      <c r="F66" s="3"/>
      <c r="G66" s="2"/>
      <c r="H66" s="2" t="s">
        <v>81</v>
      </c>
      <c r="I66" s="3">
        <v>18.0</v>
      </c>
      <c r="J66" s="3"/>
      <c r="K66" s="5"/>
      <c r="L66" s="10" t="str">
        <f>IF(D66&lt;&gt;"",VLOOKUP(H66,TABLEITEM,2,FALSE),"")</f>
        <v>MAT ST</v>
      </c>
      <c r="M66" s="10" t="str">
        <f>IF(D66&lt;&gt;"",VLOOKUP(H66,TABLEITEM,3,FALSE),"")</f>
        <v>เหล็กรางน้ำ U' 5</v>
      </c>
      <c r="N66" s="7">
        <f>INSTOCK!$I66*INSTOCK!$K66</f>
        <v>0</v>
      </c>
      <c r="O66" s="2"/>
      <c r="P66" s="2"/>
    </row>
    <row r="67" ht="18.0" customHeight="1">
      <c r="A67" s="1"/>
      <c r="B67" s="3">
        <v>66.0</v>
      </c>
      <c r="C67" s="4">
        <v>43101.0</v>
      </c>
      <c r="D67" s="2" t="s">
        <v>15</v>
      </c>
      <c r="E67" s="2"/>
      <c r="F67" s="3"/>
      <c r="G67" s="2"/>
      <c r="H67" s="2" t="s">
        <v>82</v>
      </c>
      <c r="I67" s="3">
        <v>2.0</v>
      </c>
      <c r="J67" s="3"/>
      <c r="K67" s="5">
        <v>2580.0</v>
      </c>
      <c r="L67" s="10" t="str">
        <f>IF(D67&lt;&gt;"",VLOOKUP(H67,TABLEITEM,2,FALSE),"")</f>
        <v>MAT ST</v>
      </c>
      <c r="M67" s="10" t="str">
        <f>IF(D67&lt;&gt;"",VLOOKUP(H67,TABLEITEM,3,FALSE),"")</f>
        <v>เหล็กรางน้ำ U' 6</v>
      </c>
      <c r="N67" s="7">
        <f>INSTOCK!$I67*INSTOCK!$K67</f>
        <v>5160</v>
      </c>
      <c r="O67" s="2"/>
      <c r="P67" s="2"/>
    </row>
    <row r="68" ht="18.0" customHeight="1">
      <c r="A68" s="1"/>
      <c r="B68" s="3">
        <v>67.0</v>
      </c>
      <c r="C68" s="4">
        <v>43101.0</v>
      </c>
      <c r="D68" s="2" t="s">
        <v>15</v>
      </c>
      <c r="E68" s="2"/>
      <c r="F68" s="3"/>
      <c r="G68" s="2"/>
      <c r="H68" s="2" t="s">
        <v>83</v>
      </c>
      <c r="I68" s="3">
        <v>1.0</v>
      </c>
      <c r="J68" s="3"/>
      <c r="K68" s="5"/>
      <c r="L68" s="10" t="str">
        <f>IF(D68&lt;&gt;"",VLOOKUP(H68,TABLEITEM,2,FALSE),"")</f>
        <v>MAT ST</v>
      </c>
      <c r="M68" s="10" t="str">
        <f>IF(D68&lt;&gt;"",VLOOKUP(H68,TABLEITEM,3,FALSE),"")</f>
        <v>เหล็กรางน้ำ U' 8</v>
      </c>
      <c r="N68" s="7">
        <f>INSTOCK!$I68*INSTOCK!$K68</f>
        <v>0</v>
      </c>
      <c r="O68" s="2"/>
      <c r="P68" s="2"/>
    </row>
    <row r="69" ht="18.0" customHeight="1">
      <c r="A69" s="1"/>
      <c r="B69" s="3">
        <v>68.0</v>
      </c>
      <c r="C69" s="4">
        <v>43101.0</v>
      </c>
      <c r="D69" s="2" t="s">
        <v>15</v>
      </c>
      <c r="E69" s="2"/>
      <c r="F69" s="3"/>
      <c r="G69" s="2"/>
      <c r="H69" s="2" t="s">
        <v>84</v>
      </c>
      <c r="I69" s="3">
        <v>1.0</v>
      </c>
      <c r="J69" s="3"/>
      <c r="K69" s="5">
        <v>178.0</v>
      </c>
      <c r="L69" s="10" t="str">
        <f>IF(D69&lt;&gt;"",VLOOKUP(H69,TABLEITEM,2,FALSE),"")</f>
        <v>MAT ST</v>
      </c>
      <c r="M69" s="10" t="str">
        <f>IF(D69&lt;&gt;"",VLOOKUP(H69,TABLEITEM,3,FALSE),"")</f>
        <v>เหล็กฉาก 1'หนา3มิล</v>
      </c>
      <c r="N69" s="7">
        <f>INSTOCK!$I69*INSTOCK!$K69</f>
        <v>178</v>
      </c>
      <c r="O69" s="2"/>
      <c r="P69" s="2"/>
    </row>
    <row r="70" ht="18.0" customHeight="1">
      <c r="A70" s="1"/>
      <c r="B70" s="3">
        <v>69.0</v>
      </c>
      <c r="C70" s="4">
        <v>43101.0</v>
      </c>
      <c r="D70" s="2" t="s">
        <v>15</v>
      </c>
      <c r="E70" s="2"/>
      <c r="F70" s="3"/>
      <c r="G70" s="2"/>
      <c r="H70" s="2" t="s">
        <v>85</v>
      </c>
      <c r="I70" s="3">
        <v>246.0</v>
      </c>
      <c r="J70" s="3" t="s">
        <v>78</v>
      </c>
      <c r="K70" s="5">
        <v>45.833</v>
      </c>
      <c r="L70" s="10" t="str">
        <f>IF(D70&lt;&gt;"",VLOOKUP(H70,TABLEITEM,2,FALSE),"")</f>
        <v>MAT ST</v>
      </c>
      <c r="M70" s="10" t="str">
        <f>IF(D70&lt;&gt;"",VLOOKUP(H70,TABLEITEM,3,FALSE),"")</f>
        <v>เหล็กฉาก 1''1/2'หนา3 มิล</v>
      </c>
      <c r="N70" s="7">
        <f>INSTOCK!$I70*INSTOCK!$K70</f>
        <v>11274.918</v>
      </c>
      <c r="O70" s="2"/>
      <c r="P70" s="2"/>
    </row>
    <row r="71" ht="18.0" customHeight="1">
      <c r="A71" s="1"/>
      <c r="B71" s="3">
        <v>70.0</v>
      </c>
      <c r="C71" s="4">
        <v>43101.0</v>
      </c>
      <c r="D71" s="2" t="s">
        <v>15</v>
      </c>
      <c r="E71" s="2"/>
      <c r="F71" s="3"/>
      <c r="G71" s="2"/>
      <c r="H71" s="2" t="s">
        <v>86</v>
      </c>
      <c r="I71" s="3">
        <v>47.0</v>
      </c>
      <c r="J71" s="3"/>
      <c r="K71" s="5">
        <v>415.0</v>
      </c>
      <c r="L71" s="10" t="str">
        <f>IF(D71&lt;&gt;"",VLOOKUP(H71,TABLEITEM,2,FALSE),"")</f>
        <v>MAT ST</v>
      </c>
      <c r="M71" s="10" t="str">
        <f>IF(D71&lt;&gt;"",VLOOKUP(H71,TABLEITEM,3,FALSE),"")</f>
        <v>เหล็กฉาก 1''1/2'หนา5 มิล</v>
      </c>
      <c r="N71" s="7">
        <f>INSTOCK!$I71*INSTOCK!$K71</f>
        <v>19505</v>
      </c>
      <c r="O71" s="2"/>
      <c r="P71" s="2"/>
    </row>
    <row r="72" ht="18.0" customHeight="1">
      <c r="A72" s="1"/>
      <c r="B72" s="3">
        <v>71.0</v>
      </c>
      <c r="C72" s="4">
        <v>43101.0</v>
      </c>
      <c r="D72" s="2" t="s">
        <v>15</v>
      </c>
      <c r="E72" s="2"/>
      <c r="F72" s="3"/>
      <c r="G72" s="2"/>
      <c r="H72" s="2" t="s">
        <v>87</v>
      </c>
      <c r="I72" s="3">
        <v>4.0</v>
      </c>
      <c r="J72" s="3"/>
      <c r="K72" s="5"/>
      <c r="L72" s="10" t="str">
        <f>IF(D72&lt;&gt;"",VLOOKUP(H72,TABLEITEM,2,FALSE),"")</f>
        <v>MAT ST</v>
      </c>
      <c r="M72" s="10" t="str">
        <f>IF(D72&lt;&gt;"",VLOOKUP(H72,TABLEITEM,3,FALSE),"")</f>
        <v>เหล็กฉาก 2''หนา3 มิล</v>
      </c>
      <c r="N72" s="7">
        <f>INSTOCK!$I72*INSTOCK!$K72</f>
        <v>0</v>
      </c>
      <c r="O72" s="2"/>
      <c r="P72" s="2"/>
    </row>
    <row r="73" ht="18.0" customHeight="1">
      <c r="A73" s="1"/>
      <c r="B73" s="3">
        <v>72.0</v>
      </c>
      <c r="C73" s="4">
        <v>43101.0</v>
      </c>
      <c r="D73" s="2" t="s">
        <v>15</v>
      </c>
      <c r="E73" s="2"/>
      <c r="F73" s="3"/>
      <c r="G73" s="2"/>
      <c r="H73" s="2" t="s">
        <v>88</v>
      </c>
      <c r="I73" s="3">
        <v>0.0</v>
      </c>
      <c r="J73" s="3"/>
      <c r="K73" s="5"/>
      <c r="L73" s="10" t="str">
        <f>IF(D73&lt;&gt;"",VLOOKUP(H73,TABLEITEM,2,FALSE),"")</f>
        <v>MAT ST</v>
      </c>
      <c r="M73" s="10" t="str">
        <f>IF(D73&lt;&gt;"",VLOOKUP(H73,TABLEITEM,3,FALSE),"")</f>
        <v>เหล็กฉาก 2''หนา4 มิล</v>
      </c>
      <c r="N73" s="7">
        <f>INSTOCK!$I73*INSTOCK!$K73</f>
        <v>0</v>
      </c>
      <c r="O73" s="2"/>
      <c r="P73" s="2"/>
    </row>
    <row r="74" ht="18.0" customHeight="1">
      <c r="A74" s="1"/>
      <c r="B74" s="3">
        <v>73.0</v>
      </c>
      <c r="C74" s="4">
        <v>43101.0</v>
      </c>
      <c r="D74" s="2" t="s">
        <v>15</v>
      </c>
      <c r="E74" s="2"/>
      <c r="F74" s="3"/>
      <c r="G74" s="2"/>
      <c r="H74" s="2" t="s">
        <v>89</v>
      </c>
      <c r="I74" s="3">
        <v>48.0</v>
      </c>
      <c r="J74" s="3"/>
      <c r="K74" s="5">
        <v>535.0</v>
      </c>
      <c r="L74" s="10" t="str">
        <f>IF(D74&lt;&gt;"",VLOOKUP(H74,TABLEITEM,2,FALSE),"")</f>
        <v>MAT ST</v>
      </c>
      <c r="M74" s="10" t="str">
        <f>IF(D74&lt;&gt;"",VLOOKUP(H74,TABLEITEM,3,FALSE),"")</f>
        <v>เหล็กฉาก 2''หนา5 มิล</v>
      </c>
      <c r="N74" s="7">
        <f>INSTOCK!$I74*INSTOCK!$K74</f>
        <v>25680</v>
      </c>
      <c r="O74" s="2"/>
      <c r="P74" s="2"/>
    </row>
    <row r="75" ht="18.0" customHeight="1">
      <c r="A75" s="1"/>
      <c r="B75" s="3">
        <v>74.0</v>
      </c>
      <c r="C75" s="4">
        <v>43101.0</v>
      </c>
      <c r="D75" s="2" t="s">
        <v>15</v>
      </c>
      <c r="E75" s="2"/>
      <c r="F75" s="3"/>
      <c r="G75" s="2"/>
      <c r="H75" s="2" t="s">
        <v>90</v>
      </c>
      <c r="I75" s="3">
        <v>1.0</v>
      </c>
      <c r="J75" s="3"/>
      <c r="K75" s="5">
        <v>915.0</v>
      </c>
      <c r="L75" s="10" t="str">
        <f>IF(D75&lt;&gt;"",VLOOKUP(H75,TABLEITEM,2,FALSE),"")</f>
        <v>MAT ST</v>
      </c>
      <c r="M75" s="10" t="str">
        <f>IF(D75&lt;&gt;"",VLOOKUP(H75,TABLEITEM,3,FALSE),"")</f>
        <v>เหล็กฉาก 3''หนา6 มิล</v>
      </c>
      <c r="N75" s="7">
        <f>INSTOCK!$I75*INSTOCK!$K75</f>
        <v>915</v>
      </c>
      <c r="O75" s="2"/>
      <c r="P75" s="2"/>
    </row>
    <row r="76" ht="18.0" customHeight="1">
      <c r="A76" s="1"/>
      <c r="B76" s="3">
        <v>75.0</v>
      </c>
      <c r="C76" s="4">
        <v>43101.0</v>
      </c>
      <c r="D76" s="2" t="s">
        <v>15</v>
      </c>
      <c r="E76" s="2"/>
      <c r="F76" s="3"/>
      <c r="G76" s="2"/>
      <c r="H76" s="2" t="s">
        <v>91</v>
      </c>
      <c r="I76" s="3">
        <v>0.0</v>
      </c>
      <c r="J76" s="3"/>
      <c r="K76" s="5"/>
      <c r="L76" s="10" t="str">
        <f>IF(D76&lt;&gt;"",VLOOKUP(H76,TABLEITEM,2,FALSE),"")</f>
        <v>MAT ST</v>
      </c>
      <c r="M76" s="10" t="str">
        <f>IF(D76&lt;&gt;"",VLOOKUP(H76,TABLEITEM,3,FALSE),"")</f>
        <v>เหล็กฉาก 4''หนา7 มิล</v>
      </c>
      <c r="N76" s="7">
        <f>INSTOCK!$I76*INSTOCK!$K76</f>
        <v>0</v>
      </c>
      <c r="O76" s="2"/>
      <c r="P76" s="2"/>
    </row>
    <row r="77" ht="18.0" customHeight="1">
      <c r="A77" s="1"/>
      <c r="B77" s="3">
        <v>76.0</v>
      </c>
      <c r="C77" s="4">
        <v>43101.0</v>
      </c>
      <c r="D77" s="2" t="s">
        <v>15</v>
      </c>
      <c r="E77" s="2"/>
      <c r="F77" s="3"/>
      <c r="G77" s="2"/>
      <c r="H77" s="2" t="s">
        <v>92</v>
      </c>
      <c r="I77" s="3">
        <v>0.0</v>
      </c>
      <c r="J77" s="3"/>
      <c r="K77" s="5"/>
      <c r="L77" s="10" t="str">
        <f>IF(D77&lt;&gt;"",VLOOKUP(H77,TABLEITEM,2,FALSE),"")</f>
        <v>MAT ST</v>
      </c>
      <c r="M77" s="10" t="str">
        <f>IF(D77&lt;&gt;"",VLOOKUP(H77,TABLEITEM,3,FALSE),"")</f>
        <v>เหล็กฉาก1''1/4 หนา3 มิล</v>
      </c>
      <c r="N77" s="7">
        <f>INSTOCK!$I77*INSTOCK!$K77</f>
        <v>0</v>
      </c>
      <c r="O77" s="2"/>
      <c r="P77" s="2"/>
    </row>
    <row r="78" ht="18.0" customHeight="1">
      <c r="A78" s="1"/>
      <c r="B78" s="3">
        <v>77.0</v>
      </c>
      <c r="C78" s="4">
        <v>43101.0</v>
      </c>
      <c r="D78" s="2" t="s">
        <v>15</v>
      </c>
      <c r="E78" s="2"/>
      <c r="F78" s="3"/>
      <c r="G78" s="2"/>
      <c r="H78" s="2" t="s">
        <v>93</v>
      </c>
      <c r="I78" s="3">
        <v>3.0</v>
      </c>
      <c r="J78" s="3"/>
      <c r="K78" s="5"/>
      <c r="L78" s="10" t="str">
        <f>IF(D78&lt;&gt;"",VLOOKUP(H78,TABLEITEM,2,FALSE),"")</f>
        <v>MAT ST</v>
      </c>
      <c r="M78" s="10" t="str">
        <f>IF(D78&lt;&gt;"",VLOOKUP(H78,TABLEITEM,3,FALSE),"")</f>
        <v>เหล็กกล่อง 1/2 หนา1.2 มิล</v>
      </c>
      <c r="N78" s="7">
        <f>INSTOCK!$I78*INSTOCK!$K78</f>
        <v>0</v>
      </c>
      <c r="O78" s="2"/>
      <c r="P78" s="2"/>
    </row>
    <row r="79" ht="18.0" customHeight="1">
      <c r="A79" s="1"/>
      <c r="B79" s="3">
        <v>78.0</v>
      </c>
      <c r="C79" s="4">
        <v>43101.0</v>
      </c>
      <c r="D79" s="2" t="s">
        <v>15</v>
      </c>
      <c r="E79" s="2"/>
      <c r="F79" s="3"/>
      <c r="G79" s="2"/>
      <c r="H79" s="2" t="s">
        <v>94</v>
      </c>
      <c r="I79" s="3">
        <v>6.0</v>
      </c>
      <c r="J79" s="3"/>
      <c r="K79" s="5"/>
      <c r="L79" s="10" t="str">
        <f>IF(D79&lt;&gt;"",VLOOKUP(H79,TABLEITEM,2,FALSE),"")</f>
        <v>MAT ST</v>
      </c>
      <c r="M79" s="10" t="str">
        <f>IF(D79&lt;&gt;"",VLOOKUP(H79,TABLEITEM,3,FALSE),"")</f>
        <v>เหล็กกล่อง 1'' หนา1.6 มิล</v>
      </c>
      <c r="N79" s="7">
        <f>INSTOCK!$I79*INSTOCK!$K79</f>
        <v>0</v>
      </c>
      <c r="O79" s="2"/>
      <c r="P79" s="2"/>
    </row>
    <row r="80" ht="18.0" customHeight="1">
      <c r="A80" s="1"/>
      <c r="B80" s="3">
        <v>79.0</v>
      </c>
      <c r="C80" s="4">
        <v>43101.0</v>
      </c>
      <c r="D80" s="2" t="s">
        <v>15</v>
      </c>
      <c r="E80" s="2"/>
      <c r="F80" s="3"/>
      <c r="G80" s="2"/>
      <c r="H80" s="2" t="s">
        <v>95</v>
      </c>
      <c r="I80" s="3">
        <v>0.0</v>
      </c>
      <c r="J80" s="3"/>
      <c r="K80" s="5">
        <v>280.0</v>
      </c>
      <c r="L80" s="10" t="str">
        <f>IF(D80&lt;&gt;"",VLOOKUP(H80,TABLEITEM,2,FALSE),"")</f>
        <v>MAT ST</v>
      </c>
      <c r="M80" s="10" t="str">
        <f>IF(D80&lt;&gt;"",VLOOKUP(H80,TABLEITEM,3,FALSE),"")</f>
        <v>เหล็กกล่อง 1'' 1/2 หนา2 มิล</v>
      </c>
      <c r="N80" s="7">
        <f>INSTOCK!$I80*INSTOCK!$K80</f>
        <v>0</v>
      </c>
      <c r="O80" s="2"/>
      <c r="P80" s="2"/>
    </row>
    <row r="81" ht="18.0" customHeight="1">
      <c r="A81" s="1"/>
      <c r="B81" s="3">
        <v>80.0</v>
      </c>
      <c r="C81" s="4">
        <v>43101.0</v>
      </c>
      <c r="D81" s="2" t="s">
        <v>15</v>
      </c>
      <c r="E81" s="2"/>
      <c r="F81" s="3"/>
      <c r="G81" s="2"/>
      <c r="H81" s="2" t="s">
        <v>96</v>
      </c>
      <c r="I81" s="3">
        <v>0.0</v>
      </c>
      <c r="J81" s="3"/>
      <c r="K81" s="5"/>
      <c r="L81" s="10" t="str">
        <f>IF(D81&lt;&gt;"",VLOOKUP(H81,TABLEITEM,2,FALSE),"")</f>
        <v>MAT ST</v>
      </c>
      <c r="M81" s="10" t="str">
        <f>IF(D81&lt;&gt;"",VLOOKUP(H81,TABLEITEM,3,FALSE),"")</f>
        <v>เหล็กกล่อง 11/4 หนา2 มิล</v>
      </c>
      <c r="N81" s="7">
        <f>INSTOCK!$I81*INSTOCK!$K81</f>
        <v>0</v>
      </c>
      <c r="O81" s="2"/>
      <c r="P81" s="2"/>
    </row>
    <row r="82" ht="18.0" customHeight="1">
      <c r="A82" s="1"/>
      <c r="B82" s="3">
        <v>81.0</v>
      </c>
      <c r="C82" s="4">
        <v>43101.0</v>
      </c>
      <c r="D82" s="2" t="s">
        <v>15</v>
      </c>
      <c r="E82" s="2"/>
      <c r="F82" s="3"/>
      <c r="G82" s="2"/>
      <c r="H82" s="2" t="s">
        <v>97</v>
      </c>
      <c r="I82" s="3">
        <v>4.0</v>
      </c>
      <c r="J82" s="3"/>
      <c r="K82" s="5">
        <v>450.0</v>
      </c>
      <c r="L82" s="10" t="str">
        <f>IF(D82&lt;&gt;"",VLOOKUP(H82,TABLEITEM,2,FALSE),"")</f>
        <v>MAT ST</v>
      </c>
      <c r="M82" s="10" t="str">
        <f>IF(D82&lt;&gt;"",VLOOKUP(H82,TABLEITEM,3,FALSE),"")</f>
        <v>เหล็กกล่อง 2'' หนา2.3 มิล</v>
      </c>
      <c r="N82" s="7">
        <f>INSTOCK!$I82*INSTOCK!$K82</f>
        <v>1800</v>
      </c>
      <c r="O82" s="2"/>
      <c r="P82" s="2"/>
    </row>
    <row r="83" ht="18.0" customHeight="1">
      <c r="A83" s="1"/>
      <c r="B83" s="3">
        <v>82.0</v>
      </c>
      <c r="C83" s="4">
        <v>43101.0</v>
      </c>
      <c r="D83" s="2" t="s">
        <v>15</v>
      </c>
      <c r="E83" s="2"/>
      <c r="F83" s="3"/>
      <c r="G83" s="2"/>
      <c r="H83" s="2" t="s">
        <v>98</v>
      </c>
      <c r="I83" s="3">
        <v>18.0</v>
      </c>
      <c r="J83" s="11" t="s">
        <v>78</v>
      </c>
      <c r="K83" s="5">
        <v>106.666</v>
      </c>
      <c r="L83" s="10" t="str">
        <f>IF(D83&lt;&gt;"",VLOOKUP(H83,TABLEITEM,2,FALSE),"")</f>
        <v>MAT ST</v>
      </c>
      <c r="M83" s="10" t="str">
        <f>IF(D83&lt;&gt;"",VLOOKUP(H83,TABLEITEM,3,FALSE),"")</f>
        <v>เหล็กกล่อง 3'' หนา2.3 มิล</v>
      </c>
      <c r="N83" s="7">
        <f>INSTOCK!$I83*INSTOCK!$K83</f>
        <v>1919.988</v>
      </c>
      <c r="O83" s="2" t="s">
        <v>99</v>
      </c>
      <c r="P83" s="2"/>
    </row>
    <row r="84" ht="18.0" customHeight="1">
      <c r="A84" s="1"/>
      <c r="B84" s="3">
        <v>83.0</v>
      </c>
      <c r="C84" s="4">
        <v>43101.0</v>
      </c>
      <c r="D84" s="2" t="s">
        <v>15</v>
      </c>
      <c r="E84" s="2"/>
      <c r="F84" s="3"/>
      <c r="G84" s="2"/>
      <c r="H84" s="2" t="s">
        <v>100</v>
      </c>
      <c r="I84" s="3">
        <v>2.0</v>
      </c>
      <c r="J84" s="3"/>
      <c r="K84" s="5">
        <v>1000.0</v>
      </c>
      <c r="L84" s="10" t="str">
        <f>IF(D84&lt;&gt;"",VLOOKUP(H84,TABLEITEM,2,FALSE),"")</f>
        <v>MAT ST</v>
      </c>
      <c r="M84" s="10" t="str">
        <f>IF(D84&lt;&gt;"",VLOOKUP(H84,TABLEITEM,3,FALSE),"")</f>
        <v>เหล็กกล่อง 4'' หนา2.3 มิล</v>
      </c>
      <c r="N84" s="7">
        <f>INSTOCK!$I84*INSTOCK!$K84</f>
        <v>2000</v>
      </c>
      <c r="O84" s="2"/>
      <c r="P84" s="2"/>
    </row>
    <row r="85" ht="18.0" customHeight="1">
      <c r="A85" s="1"/>
      <c r="B85" s="3">
        <v>84.0</v>
      </c>
      <c r="C85" s="4">
        <v>43101.0</v>
      </c>
      <c r="D85" s="2" t="s">
        <v>15</v>
      </c>
      <c r="E85" s="2"/>
      <c r="F85" s="3"/>
      <c r="G85" s="2"/>
      <c r="H85" s="2" t="s">
        <v>101</v>
      </c>
      <c r="I85" s="3">
        <v>5.0</v>
      </c>
      <c r="J85" s="3"/>
      <c r="K85" s="5"/>
      <c r="L85" s="10" t="str">
        <f>IF(D85&lt;&gt;"",VLOOKUP(H85,TABLEITEM,2,FALSE),"")</f>
        <v>MAT ST</v>
      </c>
      <c r="M85" s="10" t="str">
        <f>IF(D85&lt;&gt;"",VLOOKUP(H85,TABLEITEM,3,FALSE),"")</f>
        <v>เหล็กกล่อง 3x11/2 หนา2.5 มิล</v>
      </c>
      <c r="N85" s="7">
        <f>INSTOCK!$I85*INSTOCK!$K85</f>
        <v>0</v>
      </c>
      <c r="O85" s="2"/>
      <c r="P85" s="2"/>
    </row>
    <row r="86" ht="18.0" customHeight="1">
      <c r="A86" s="1"/>
      <c r="B86" s="3">
        <v>85.0</v>
      </c>
      <c r="C86" s="4">
        <v>43101.0</v>
      </c>
      <c r="D86" s="2" t="s">
        <v>15</v>
      </c>
      <c r="E86" s="2"/>
      <c r="F86" s="3"/>
      <c r="G86" s="2"/>
      <c r="H86" s="2" t="s">
        <v>102</v>
      </c>
      <c r="I86" s="3">
        <v>1.0</v>
      </c>
      <c r="J86" s="3"/>
      <c r="K86" s="5">
        <v>950.0</v>
      </c>
      <c r="L86" s="10" t="str">
        <f>IF(D86&lt;&gt;"",VLOOKUP(H86,TABLEITEM,2,FALSE),"")</f>
        <v>MAT ST</v>
      </c>
      <c r="M86" s="10" t="str">
        <f>IF(D86&lt;&gt;"",VLOOKUP(H86,TABLEITEM,3,FALSE),"")</f>
        <v>เหล็กกล่อง 4x2หนา2.5 มิล</v>
      </c>
      <c r="N86" s="7">
        <f>INSTOCK!$I86*INSTOCK!$K86</f>
        <v>950</v>
      </c>
      <c r="O86" s="2"/>
      <c r="P86" s="2"/>
    </row>
    <row r="87" ht="18.0" customHeight="1">
      <c r="A87" s="1"/>
      <c r="B87" s="3">
        <v>86.0</v>
      </c>
      <c r="C87" s="4">
        <v>43101.0</v>
      </c>
      <c r="D87" s="2" t="s">
        <v>15</v>
      </c>
      <c r="E87" s="2"/>
      <c r="F87" s="3"/>
      <c r="G87" s="2"/>
      <c r="H87" s="2" t="s">
        <v>103</v>
      </c>
      <c r="I87" s="3">
        <v>3.0</v>
      </c>
      <c r="J87" s="3"/>
      <c r="K87" s="5"/>
      <c r="L87" s="10" t="str">
        <f>IF(D87&lt;&gt;"",VLOOKUP(H87,TABLEITEM,2,FALSE),"")</f>
        <v>MAT ST</v>
      </c>
      <c r="M87" s="10" t="str">
        <f>IF(D87&lt;&gt;"",VLOOKUP(H87,TABLEITEM,3,FALSE),"")</f>
        <v>เหล็กกล่อง 2x1 หนา3.2 มิล</v>
      </c>
      <c r="N87" s="7">
        <f>INSTOCK!$I87*INSTOCK!$K87</f>
        <v>0</v>
      </c>
      <c r="O87" s="2"/>
      <c r="P87" s="2"/>
    </row>
    <row r="88" ht="18.0" customHeight="1">
      <c r="A88" s="1"/>
      <c r="B88" s="3">
        <v>87.0</v>
      </c>
      <c r="C88" s="4">
        <v>43101.0</v>
      </c>
      <c r="D88" s="2" t="s">
        <v>15</v>
      </c>
      <c r="E88" s="2"/>
      <c r="F88" s="3"/>
      <c r="G88" s="2"/>
      <c r="H88" s="2" t="s">
        <v>104</v>
      </c>
      <c r="I88" s="3">
        <v>1.0</v>
      </c>
      <c r="J88" s="3"/>
      <c r="K88" s="5">
        <v>550.0</v>
      </c>
      <c r="L88" s="10" t="str">
        <f>IF(D88&lt;&gt;"",VLOOKUP(H88,TABLEITEM,2,FALSE),"")</f>
        <v>MAT ST</v>
      </c>
      <c r="M88" s="10" t="str">
        <f>IF(D88&lt;&gt;"",VLOOKUP(H88,TABLEITEM,3,FALSE),"")</f>
        <v>เหล็กกล่อง 3x2 หนา2.0 มิล</v>
      </c>
      <c r="N88" s="7">
        <f>INSTOCK!$I88*INSTOCK!$K88</f>
        <v>550</v>
      </c>
      <c r="O88" s="2"/>
      <c r="P88" s="2"/>
    </row>
    <row r="89" ht="18.0" customHeight="1">
      <c r="A89" s="1"/>
      <c r="B89" s="3">
        <v>88.0</v>
      </c>
      <c r="C89" s="4">
        <v>43101.0</v>
      </c>
      <c r="D89" s="2" t="s">
        <v>15</v>
      </c>
      <c r="E89" s="2"/>
      <c r="F89" s="3"/>
      <c r="G89" s="2"/>
      <c r="H89" s="12" t="s">
        <v>105</v>
      </c>
      <c r="I89" s="3">
        <v>6.0</v>
      </c>
      <c r="J89" s="3"/>
      <c r="K89" s="5"/>
      <c r="L89" s="6" t="str">
        <f>IF(D89&lt;&gt;"",VLOOKUP(H89,TABLEITEM,2,FALSE),"")</f>
        <v>MAT ST</v>
      </c>
      <c r="M89" s="6" t="str">
        <f>IF(D89&lt;&gt;"",VLOOKUP(H89,TABLEITEM,3,FALSE),"")</f>
        <v>เหล็กเพลากลม 5มิล</v>
      </c>
      <c r="N89" s="7">
        <f>INSTOCK!$I89*INSTOCK!$K89</f>
        <v>0</v>
      </c>
      <c r="O89" s="2"/>
      <c r="P89" s="2"/>
    </row>
    <row r="90" ht="18.0" customHeight="1">
      <c r="A90" s="1"/>
      <c r="B90" s="3">
        <v>89.0</v>
      </c>
      <c r="C90" s="4">
        <v>43101.0</v>
      </c>
      <c r="D90" s="2" t="s">
        <v>15</v>
      </c>
      <c r="E90" s="2"/>
      <c r="F90" s="3"/>
      <c r="G90" s="2"/>
      <c r="H90" s="12" t="s">
        <v>106</v>
      </c>
      <c r="I90" s="3">
        <v>0.0</v>
      </c>
      <c r="J90" s="3"/>
      <c r="K90" s="5">
        <v>55.0</v>
      </c>
      <c r="L90" s="6" t="str">
        <f>IF(D90&lt;&gt;"",VLOOKUP(H90,TABLEITEM,2,FALSE),"")</f>
        <v>MAT ST</v>
      </c>
      <c r="M90" s="6" t="str">
        <f>IF(D90&lt;&gt;"",VLOOKUP(H90,TABLEITEM,3,FALSE),"")</f>
        <v>เหล็กเพลากลม 7มิล</v>
      </c>
      <c r="N90" s="7">
        <f>INSTOCK!$I90*INSTOCK!$K90</f>
        <v>0</v>
      </c>
      <c r="O90" s="2"/>
      <c r="P90" s="2"/>
    </row>
    <row r="91" ht="18.0" customHeight="1">
      <c r="A91" s="1"/>
      <c r="B91" s="3">
        <v>90.0</v>
      </c>
      <c r="C91" s="4">
        <v>43101.0</v>
      </c>
      <c r="D91" s="2" t="s">
        <v>15</v>
      </c>
      <c r="E91" s="2"/>
      <c r="F91" s="3"/>
      <c r="G91" s="2"/>
      <c r="H91" s="12" t="s">
        <v>107</v>
      </c>
      <c r="I91" s="3">
        <v>100.0</v>
      </c>
      <c r="J91" s="3"/>
      <c r="K91" s="5">
        <v>55.0</v>
      </c>
      <c r="L91" s="6" t="str">
        <f>IF(D91&lt;&gt;"",VLOOKUP(H91,TABLEITEM,2,FALSE),"")</f>
        <v>MAT ST</v>
      </c>
      <c r="M91" s="6" t="str">
        <f>IF(D91&lt;&gt;"",VLOOKUP(H91,TABLEITEM,3,FALSE),"")</f>
        <v>เหล็กเพลากลม 8มิล</v>
      </c>
      <c r="N91" s="7">
        <f>INSTOCK!$I91*INSTOCK!$K91</f>
        <v>5500</v>
      </c>
      <c r="O91" s="2"/>
      <c r="P91" s="2"/>
    </row>
    <row r="92" ht="18.0" customHeight="1">
      <c r="A92" s="1"/>
      <c r="B92" s="3">
        <v>91.0</v>
      </c>
      <c r="C92" s="4">
        <v>43101.0</v>
      </c>
      <c r="D92" s="2" t="s">
        <v>15</v>
      </c>
      <c r="E92" s="2"/>
      <c r="F92" s="3"/>
      <c r="G92" s="2"/>
      <c r="H92" s="2" t="s">
        <v>108</v>
      </c>
      <c r="I92" s="3">
        <v>0.0</v>
      </c>
      <c r="J92" s="3"/>
      <c r="K92" s="5"/>
      <c r="L92" s="10" t="str">
        <f>IF(D92&lt;&gt;"",VLOOKUP(H92,TABLEITEM,2,FALSE),"")</f>
        <v>MAT ST</v>
      </c>
      <c r="M92" s="10" t="str">
        <f>IF(D92&lt;&gt;"",VLOOKUP(H92,TABLEITEM,3,FALSE),"")</f>
        <v>เหล็กท่อกลม 1/2 หนา 1.2</v>
      </c>
      <c r="N92" s="7">
        <f>INSTOCK!$I92*INSTOCK!$K92</f>
        <v>0</v>
      </c>
      <c r="O92" s="2"/>
      <c r="P92" s="2"/>
    </row>
    <row r="93" ht="18.0" customHeight="1">
      <c r="A93" s="1"/>
      <c r="B93" s="3">
        <v>92.0</v>
      </c>
      <c r="C93" s="4">
        <v>43101.0</v>
      </c>
      <c r="D93" s="2" t="s">
        <v>15</v>
      </c>
      <c r="E93" s="2"/>
      <c r="F93" s="3"/>
      <c r="G93" s="2"/>
      <c r="H93" s="2" t="s">
        <v>109</v>
      </c>
      <c r="I93" s="3">
        <v>0.0</v>
      </c>
      <c r="J93" s="3"/>
      <c r="K93" s="5"/>
      <c r="L93" s="10" t="str">
        <f>IF(D93&lt;&gt;"",VLOOKUP(H93,TABLEITEM,2,FALSE),"")</f>
        <v>MAT ST</v>
      </c>
      <c r="M93" s="10" t="str">
        <f>IF(D93&lt;&gt;"",VLOOKUP(H93,TABLEITEM,3,FALSE),"")</f>
        <v>เหล็กท่อกลม 1'' หนา 2มิล</v>
      </c>
      <c r="N93" s="7">
        <f>INSTOCK!$I93*INSTOCK!$K93</f>
        <v>0</v>
      </c>
      <c r="O93" s="2"/>
      <c r="P93" s="2"/>
    </row>
    <row r="94" ht="18.0" customHeight="1">
      <c r="A94" s="1"/>
      <c r="B94" s="3">
        <v>93.0</v>
      </c>
      <c r="C94" s="4">
        <v>43101.0</v>
      </c>
      <c r="D94" s="2" t="s">
        <v>15</v>
      </c>
      <c r="E94" s="2"/>
      <c r="F94" s="3"/>
      <c r="G94" s="2"/>
      <c r="H94" s="2" t="s">
        <v>110</v>
      </c>
      <c r="I94" s="3">
        <v>2.0</v>
      </c>
      <c r="J94" s="3"/>
      <c r="K94" s="5">
        <v>850.0</v>
      </c>
      <c r="L94" s="10" t="str">
        <f>IF(D94&lt;&gt;"",VLOOKUP(H94,TABLEITEM,2,FALSE),"")</f>
        <v>MAT ST</v>
      </c>
      <c r="M94" s="10" t="str">
        <f>IF(D94&lt;&gt;"",VLOOKUP(H94,TABLEITEM,3,FALSE),"")</f>
        <v>เหล็กท่อกลม 1''1/2 หนา 2มิล</v>
      </c>
      <c r="N94" s="7">
        <f>INSTOCK!$I94*INSTOCK!$K94</f>
        <v>1700</v>
      </c>
      <c r="O94" s="2"/>
      <c r="P94" s="2"/>
    </row>
    <row r="95" ht="18.0" customHeight="1">
      <c r="A95" s="1"/>
      <c r="B95" s="3">
        <v>94.0</v>
      </c>
      <c r="C95" s="4">
        <v>43101.0</v>
      </c>
      <c r="D95" s="2" t="s">
        <v>15</v>
      </c>
      <c r="E95" s="2"/>
      <c r="F95" s="3"/>
      <c r="G95" s="2"/>
      <c r="H95" s="2" t="s">
        <v>111</v>
      </c>
      <c r="I95" s="3">
        <v>3.0</v>
      </c>
      <c r="J95" s="3"/>
      <c r="K95" s="5">
        <v>890.0</v>
      </c>
      <c r="L95" s="10" t="str">
        <f>IF(D95&lt;&gt;"",VLOOKUP(H95,TABLEITEM,2,FALSE),"")</f>
        <v>MAT ST</v>
      </c>
      <c r="M95" s="10" t="str">
        <f>IF(D95&lt;&gt;"",VLOOKUP(H95,TABLEITEM,3,FALSE),"")</f>
        <v>เหล็กท่อกลม 1''1/4 หนา 2มิล</v>
      </c>
      <c r="N95" s="7">
        <f>INSTOCK!$I95*INSTOCK!$K95</f>
        <v>2670</v>
      </c>
      <c r="O95" s="2"/>
      <c r="P95" s="2"/>
    </row>
    <row r="96" ht="18.0" customHeight="1">
      <c r="A96" s="1"/>
      <c r="B96" s="3">
        <v>95.0</v>
      </c>
      <c r="C96" s="4">
        <v>43101.0</v>
      </c>
      <c r="D96" s="2" t="s">
        <v>15</v>
      </c>
      <c r="E96" s="2"/>
      <c r="F96" s="3"/>
      <c r="G96" s="2"/>
      <c r="H96" s="2" t="s">
        <v>112</v>
      </c>
      <c r="I96" s="3">
        <v>3.0</v>
      </c>
      <c r="J96" s="3"/>
      <c r="K96" s="5"/>
      <c r="L96" s="10" t="str">
        <f>IF(D96&lt;&gt;"",VLOOKUP(H96,TABLEITEM,2,FALSE),"")</f>
        <v>MAT ST</v>
      </c>
      <c r="M96" s="10" t="str">
        <f>IF(D96&lt;&gt;"",VLOOKUP(H96,TABLEITEM,3,FALSE),"")</f>
        <v>เหล็กท่อกลม 2''หนา 2 มิล</v>
      </c>
      <c r="N96" s="7">
        <f>INSTOCK!$I96*INSTOCK!$K96</f>
        <v>0</v>
      </c>
      <c r="O96" s="2"/>
      <c r="P96" s="2"/>
    </row>
    <row r="97" ht="18.0" customHeight="1">
      <c r="A97" s="1"/>
      <c r="B97" s="3">
        <v>96.0</v>
      </c>
      <c r="C97" s="4">
        <v>43101.0</v>
      </c>
      <c r="D97" s="2" t="s">
        <v>15</v>
      </c>
      <c r="E97" s="2"/>
      <c r="F97" s="3"/>
      <c r="G97" s="2"/>
      <c r="H97" s="2" t="s">
        <v>113</v>
      </c>
      <c r="I97" s="3">
        <v>0.0</v>
      </c>
      <c r="J97" s="3"/>
      <c r="K97" s="5"/>
      <c r="L97" s="10" t="str">
        <f>IF(D97&lt;&gt;"",VLOOKUP(H97,TABLEITEM,2,FALSE),"")</f>
        <v>MAT ST</v>
      </c>
      <c r="M97" s="10" t="str">
        <f>IF(D97&lt;&gt;"",VLOOKUP(H97,TABLEITEM,3,FALSE),"")</f>
        <v>เหล็กท่อกลม 3'' หนา 6 มิล</v>
      </c>
      <c r="N97" s="7">
        <f>INSTOCK!$I97*INSTOCK!$K97</f>
        <v>0</v>
      </c>
      <c r="O97" s="2"/>
      <c r="P97" s="2"/>
    </row>
    <row r="98" ht="18.0" customHeight="1">
      <c r="A98" s="1"/>
      <c r="B98" s="3">
        <v>97.0</v>
      </c>
      <c r="C98" s="4">
        <v>43101.0</v>
      </c>
      <c r="D98" s="2" t="s">
        <v>15</v>
      </c>
      <c r="E98" s="2"/>
      <c r="F98" s="3"/>
      <c r="G98" s="2"/>
      <c r="H98" s="2" t="s">
        <v>114</v>
      </c>
      <c r="I98" s="3">
        <v>1.68</v>
      </c>
      <c r="J98" s="3"/>
      <c r="K98" s="5"/>
      <c r="L98" s="10" t="str">
        <f>IF(D98&lt;&gt;"",VLOOKUP(H98,TABLEITEM,2,FALSE),"")</f>
        <v>MAT ST</v>
      </c>
      <c r="M98" s="10" t="str">
        <f>IF(D98&lt;&gt;"",VLOOKUP(H98,TABLEITEM,3,FALSE),"")</f>
        <v>เหล็กท่อกลม 4''หนา 2 มิล</v>
      </c>
      <c r="N98" s="7">
        <f>INSTOCK!$I98*INSTOCK!$K98</f>
        <v>0</v>
      </c>
      <c r="O98" s="2"/>
      <c r="P98" s="2"/>
    </row>
    <row r="99" ht="18.0" customHeight="1">
      <c r="A99" s="1"/>
      <c r="B99" s="3">
        <v>98.0</v>
      </c>
      <c r="C99" s="4">
        <v>43101.0</v>
      </c>
      <c r="D99" s="2" t="s">
        <v>15</v>
      </c>
      <c r="E99" s="2"/>
      <c r="F99" s="3"/>
      <c r="G99" s="2"/>
      <c r="H99" s="2" t="s">
        <v>115</v>
      </c>
      <c r="I99" s="3">
        <v>3.95</v>
      </c>
      <c r="J99" s="3"/>
      <c r="K99" s="5"/>
      <c r="L99" s="10" t="str">
        <f>IF(D99&lt;&gt;"",VLOOKUP(H99,TABLEITEM,2,FALSE),"")</f>
        <v>MAT ST</v>
      </c>
      <c r="M99" s="10" t="str">
        <f>IF(D99&lt;&gt;"",VLOOKUP(H99,TABLEITEM,3,FALSE),"")</f>
        <v>เหล็กท่อกลม 6'' หนา 2 มิล</v>
      </c>
      <c r="N99" s="7">
        <f>INSTOCK!$I99*INSTOCK!$K99</f>
        <v>0</v>
      </c>
      <c r="O99" s="2"/>
      <c r="P99" s="2"/>
    </row>
    <row r="100" ht="18.0" customHeight="1">
      <c r="A100" s="1"/>
      <c r="B100" s="3">
        <v>99.0</v>
      </c>
      <c r="C100" s="4">
        <v>43101.0</v>
      </c>
      <c r="D100" s="2" t="s">
        <v>15</v>
      </c>
      <c r="E100" s="2"/>
      <c r="F100" s="3"/>
      <c r="G100" s="2"/>
      <c r="H100" s="2" t="s">
        <v>116</v>
      </c>
      <c r="I100" s="3">
        <v>14.0</v>
      </c>
      <c r="J100" s="3"/>
      <c r="K100" s="5">
        <v>245.0</v>
      </c>
      <c r="L100" s="10" t="str">
        <f>IF(D100&lt;&gt;"",VLOOKUP(H100,TABLEITEM,2,FALSE),"")</f>
        <v>MAT ST</v>
      </c>
      <c r="M100" s="10" t="str">
        <f>IF(D100&lt;&gt;"",VLOOKUP(H100,TABLEITEM,3,FALSE),"")</f>
        <v>เหล็กท่อกลม 3/4'' หนา 2.8 มิล</v>
      </c>
      <c r="N100" s="7">
        <f>INSTOCK!$I100*INSTOCK!$K100</f>
        <v>3430</v>
      </c>
      <c r="O100" s="2"/>
      <c r="P100" s="2"/>
    </row>
    <row r="101" ht="18.0" customHeight="1">
      <c r="A101" s="1"/>
      <c r="B101" s="3">
        <v>100.0</v>
      </c>
      <c r="C101" s="4">
        <v>43101.0</v>
      </c>
      <c r="D101" s="2" t="s">
        <v>15</v>
      </c>
      <c r="E101" s="2"/>
      <c r="F101" s="3"/>
      <c r="G101" s="2"/>
      <c r="H101" s="2" t="s">
        <v>117</v>
      </c>
      <c r="I101" s="3">
        <v>3.7</v>
      </c>
      <c r="J101" s="3"/>
      <c r="K101" s="5"/>
      <c r="L101" s="10" t="str">
        <f>IF(D101&lt;&gt;"",VLOOKUP(H101,TABLEITEM,2,FALSE),"")</f>
        <v>MAT ST</v>
      </c>
      <c r="M101" s="10" t="str">
        <f>IF(D101&lt;&gt;"",VLOOKUP(H101,TABLEITEM,3,FALSE),"")</f>
        <v>เหล็กท่อกลม 4'' หนา 3 มิล</v>
      </c>
      <c r="N101" s="7">
        <f>INSTOCK!$I101*INSTOCK!$K101</f>
        <v>0</v>
      </c>
      <c r="O101" s="2"/>
      <c r="P101" s="2"/>
    </row>
    <row r="102" ht="18.0" customHeight="1">
      <c r="A102" s="1"/>
      <c r="B102" s="3">
        <v>101.0</v>
      </c>
      <c r="C102" s="4">
        <v>43101.0</v>
      </c>
      <c r="D102" s="2" t="s">
        <v>15</v>
      </c>
      <c r="E102" s="2"/>
      <c r="F102" s="3"/>
      <c r="G102" s="2"/>
      <c r="H102" s="2" t="s">
        <v>118</v>
      </c>
      <c r="I102" s="3">
        <v>0.0</v>
      </c>
      <c r="J102" s="3"/>
      <c r="K102" s="5"/>
      <c r="L102" s="10" t="str">
        <f>IF(D102&lt;&gt;"",VLOOKUP(H102,TABLEITEM,2,FALSE),"")</f>
        <v>MAT ST</v>
      </c>
      <c r="M102" s="10" t="str">
        <f>IF(D102&lt;&gt;"",VLOOKUP(H102,TABLEITEM,3,FALSE),"")</f>
        <v>เหล็กแบน 1''1/2 หนา 3 มิล</v>
      </c>
      <c r="N102" s="7">
        <f>INSTOCK!$I102*INSTOCK!$K102</f>
        <v>0</v>
      </c>
      <c r="O102" s="2"/>
      <c r="P102" s="2"/>
    </row>
    <row r="103" ht="18.0" customHeight="1">
      <c r="A103" s="1"/>
      <c r="B103" s="3">
        <v>102.0</v>
      </c>
      <c r="C103" s="4">
        <v>43101.0</v>
      </c>
      <c r="D103" s="2" t="s">
        <v>15</v>
      </c>
      <c r="E103" s="2"/>
      <c r="F103" s="3"/>
      <c r="G103" s="2"/>
      <c r="H103" s="2" t="s">
        <v>119</v>
      </c>
      <c r="I103" s="3">
        <v>0.0</v>
      </c>
      <c r="J103" s="3"/>
      <c r="K103" s="5"/>
      <c r="L103" s="10" t="str">
        <f>IF(D103&lt;&gt;"",VLOOKUP(H103,TABLEITEM,2,FALSE),"")</f>
        <v>MAT ST</v>
      </c>
      <c r="M103" s="10" t="str">
        <f>IF(D103&lt;&gt;"",VLOOKUP(H103,TABLEITEM,3,FALSE),"")</f>
        <v>เหล็กแบน 1''1/2 หนา 4.5 มิล</v>
      </c>
      <c r="N103" s="7">
        <f>INSTOCK!$I103*INSTOCK!$K103</f>
        <v>0</v>
      </c>
      <c r="O103" s="2"/>
      <c r="P103" s="2"/>
    </row>
    <row r="104" ht="18.0" customHeight="1">
      <c r="A104" s="1"/>
      <c r="B104" s="3">
        <v>103.0</v>
      </c>
      <c r="C104" s="4">
        <v>43101.0</v>
      </c>
      <c r="D104" s="2" t="s">
        <v>15</v>
      </c>
      <c r="E104" s="2"/>
      <c r="F104" s="3"/>
      <c r="G104" s="2"/>
      <c r="H104" s="2" t="s">
        <v>120</v>
      </c>
      <c r="I104" s="3">
        <v>4.0</v>
      </c>
      <c r="J104" s="3"/>
      <c r="K104" s="5"/>
      <c r="L104" s="10" t="str">
        <f>IF(D104&lt;&gt;"",VLOOKUP(H104,TABLEITEM,2,FALSE),"")</f>
        <v>MAT ST</v>
      </c>
      <c r="M104" s="10" t="str">
        <f>IF(D104&lt;&gt;"",VLOOKUP(H104,TABLEITEM,3,FALSE),"")</f>
        <v>เหล็กแบน 2'' หนา 4.5 มิล</v>
      </c>
      <c r="N104" s="7">
        <f>INSTOCK!$I104*INSTOCK!$K104</f>
        <v>0</v>
      </c>
      <c r="O104" s="2"/>
      <c r="P104" s="2"/>
    </row>
    <row r="105" ht="18.0" customHeight="1">
      <c r="A105" s="1"/>
      <c r="B105" s="3">
        <v>104.0</v>
      </c>
      <c r="C105" s="4">
        <v>43101.0</v>
      </c>
      <c r="D105" s="2" t="s">
        <v>15</v>
      </c>
      <c r="E105" s="2"/>
      <c r="F105" s="3"/>
      <c r="G105" s="2"/>
      <c r="H105" s="2" t="s">
        <v>121</v>
      </c>
      <c r="I105" s="3">
        <v>0.0</v>
      </c>
      <c r="J105" s="3"/>
      <c r="K105" s="5"/>
      <c r="L105" s="10" t="str">
        <f>IF(D105&lt;&gt;"",VLOOKUP(H105,TABLEITEM,2,FALSE),"")</f>
        <v>MAT ST</v>
      </c>
      <c r="M105" s="10" t="str">
        <f>IF(D105&lt;&gt;"",VLOOKUP(H105,TABLEITEM,3,FALSE),"")</f>
        <v>เหล็กแบน 2'' หนา 6 มิล</v>
      </c>
      <c r="N105" s="7">
        <f>INSTOCK!$I105*INSTOCK!$K105</f>
        <v>0</v>
      </c>
      <c r="O105" s="2"/>
      <c r="P105" s="2"/>
    </row>
    <row r="106" ht="18.0" customHeight="1">
      <c r="A106" s="1"/>
      <c r="B106" s="3">
        <v>105.0</v>
      </c>
      <c r="C106" s="4">
        <v>43101.0</v>
      </c>
      <c r="D106" s="2" t="s">
        <v>15</v>
      </c>
      <c r="E106" s="2"/>
      <c r="F106" s="3"/>
      <c r="G106" s="2"/>
      <c r="H106" s="2" t="s">
        <v>122</v>
      </c>
      <c r="I106" s="3">
        <v>0.0</v>
      </c>
      <c r="J106" s="3"/>
      <c r="K106" s="5"/>
      <c r="L106" s="10" t="str">
        <f>IF(D106&lt;&gt;"",VLOOKUP(H106,TABLEITEM,2,FALSE),"")</f>
        <v>MAT ST</v>
      </c>
      <c r="M106" s="10" t="str">
        <f>IF(D106&lt;&gt;"",VLOOKUP(H106,TABLEITEM,3,FALSE),"")</f>
        <v>เหล็กแบน 3'' หนา 6 มิล</v>
      </c>
      <c r="N106" s="7">
        <f>INSTOCK!$I106*INSTOCK!$K106</f>
        <v>0</v>
      </c>
      <c r="O106" s="2"/>
      <c r="P106" s="2"/>
    </row>
    <row r="107" ht="18.0" customHeight="1">
      <c r="A107" s="1"/>
      <c r="B107" s="3">
        <v>106.0</v>
      </c>
      <c r="C107" s="4">
        <v>43101.0</v>
      </c>
      <c r="D107" s="2" t="s">
        <v>15</v>
      </c>
      <c r="E107" s="2"/>
      <c r="F107" s="3"/>
      <c r="G107" s="2"/>
      <c r="H107" s="2" t="s">
        <v>123</v>
      </c>
      <c r="I107" s="3">
        <v>0.0</v>
      </c>
      <c r="J107" s="3"/>
      <c r="K107" s="5"/>
      <c r="L107" s="10" t="str">
        <f>IF(D107&lt;&gt;"",VLOOKUP(H107,TABLEITEM,2,FALSE),"")</f>
        <v>MAT ST</v>
      </c>
      <c r="M107" s="10" t="str">
        <f>IF(D107&lt;&gt;"",VLOOKUP(H107,TABLEITEM,3,FALSE),"")</f>
        <v>เหล็กแบน 4'' หนา 6 มิล</v>
      </c>
      <c r="N107" s="7">
        <f>INSTOCK!$I107*INSTOCK!$K107</f>
        <v>0</v>
      </c>
      <c r="O107" s="2"/>
      <c r="P107" s="2"/>
    </row>
    <row r="108" ht="18.0" customHeight="1">
      <c r="A108" s="1"/>
      <c r="B108" s="3">
        <v>107.0</v>
      </c>
      <c r="C108" s="4">
        <v>43101.0</v>
      </c>
      <c r="D108" s="2" t="s">
        <v>15</v>
      </c>
      <c r="E108" s="2"/>
      <c r="F108" s="3"/>
      <c r="G108" s="2"/>
      <c r="H108" s="2" t="s">
        <v>124</v>
      </c>
      <c r="I108" s="3">
        <v>7.0</v>
      </c>
      <c r="J108" s="3"/>
      <c r="K108" s="5">
        <v>1070.0</v>
      </c>
      <c r="L108" s="10" t="str">
        <f>IF(D108&lt;&gt;"",VLOOKUP(H108,TABLEITEM,2,FALSE),"")</f>
        <v>MAT ST</v>
      </c>
      <c r="M108" s="10" t="str">
        <f>IF(D108&lt;&gt;"",VLOOKUP(H108,TABLEITEM,3,FALSE),"")</f>
        <v>ฉากสแตนเลส 1''1/2หนา3.0</v>
      </c>
      <c r="N108" s="7">
        <f>INSTOCK!$I108*INSTOCK!$K108</f>
        <v>7490</v>
      </c>
      <c r="O108" s="2"/>
      <c r="P108" s="2"/>
    </row>
    <row r="109" ht="18.0" customHeight="1">
      <c r="A109" s="1"/>
      <c r="B109" s="3">
        <v>108.0</v>
      </c>
      <c r="C109" s="4">
        <v>43101.0</v>
      </c>
      <c r="D109" s="2" t="s">
        <v>15</v>
      </c>
      <c r="E109" s="2"/>
      <c r="F109" s="3"/>
      <c r="G109" s="2"/>
      <c r="H109" s="2" t="s">
        <v>125</v>
      </c>
      <c r="I109" s="3">
        <v>7.0</v>
      </c>
      <c r="J109" s="3"/>
      <c r="K109" s="5">
        <v>1500.0</v>
      </c>
      <c r="L109" s="10" t="str">
        <f>IF(D109&lt;&gt;"",VLOOKUP(H109,TABLEITEM,2,FALSE),"")</f>
        <v>MAT ST</v>
      </c>
      <c r="M109" s="10" t="str">
        <f>IF(D109&lt;&gt;"",VLOOKUP(H109,TABLEITEM,3,FALSE),"")</f>
        <v>ฉากสแตนเลส 2''หนา3.0</v>
      </c>
      <c r="N109" s="7">
        <f>INSTOCK!$I109*INSTOCK!$K109</f>
        <v>10500</v>
      </c>
      <c r="O109" s="2"/>
      <c r="P109" s="2"/>
    </row>
    <row r="110" ht="18.0" customHeight="1">
      <c r="A110" s="1"/>
      <c r="B110" s="3">
        <v>109.0</v>
      </c>
      <c r="C110" s="4">
        <v>43101.0</v>
      </c>
      <c r="D110" s="2" t="s">
        <v>15</v>
      </c>
      <c r="E110" s="2"/>
      <c r="F110" s="3"/>
      <c r="G110" s="2"/>
      <c r="H110" s="2" t="s">
        <v>126</v>
      </c>
      <c r="I110" s="3">
        <v>2.0</v>
      </c>
      <c r="J110" s="3"/>
      <c r="K110" s="5"/>
      <c r="L110" s="10" t="str">
        <f>IF(D110&lt;&gt;"",VLOOKUP(H110,TABLEITEM,2,FALSE),"")</f>
        <v>MAT ST</v>
      </c>
      <c r="M110" s="10" t="str">
        <f>IF(D110&lt;&gt;"",VLOOKUP(H110,TABLEITEM,3,FALSE),"")</f>
        <v>ฉากสแตนเลส 2''หนา4.5</v>
      </c>
      <c r="N110" s="7">
        <f>INSTOCK!$I110*INSTOCK!$K110</f>
        <v>0</v>
      </c>
      <c r="O110" s="2"/>
      <c r="P110" s="2"/>
    </row>
    <row r="111" ht="18.0" customHeight="1">
      <c r="A111" s="1"/>
      <c r="B111" s="3">
        <v>110.0</v>
      </c>
      <c r="C111" s="4">
        <v>43101.0</v>
      </c>
      <c r="D111" s="2" t="s">
        <v>15</v>
      </c>
      <c r="E111" s="2"/>
      <c r="F111" s="3"/>
      <c r="G111" s="2"/>
      <c r="H111" s="2" t="s">
        <v>127</v>
      </c>
      <c r="I111" s="3">
        <v>0.0</v>
      </c>
      <c r="J111" s="3"/>
      <c r="K111" s="5"/>
      <c r="L111" s="10" t="str">
        <f>IF(D111&lt;&gt;"",VLOOKUP(H111,TABLEITEM,2,FALSE),"")</f>
        <v>MAT ST</v>
      </c>
      <c r="M111" s="10" t="str">
        <f>IF(D111&lt;&gt;"",VLOOKUP(H111,TABLEITEM,3,FALSE),"")</f>
        <v>สแตนเลสแบน 1''1/2หนา3.0</v>
      </c>
      <c r="N111" s="7">
        <f>INSTOCK!$I111*INSTOCK!$K111</f>
        <v>0</v>
      </c>
      <c r="O111" s="2"/>
      <c r="P111" s="2"/>
    </row>
    <row r="112" ht="18.0" customHeight="1">
      <c r="A112" s="1"/>
      <c r="B112" s="3">
        <v>111.0</v>
      </c>
      <c r="C112" s="4">
        <v>43101.0</v>
      </c>
      <c r="D112" s="2" t="s">
        <v>15</v>
      </c>
      <c r="E112" s="2"/>
      <c r="F112" s="3"/>
      <c r="G112" s="2"/>
      <c r="H112" s="2" t="s">
        <v>128</v>
      </c>
      <c r="I112" s="3">
        <v>2.0</v>
      </c>
      <c r="J112" s="3"/>
      <c r="K112" s="5"/>
      <c r="L112" s="10" t="str">
        <f>IF(D112&lt;&gt;"",VLOOKUP(H112,TABLEITEM,2,FALSE),"")</f>
        <v>MAT ST</v>
      </c>
      <c r="M112" s="10" t="str">
        <f>IF(D112&lt;&gt;"",VLOOKUP(H112,TABLEITEM,3,FALSE),"")</f>
        <v>สแตนเลสแบน 1''1/2หนา4.5</v>
      </c>
      <c r="N112" s="7">
        <f>INSTOCK!$I112*INSTOCK!$K112</f>
        <v>0</v>
      </c>
      <c r="O112" s="2"/>
      <c r="P112" s="2"/>
    </row>
    <row r="113" ht="18.0" customHeight="1">
      <c r="A113" s="1"/>
      <c r="B113" s="3">
        <v>112.0</v>
      </c>
      <c r="C113" s="4">
        <v>43101.0</v>
      </c>
      <c r="D113" s="2" t="s">
        <v>15</v>
      </c>
      <c r="E113" s="2"/>
      <c r="F113" s="3"/>
      <c r="G113" s="2"/>
      <c r="H113" s="2" t="s">
        <v>129</v>
      </c>
      <c r="I113" s="3">
        <v>0.0</v>
      </c>
      <c r="J113" s="3"/>
      <c r="K113" s="5"/>
      <c r="L113" s="10" t="str">
        <f>IF(D113&lt;&gt;"",VLOOKUP(H113,TABLEITEM,2,FALSE),"")</f>
        <v>MAT ST</v>
      </c>
      <c r="M113" s="10" t="str">
        <f>IF(D113&lt;&gt;"",VLOOKUP(H113,TABLEITEM,3,FALSE),"")</f>
        <v>สแตนเลสแบน 2''หนา3.0</v>
      </c>
      <c r="N113" s="7">
        <f>INSTOCK!$I113*INSTOCK!$K113</f>
        <v>0</v>
      </c>
      <c r="O113" s="2"/>
      <c r="P113" s="2"/>
    </row>
    <row r="114" ht="18.0" customHeight="1">
      <c r="A114" s="1"/>
      <c r="B114" s="3">
        <v>113.0</v>
      </c>
      <c r="C114" s="4">
        <v>43101.0</v>
      </c>
      <c r="D114" s="2" t="s">
        <v>15</v>
      </c>
      <c r="E114" s="2"/>
      <c r="F114" s="3"/>
      <c r="G114" s="2"/>
      <c r="H114" s="2" t="s">
        <v>130</v>
      </c>
      <c r="I114" s="3">
        <v>0.0</v>
      </c>
      <c r="J114" s="3"/>
      <c r="K114" s="5"/>
      <c r="L114" s="10" t="str">
        <f>IF(D114&lt;&gt;"",VLOOKUP(H114,TABLEITEM,2,FALSE),"")</f>
        <v>MAT ST</v>
      </c>
      <c r="M114" s="10" t="str">
        <f>IF(D114&lt;&gt;"",VLOOKUP(H114,TABLEITEM,3,FALSE),"")</f>
        <v>สแตนเลสแบน 2''หนา4.5</v>
      </c>
      <c r="N114" s="7">
        <f>INSTOCK!$I114*INSTOCK!$K114</f>
        <v>0</v>
      </c>
      <c r="O114" s="2"/>
      <c r="P114" s="2"/>
    </row>
    <row r="115" ht="18.0" customHeight="1">
      <c r="A115" s="1"/>
      <c r="B115" s="3">
        <v>114.0</v>
      </c>
      <c r="C115" s="4">
        <v>43101.0</v>
      </c>
      <c r="D115" s="2" t="s">
        <v>15</v>
      </c>
      <c r="E115" s="2"/>
      <c r="F115" s="3"/>
      <c r="G115" s="2"/>
      <c r="H115" s="2" t="s">
        <v>131</v>
      </c>
      <c r="I115" s="3">
        <v>0.0</v>
      </c>
      <c r="J115" s="3"/>
      <c r="K115" s="5"/>
      <c r="L115" s="10" t="str">
        <f>IF(D115&lt;&gt;"",VLOOKUP(H115,TABLEITEM,2,FALSE),"")</f>
        <v>MAT ST</v>
      </c>
      <c r="M115" s="10" t="str">
        <f>IF(D115&lt;&gt;"",VLOOKUP(H115,TABLEITEM,3,FALSE),"")</f>
        <v>สแตนเลสแบน 3''หนา3.0</v>
      </c>
      <c r="N115" s="7">
        <f>INSTOCK!$I115*INSTOCK!$K115</f>
        <v>0</v>
      </c>
      <c r="O115" s="2"/>
      <c r="P115" s="2"/>
    </row>
    <row r="116" ht="18.0" customHeight="1">
      <c r="A116" s="1"/>
      <c r="B116" s="3">
        <v>115.0</v>
      </c>
      <c r="C116" s="4">
        <v>43101.0</v>
      </c>
      <c r="D116" s="2" t="s">
        <v>15</v>
      </c>
      <c r="E116" s="2"/>
      <c r="F116" s="3"/>
      <c r="G116" s="2"/>
      <c r="H116" s="2" t="s">
        <v>132</v>
      </c>
      <c r="I116" s="3">
        <v>5.0</v>
      </c>
      <c r="J116" s="3"/>
      <c r="K116" s="5"/>
      <c r="L116" s="10" t="str">
        <f>IF(D116&lt;&gt;"",VLOOKUP(H116,TABLEITEM,2,FALSE),"")</f>
        <v>MAT ST</v>
      </c>
      <c r="M116" s="10" t="str">
        <f>IF(D116&lt;&gt;"",VLOOKUP(H116,TABLEITEM,3,FALSE),"")</f>
        <v>สแตนเลสแบน 3''หนา4.5</v>
      </c>
      <c r="N116" s="7">
        <f>INSTOCK!$I116*INSTOCK!$K116</f>
        <v>0</v>
      </c>
      <c r="O116" s="2"/>
      <c r="P116" s="2"/>
    </row>
    <row r="117" ht="18.0" customHeight="1">
      <c r="A117" s="1"/>
      <c r="B117" s="3">
        <v>116.0</v>
      </c>
      <c r="C117" s="4">
        <v>43101.0</v>
      </c>
      <c r="D117" s="2" t="s">
        <v>15</v>
      </c>
      <c r="E117" s="2"/>
      <c r="F117" s="3"/>
      <c r="G117" s="2"/>
      <c r="H117" s="2" t="s">
        <v>133</v>
      </c>
      <c r="I117" s="3">
        <v>0.0</v>
      </c>
      <c r="J117" s="3"/>
      <c r="K117" s="5"/>
      <c r="L117" s="10" t="str">
        <f>IF(D117&lt;&gt;"",VLOOKUP(H117,TABLEITEM,2,FALSE),"")</f>
        <v>MAT ST</v>
      </c>
      <c r="M117" s="10" t="str">
        <f>IF(D117&lt;&gt;"",VLOOKUP(H117,TABLEITEM,3,FALSE),"")</f>
        <v>สแตนเลสแบน 4''หนา3.0</v>
      </c>
      <c r="N117" s="7">
        <f>INSTOCK!$I117*INSTOCK!$K117</f>
        <v>0</v>
      </c>
      <c r="O117" s="2"/>
      <c r="P117" s="2"/>
    </row>
    <row r="118" ht="18.0" customHeight="1">
      <c r="A118" s="1"/>
      <c r="B118" s="3">
        <v>117.0</v>
      </c>
      <c r="C118" s="4">
        <v>43101.0</v>
      </c>
      <c r="D118" s="2" t="s">
        <v>15</v>
      </c>
      <c r="E118" s="2"/>
      <c r="F118" s="3"/>
      <c r="G118" s="2"/>
      <c r="H118" s="2" t="s">
        <v>134</v>
      </c>
      <c r="I118" s="3">
        <v>2.0</v>
      </c>
      <c r="J118" s="3"/>
      <c r="K118" s="5">
        <v>2650.0</v>
      </c>
      <c r="L118" s="10" t="str">
        <f>IF(D118&lt;&gt;"",VLOOKUP(H118,TABLEITEM,2,FALSE),"")</f>
        <v>MAT ST</v>
      </c>
      <c r="M118" s="10" t="str">
        <f>IF(D118&lt;&gt;"",VLOOKUP(H118,TABLEITEM,3,FALSE),"")</f>
        <v>ฉากสแตนเลส 2''หนา6.0</v>
      </c>
      <c r="N118" s="7">
        <f>INSTOCK!$I118*INSTOCK!$K118</f>
        <v>5300</v>
      </c>
      <c r="O118" s="2"/>
      <c r="P118" s="2"/>
    </row>
    <row r="119" ht="18.0" customHeight="1">
      <c r="A119" s="1"/>
      <c r="B119" s="3">
        <v>118.0</v>
      </c>
      <c r="C119" s="4">
        <v>43101.0</v>
      </c>
      <c r="D119" s="2" t="s">
        <v>15</v>
      </c>
      <c r="E119" s="2"/>
      <c r="F119" s="3"/>
      <c r="G119" s="2"/>
      <c r="H119" s="2" t="s">
        <v>135</v>
      </c>
      <c r="I119" s="3">
        <v>10.0</v>
      </c>
      <c r="J119" s="3"/>
      <c r="K119" s="5">
        <v>265.0</v>
      </c>
      <c r="L119" s="10" t="str">
        <f>IF(D119&lt;&gt;"",VLOOKUP(H119,TABLEITEM,2,FALSE),"")</f>
        <v>MAT ST</v>
      </c>
      <c r="M119" s="10" t="str">
        <f>IF(D119&lt;&gt;"",VLOOKUP(H119,TABLEITEM,3,FALSE),"")</f>
        <v>ท่อสแตนเลส3/4 หนา1.0</v>
      </c>
      <c r="N119" s="7">
        <f>INSTOCK!$I119*INSTOCK!$K119</f>
        <v>2650</v>
      </c>
      <c r="O119" s="2"/>
      <c r="P119" s="2"/>
    </row>
    <row r="120" ht="18.0" customHeight="1">
      <c r="A120" s="1"/>
      <c r="B120" s="3">
        <v>119.0</v>
      </c>
      <c r="C120" s="4">
        <v>43101.0</v>
      </c>
      <c r="D120" s="2" t="s">
        <v>15</v>
      </c>
      <c r="E120" s="2"/>
      <c r="F120" s="3"/>
      <c r="G120" s="2"/>
      <c r="H120" s="2" t="s">
        <v>136</v>
      </c>
      <c r="I120" s="3">
        <v>0.0</v>
      </c>
      <c r="J120" s="3"/>
      <c r="K120" s="5">
        <v>371.0</v>
      </c>
      <c r="L120" s="10" t="str">
        <f>IF(D120&lt;&gt;"",VLOOKUP(H120,TABLEITEM,2,FALSE),"")</f>
        <v>MAT ST</v>
      </c>
      <c r="M120" s="10" t="str">
        <f>IF(D120&lt;&gt;"",VLOOKUP(H120,TABLEITEM,3,FALSE),"")</f>
        <v>ท่อสแตนเลส 1'' หนา1.2</v>
      </c>
      <c r="N120" s="7">
        <f>INSTOCK!$I120*INSTOCK!$K120</f>
        <v>0</v>
      </c>
      <c r="O120" s="2"/>
      <c r="P120" s="2"/>
    </row>
    <row r="121" ht="18.0" customHeight="1">
      <c r="A121" s="1"/>
      <c r="B121" s="3">
        <v>120.0</v>
      </c>
      <c r="C121" s="4">
        <v>43101.0</v>
      </c>
      <c r="D121" s="2" t="s">
        <v>15</v>
      </c>
      <c r="E121" s="2"/>
      <c r="F121" s="3"/>
      <c r="G121" s="2"/>
      <c r="H121" s="2" t="s">
        <v>137</v>
      </c>
      <c r="I121" s="3">
        <v>0.0</v>
      </c>
      <c r="J121" s="3"/>
      <c r="K121" s="5">
        <v>825.0</v>
      </c>
      <c r="L121" s="10" t="str">
        <f>IF(D121&lt;&gt;"",VLOOKUP(H121,TABLEITEM,2,FALSE),"")</f>
        <v>MAT ST</v>
      </c>
      <c r="M121" s="10" t="str">
        <f>IF(D121&lt;&gt;"",VLOOKUP(H121,TABLEITEM,3,FALSE),"")</f>
        <v>ท่อสแตนเลส 1''1/2 หนา1.2</v>
      </c>
      <c r="N121" s="7">
        <f>INSTOCK!$I121*INSTOCK!$K121</f>
        <v>0</v>
      </c>
      <c r="O121" s="2"/>
      <c r="P121" s="2"/>
    </row>
    <row r="122" ht="18.0" customHeight="1">
      <c r="A122" s="1"/>
      <c r="B122" s="3">
        <v>121.0</v>
      </c>
      <c r="C122" s="4">
        <v>43101.0</v>
      </c>
      <c r="D122" s="2" t="s">
        <v>15</v>
      </c>
      <c r="E122" s="2"/>
      <c r="F122" s="3"/>
      <c r="G122" s="2"/>
      <c r="H122" s="2" t="s">
        <v>138</v>
      </c>
      <c r="I122" s="3">
        <v>0.0</v>
      </c>
      <c r="J122" s="3"/>
      <c r="K122" s="5"/>
      <c r="L122" s="10" t="str">
        <f>IF(D122&lt;&gt;"",VLOOKUP(H122,TABLEITEM,2,FALSE),"")</f>
        <v>MAT ST</v>
      </c>
      <c r="M122" s="10" t="str">
        <f>IF(D122&lt;&gt;"",VLOOKUP(H122,TABLEITEM,3,FALSE),"")</f>
        <v>ท่อสแตนเลส 2'' หนา1.5</v>
      </c>
      <c r="N122" s="7">
        <f>INSTOCK!$I122*INSTOCK!$K122</f>
        <v>0</v>
      </c>
      <c r="O122" s="2"/>
      <c r="P122" s="2"/>
    </row>
    <row r="123" ht="18.0" customHeight="1">
      <c r="A123" s="1"/>
      <c r="B123" s="3">
        <v>122.0</v>
      </c>
      <c r="C123" s="4">
        <v>43101.0</v>
      </c>
      <c r="D123" s="2" t="s">
        <v>15</v>
      </c>
      <c r="E123" s="2"/>
      <c r="F123" s="3"/>
      <c r="G123" s="2"/>
      <c r="H123" s="2" t="s">
        <v>139</v>
      </c>
      <c r="I123" s="3">
        <v>5.0</v>
      </c>
      <c r="J123" s="3"/>
      <c r="K123" s="5"/>
      <c r="L123" s="10" t="str">
        <f>IF(D123&lt;&gt;"",VLOOKUP(H123,TABLEITEM,2,FALSE),"")</f>
        <v>MAT ST</v>
      </c>
      <c r="M123" s="10" t="str">
        <f>IF(D123&lt;&gt;"",VLOOKUP(H123,TABLEITEM,3,FALSE),"")</f>
        <v>ท่อสแตนเลส 4'' หนา3.0</v>
      </c>
      <c r="N123" s="7">
        <f>INSTOCK!$I123*INSTOCK!$K123</f>
        <v>0</v>
      </c>
      <c r="O123" s="2"/>
      <c r="P123" s="2"/>
    </row>
    <row r="124" ht="18.0" customHeight="1">
      <c r="A124" s="1"/>
      <c r="B124" s="3">
        <v>123.0</v>
      </c>
      <c r="C124" s="4">
        <v>43101.0</v>
      </c>
      <c r="D124" s="2" t="s">
        <v>15</v>
      </c>
      <c r="E124" s="2"/>
      <c r="F124" s="3"/>
      <c r="G124" s="2"/>
      <c r="H124" s="2" t="s">
        <v>140</v>
      </c>
      <c r="I124" s="3">
        <v>4.0</v>
      </c>
      <c r="J124" s="3"/>
      <c r="K124" s="5">
        <v>3610.0</v>
      </c>
      <c r="L124" s="10" t="str">
        <f>IF(D124&lt;&gt;"",VLOOKUP(H124,TABLEITEM,2,FALSE),"")</f>
        <v>MAT ST</v>
      </c>
      <c r="M124" s="10" t="str">
        <f>IF(D124&lt;&gt;"",VLOOKUP(H124,TABLEITEM,3,FALSE),"")</f>
        <v>ท่อสแตนเลส 2'' หนา3.9</v>
      </c>
      <c r="N124" s="7">
        <f>INSTOCK!$I124*INSTOCK!$K124</f>
        <v>14440</v>
      </c>
      <c r="O124" s="2"/>
      <c r="P124" s="2"/>
    </row>
    <row r="125" ht="18.0" customHeight="1">
      <c r="A125" s="1"/>
      <c r="B125" s="3">
        <v>124.0</v>
      </c>
      <c r="C125" s="4">
        <v>43101.0</v>
      </c>
      <c r="D125" s="2" t="s">
        <v>15</v>
      </c>
      <c r="E125" s="2"/>
      <c r="F125" s="3"/>
      <c r="G125" s="2"/>
      <c r="H125" s="2" t="s">
        <v>141</v>
      </c>
      <c r="I125" s="3">
        <v>3.0</v>
      </c>
      <c r="J125" s="3"/>
      <c r="K125" s="5"/>
      <c r="L125" s="10" t="str">
        <f>IF(D125&lt;&gt;"",VLOOKUP(H125,TABLEITEM,2,FALSE),"")</f>
        <v>MAT ST</v>
      </c>
      <c r="M125" s="10" t="str">
        <f>IF(D125&lt;&gt;"",VLOOKUP(H125,TABLEITEM,3,FALSE),"")</f>
        <v>เพลาสแตนเลส 5/16หนา8</v>
      </c>
      <c r="N125" s="7">
        <f>INSTOCK!$I125*INSTOCK!$K125</f>
        <v>0</v>
      </c>
      <c r="O125" s="2"/>
      <c r="P125" s="2"/>
    </row>
    <row r="126" ht="18.0" customHeight="1">
      <c r="A126" s="1"/>
      <c r="B126" s="3">
        <v>125.0</v>
      </c>
      <c r="C126" s="4">
        <v>43101.0</v>
      </c>
      <c r="D126" s="2" t="s">
        <v>15</v>
      </c>
      <c r="E126" s="2"/>
      <c r="F126" s="3"/>
      <c r="G126" s="2"/>
      <c r="H126" s="2" t="s">
        <v>142</v>
      </c>
      <c r="I126" s="3">
        <v>0.0</v>
      </c>
      <c r="J126" s="3"/>
      <c r="K126" s="5"/>
      <c r="L126" s="10" t="str">
        <f>IF(D126&lt;&gt;"",VLOOKUP(H126,TABLEITEM,2,FALSE),"")</f>
        <v>MAT ST</v>
      </c>
      <c r="M126" s="10" t="str">
        <f>IF(D126&lt;&gt;"",VLOOKUP(H126,TABLEITEM,3,FALSE),"")</f>
        <v>เพลาสแตนเลส 5 มิล</v>
      </c>
      <c r="N126" s="7">
        <f>INSTOCK!$I126*INSTOCK!$K126</f>
        <v>0</v>
      </c>
      <c r="O126" s="2"/>
      <c r="P126" s="2"/>
    </row>
    <row r="127" ht="18.0" customHeight="1">
      <c r="A127" s="1"/>
      <c r="B127" s="3">
        <v>126.0</v>
      </c>
      <c r="C127" s="4">
        <v>43101.0</v>
      </c>
      <c r="D127" s="2" t="s">
        <v>15</v>
      </c>
      <c r="E127" s="2"/>
      <c r="F127" s="3"/>
      <c r="G127" s="2"/>
      <c r="H127" s="2" t="s">
        <v>143</v>
      </c>
      <c r="I127" s="3">
        <v>0.0</v>
      </c>
      <c r="J127" s="3"/>
      <c r="K127" s="5"/>
      <c r="L127" s="10" t="str">
        <f>IF(D127&lt;&gt;"",VLOOKUP(H127,TABLEITEM,2,FALSE),"")</f>
        <v>MAT ST</v>
      </c>
      <c r="M127" s="10" t="str">
        <f>IF(D127&lt;&gt;"",VLOOKUP(H127,TABLEITEM,3,FALSE),"")</f>
        <v>เพลาสแตนเลส 6 มิล</v>
      </c>
      <c r="N127" s="7">
        <f>INSTOCK!$I127*INSTOCK!$K127</f>
        <v>0</v>
      </c>
      <c r="O127" s="2"/>
      <c r="P127" s="2"/>
    </row>
    <row r="128" ht="18.0" customHeight="1">
      <c r="A128" s="1"/>
      <c r="B128" s="3">
        <v>127.0</v>
      </c>
      <c r="C128" s="13">
        <v>43104.0</v>
      </c>
      <c r="D128" s="14" t="s">
        <v>144</v>
      </c>
      <c r="E128" s="14">
        <v>6.012001614E9</v>
      </c>
      <c r="F128" s="11" t="s">
        <v>145</v>
      </c>
      <c r="G128" s="14" t="s">
        <v>146</v>
      </c>
      <c r="H128" s="14" t="s">
        <v>147</v>
      </c>
      <c r="I128" s="11">
        <v>90.0</v>
      </c>
      <c r="J128" s="11" t="s">
        <v>78</v>
      </c>
      <c r="K128" s="15">
        <v>19.34</v>
      </c>
      <c r="L128" s="10" t="str">
        <f>IF(D128&lt;&gt;"",VLOOKUP(H128,TABLEITEM,2,FALSE),"")</f>
        <v>MAT ST</v>
      </c>
      <c r="M128" s="10" t="str">
        <f>IF(D128&lt;&gt;"",VLOOKUP(H128,TABLEITEM,3,FALSE),"")</f>
        <v>เหล็กกล่อง 3/4 X 3/4หนา1.2 มิล</v>
      </c>
      <c r="N128" s="7">
        <f>INSTOCK!$I128*INSTOCK!$K128</f>
        <v>1740.6</v>
      </c>
      <c r="O128" s="2"/>
      <c r="P128" s="2"/>
    </row>
    <row r="129" ht="18.0" customHeight="1">
      <c r="A129" s="1"/>
      <c r="B129" s="3">
        <v>128.0</v>
      </c>
      <c r="C129" s="13">
        <v>43104.0</v>
      </c>
      <c r="D129" s="14" t="s">
        <v>148</v>
      </c>
      <c r="E129" s="16">
        <v>6.012001576E9</v>
      </c>
      <c r="F129" s="11" t="s">
        <v>149</v>
      </c>
      <c r="G129" s="14" t="s">
        <v>146</v>
      </c>
      <c r="H129" s="14" t="s">
        <v>150</v>
      </c>
      <c r="I129" s="11">
        <v>6.0</v>
      </c>
      <c r="J129" s="11" t="s">
        <v>78</v>
      </c>
      <c r="K129" s="15">
        <v>439.0</v>
      </c>
      <c r="L129" s="10" t="str">
        <f>IF(D129&lt;&gt;"",VLOOKUP(H129,TABLEITEM,2,FALSE),"")</f>
        <v>MAT ST</v>
      </c>
      <c r="M129" s="10" t="str">
        <f>IF(D129&lt;&gt;"",VLOOKUP(H129,TABLEITEM,3,FALSE),"")</f>
        <v>เหล็กเอชบีม 100x100x6x8</v>
      </c>
      <c r="N129" s="7">
        <f>INSTOCK!$I129*INSTOCK!$K129</f>
        <v>2634</v>
      </c>
      <c r="O129" s="2"/>
      <c r="P129" s="2"/>
    </row>
    <row r="130" ht="18.0" customHeight="1">
      <c r="A130" s="1"/>
      <c r="B130" s="3">
        <v>129.0</v>
      </c>
      <c r="C130" s="13">
        <v>43105.0</v>
      </c>
      <c r="D130" s="14" t="s">
        <v>151</v>
      </c>
      <c r="E130" s="14">
        <v>6.101000004E9</v>
      </c>
      <c r="F130" s="11" t="s">
        <v>152</v>
      </c>
      <c r="G130" s="14" t="s">
        <v>153</v>
      </c>
      <c r="H130" s="14" t="s">
        <v>154</v>
      </c>
      <c r="I130" s="11">
        <v>18.0</v>
      </c>
      <c r="J130" s="11" t="s">
        <v>78</v>
      </c>
      <c r="K130" s="15">
        <v>1402.5</v>
      </c>
      <c r="L130" s="10" t="str">
        <f>IF(D130&lt;&gt;"",VLOOKUP(H130,TABLEITEM,2,FALSE),"")</f>
        <v>MAT ST</v>
      </c>
      <c r="M130" s="10" t="str">
        <f>IF(D130&lt;&gt;"",VLOOKUP(H130,TABLEITEM,3,FALSE),"")</f>
        <v>เหล็กไอบีม 200x150x9x16</v>
      </c>
      <c r="N130" s="7">
        <f>INSTOCK!$I130*INSTOCK!$K130</f>
        <v>25245</v>
      </c>
      <c r="O130" s="2"/>
      <c r="P130" s="2"/>
    </row>
    <row r="131" ht="18.0" customHeight="1">
      <c r="A131" s="1"/>
      <c r="B131" s="3">
        <v>130.0</v>
      </c>
      <c r="C131" s="13">
        <v>43105.0</v>
      </c>
      <c r="D131" s="14" t="s">
        <v>151</v>
      </c>
      <c r="E131" s="14">
        <v>6.101000004E9</v>
      </c>
      <c r="F131" s="11" t="s">
        <v>152</v>
      </c>
      <c r="G131" s="14" t="s">
        <v>153</v>
      </c>
      <c r="H131" s="14" t="s">
        <v>155</v>
      </c>
      <c r="I131" s="11">
        <v>36.0</v>
      </c>
      <c r="J131" s="11" t="s">
        <v>78</v>
      </c>
      <c r="K131" s="15">
        <v>724.17</v>
      </c>
      <c r="L131" s="10" t="str">
        <f>IF(D131&lt;&gt;"",VLOOKUP(H131,TABLEITEM,2,FALSE),"")</f>
        <v>MAT ST</v>
      </c>
      <c r="M131" s="10" t="str">
        <f>IF(D131&lt;&gt;"",VLOOKUP(H131,TABLEITEM,3,FALSE),"")</f>
        <v>เหล็กไอบีม 200x100x7x10</v>
      </c>
      <c r="N131" s="7">
        <f>INSTOCK!$I131*INSTOCK!$K131</f>
        <v>26070.12</v>
      </c>
      <c r="O131" s="2"/>
      <c r="P131" s="2"/>
    </row>
    <row r="132" ht="18.0" customHeight="1">
      <c r="A132" s="1"/>
      <c r="B132" s="3">
        <v>131.0</v>
      </c>
      <c r="C132" s="13">
        <v>43105.0</v>
      </c>
      <c r="D132" s="14" t="s">
        <v>151</v>
      </c>
      <c r="E132" s="14">
        <v>6.101000004E9</v>
      </c>
      <c r="F132" s="11" t="s">
        <v>152</v>
      </c>
      <c r="G132" s="14" t="s">
        <v>153</v>
      </c>
      <c r="H132" s="14" t="s">
        <v>156</v>
      </c>
      <c r="I132" s="11">
        <v>36.0</v>
      </c>
      <c r="J132" s="11" t="s">
        <v>78</v>
      </c>
      <c r="K132" s="15">
        <v>295.0</v>
      </c>
      <c r="L132" s="10" t="str">
        <f>IF(D132&lt;&gt;"",VLOOKUP(H132,TABLEITEM,2,FALSE),"")</f>
        <v>MAT ST</v>
      </c>
      <c r="M132" s="10" t="str">
        <f>IF(D132&lt;&gt;"",VLOOKUP(H132,TABLEITEM,3,FALSE),"")</f>
        <v>เพลาเหล็กสี่เหลี่ยม 1"1/2x1"1/2</v>
      </c>
      <c r="N132" s="7">
        <f>INSTOCK!$I132*INSTOCK!$K132</f>
        <v>10620</v>
      </c>
      <c r="O132" s="2"/>
      <c r="P132" s="2"/>
    </row>
    <row r="133" ht="18.0" customHeight="1">
      <c r="A133" s="1"/>
      <c r="B133" s="3">
        <v>132.0</v>
      </c>
      <c r="C133" s="13">
        <v>43106.0</v>
      </c>
      <c r="D133" s="14" t="s">
        <v>157</v>
      </c>
      <c r="E133" s="14">
        <v>6.101000018E9</v>
      </c>
      <c r="F133" s="17"/>
      <c r="G133" s="14" t="s">
        <v>158</v>
      </c>
      <c r="H133" s="14" t="s">
        <v>76</v>
      </c>
      <c r="I133" s="11">
        <v>30.0</v>
      </c>
      <c r="J133" s="11"/>
      <c r="K133" s="15">
        <v>520.0</v>
      </c>
      <c r="L133" s="6" t="str">
        <f>IF(D133&lt;&gt;"",VLOOKUP(H133,TABLEITEM,2,FALSE),"")</f>
        <v>MAT ST</v>
      </c>
      <c r="M133" s="6" t="str">
        <f>IF(D133&lt;&gt;"",VLOOKUP(H133,TABLEITEM,3,FALSE),"")</f>
        <v>แผ่นตระแกรงระบาย 4x8รู 3มิลT0.6</v>
      </c>
      <c r="N133" s="7">
        <f>INSTOCK!$I133*INSTOCK!$K133</f>
        <v>15600</v>
      </c>
      <c r="O133" s="2"/>
      <c r="P133" s="2"/>
    </row>
    <row r="134" ht="18.0" customHeight="1">
      <c r="A134" s="1"/>
      <c r="B134" s="3">
        <v>133.0</v>
      </c>
      <c r="C134" s="13">
        <v>43108.0</v>
      </c>
      <c r="D134" s="14" t="s">
        <v>159</v>
      </c>
      <c r="E134" s="14">
        <v>6.101000025E9</v>
      </c>
      <c r="F134" s="11" t="s">
        <v>160</v>
      </c>
      <c r="G134" s="14" t="s">
        <v>153</v>
      </c>
      <c r="H134" s="14" t="s">
        <v>147</v>
      </c>
      <c r="I134" s="11">
        <v>30.0</v>
      </c>
      <c r="J134" s="11" t="s">
        <v>78</v>
      </c>
      <c r="K134" s="15">
        <v>20.0</v>
      </c>
      <c r="L134" s="10" t="str">
        <f>IF(D134&lt;&gt;"",VLOOKUP(H134,TABLEITEM,2,FALSE),"")</f>
        <v>MAT ST</v>
      </c>
      <c r="M134" s="10" t="str">
        <f>IF(D134&lt;&gt;"",VLOOKUP(H134,TABLEITEM,3,FALSE),"")</f>
        <v>เหล็กกล่อง 3/4 X 3/4หนา1.2 มิล</v>
      </c>
      <c r="N134" s="7">
        <f>INSTOCK!$I134*INSTOCK!$K134</f>
        <v>600</v>
      </c>
      <c r="O134" s="2"/>
      <c r="P134" s="2"/>
    </row>
    <row r="135" ht="18.0" customHeight="1">
      <c r="A135" s="1"/>
      <c r="B135" s="3">
        <v>134.0</v>
      </c>
      <c r="C135" s="13">
        <v>43109.0</v>
      </c>
      <c r="D135" s="14" t="s">
        <v>157</v>
      </c>
      <c r="E135" s="14">
        <v>6.101000022E9</v>
      </c>
      <c r="F135" s="11" t="s">
        <v>161</v>
      </c>
      <c r="G135" s="14" t="s">
        <v>162</v>
      </c>
      <c r="H135" s="14" t="s">
        <v>73</v>
      </c>
      <c r="I135" s="11">
        <v>10.0</v>
      </c>
      <c r="J135" s="11"/>
      <c r="K135" s="15">
        <v>1400.0</v>
      </c>
      <c r="L135" s="6" t="str">
        <f>IF(D135&lt;&gt;"",VLOOKUP(H135,TABLEITEM,2,FALSE),"")</f>
        <v>MAT ST</v>
      </c>
      <c r="M135" s="6" t="str">
        <f>IF(D135&lt;&gt;"",VLOOKUP(H135,TABLEITEM,3,FALSE),"")</f>
        <v>แผ่นPVC ใส4'x8'T2.0</v>
      </c>
      <c r="N135" s="7">
        <f>INSTOCK!$I135*INSTOCK!$K135</f>
        <v>14000</v>
      </c>
      <c r="O135" s="2"/>
      <c r="P135" s="2"/>
    </row>
    <row r="136" ht="18.0" customHeight="1">
      <c r="A136" s="1"/>
      <c r="B136" s="3">
        <v>135.0</v>
      </c>
      <c r="C136" s="13">
        <v>43109.0</v>
      </c>
      <c r="D136" s="14" t="s">
        <v>163</v>
      </c>
      <c r="E136" s="14">
        <v>6.101000023E9</v>
      </c>
      <c r="F136" s="11" t="s">
        <v>164</v>
      </c>
      <c r="G136" s="14" t="s">
        <v>165</v>
      </c>
      <c r="H136" s="14" t="s">
        <v>166</v>
      </c>
      <c r="I136" s="11">
        <v>2.0</v>
      </c>
      <c r="J136" s="11"/>
      <c r="K136" s="15">
        <v>2480.0</v>
      </c>
      <c r="L136" s="6" t="str">
        <f>IF(D136&lt;&gt;"",VLOOKUP(H136,TABLEITEM,2,FALSE),"")</f>
        <v>MAT ST</v>
      </c>
      <c r="M136" s="6" t="str">
        <f>IF(D136&lt;&gt;"",VLOOKUP(H136,TABLEITEM,3,FALSE),"")</f>
        <v>แผ่นPVC ใส4'x8'T5.0</v>
      </c>
      <c r="N136" s="7">
        <f>INSTOCK!$I136*INSTOCK!$K136</f>
        <v>4960</v>
      </c>
      <c r="O136" s="2"/>
      <c r="P136" s="2"/>
    </row>
    <row r="137" ht="18.0" customHeight="1">
      <c r="A137" s="1"/>
      <c r="B137" s="3">
        <v>136.0</v>
      </c>
      <c r="C137" s="13">
        <v>43109.0</v>
      </c>
      <c r="D137" s="14" t="s">
        <v>167</v>
      </c>
      <c r="E137" s="14">
        <v>6.101000017E9</v>
      </c>
      <c r="F137" s="11" t="s">
        <v>161</v>
      </c>
      <c r="G137" s="14" t="s">
        <v>153</v>
      </c>
      <c r="H137" s="14" t="s">
        <v>79</v>
      </c>
      <c r="I137" s="11">
        <v>600.0</v>
      </c>
      <c r="J137" s="11" t="s">
        <v>78</v>
      </c>
      <c r="K137" s="15">
        <v>155.0</v>
      </c>
      <c r="L137" s="10" t="str">
        <f>IF(D137&lt;&gt;"",VLOOKUP(H137,TABLEITEM,2,FALSE),"")</f>
        <v>MAT ST</v>
      </c>
      <c r="M137" s="10" t="str">
        <f>IF(D137&lt;&gt;"",VLOOKUP(H137,TABLEITEM,3,FALSE),"")</f>
        <v>เหล็กรางน้ำ U' 3</v>
      </c>
      <c r="N137" s="7">
        <f>INSTOCK!$I137*INSTOCK!$K137</f>
        <v>93000</v>
      </c>
      <c r="O137" s="2" t="s">
        <v>168</v>
      </c>
      <c r="P137" s="2"/>
    </row>
    <row r="138" ht="18.0" customHeight="1">
      <c r="A138" s="1"/>
      <c r="B138" s="3">
        <v>137.0</v>
      </c>
      <c r="C138" s="13">
        <v>43109.0</v>
      </c>
      <c r="D138" s="14" t="s">
        <v>167</v>
      </c>
      <c r="E138" s="14">
        <v>6.101000017E9</v>
      </c>
      <c r="F138" s="11" t="s">
        <v>161</v>
      </c>
      <c r="G138" s="14" t="s">
        <v>153</v>
      </c>
      <c r="H138" s="14" t="s">
        <v>85</v>
      </c>
      <c r="I138" s="11">
        <v>300.0</v>
      </c>
      <c r="J138" s="11" t="s">
        <v>78</v>
      </c>
      <c r="K138" s="15">
        <v>43.33</v>
      </c>
      <c r="L138" s="10" t="str">
        <f>IF(D138&lt;&gt;"",VLOOKUP(H138,TABLEITEM,2,FALSE),"")</f>
        <v>MAT ST</v>
      </c>
      <c r="M138" s="10" t="str">
        <f>IF(D138&lt;&gt;"",VLOOKUP(H138,TABLEITEM,3,FALSE),"")</f>
        <v>เหล็กฉาก 1''1/2'หนา3 มิล</v>
      </c>
      <c r="N138" s="7">
        <f>INSTOCK!$I138*INSTOCK!$K138</f>
        <v>12999</v>
      </c>
      <c r="O138" s="2" t="s">
        <v>168</v>
      </c>
      <c r="P138" s="2"/>
    </row>
    <row r="139" ht="18.0" customHeight="1">
      <c r="A139" s="1"/>
      <c r="B139" s="3">
        <v>138.0</v>
      </c>
      <c r="C139" s="13">
        <v>43109.0</v>
      </c>
      <c r="D139" s="14" t="s">
        <v>167</v>
      </c>
      <c r="E139" s="14">
        <v>6.101000025E9</v>
      </c>
      <c r="F139" s="11" t="s">
        <v>160</v>
      </c>
      <c r="G139" s="14" t="s">
        <v>153</v>
      </c>
      <c r="H139" s="14" t="s">
        <v>169</v>
      </c>
      <c r="I139" s="11">
        <v>6.0</v>
      </c>
      <c r="J139" s="11" t="s">
        <v>78</v>
      </c>
      <c r="K139" s="15">
        <v>67.5</v>
      </c>
      <c r="L139" s="10" t="str">
        <f>IF(D139&lt;&gt;"",VLOOKUP(H139,TABLEITEM,2,FALSE),"")</f>
        <v>MAT ST</v>
      </c>
      <c r="M139" s="10" t="str">
        <f>IF(D139&lt;&gt;"",VLOOKUP(H139,TABLEITEM,3,FALSE),"")</f>
        <v>เหล็กกล่อง 1"1/2 หนา 2.3 มิล</v>
      </c>
      <c r="N139" s="7">
        <f>INSTOCK!$I139*INSTOCK!$K139</f>
        <v>405</v>
      </c>
      <c r="O139" s="2"/>
      <c r="P139" s="2"/>
    </row>
    <row r="140" ht="18.0" customHeight="1">
      <c r="A140" s="1"/>
      <c r="B140" s="3">
        <v>139.0</v>
      </c>
      <c r="C140" s="13">
        <v>43112.0</v>
      </c>
      <c r="D140" s="14" t="s">
        <v>170</v>
      </c>
      <c r="E140" s="14">
        <v>6.101000016E9</v>
      </c>
      <c r="F140" s="11" t="s">
        <v>161</v>
      </c>
      <c r="G140" s="14" t="s">
        <v>171</v>
      </c>
      <c r="H140" s="14" t="s">
        <v>25</v>
      </c>
      <c r="I140" s="11">
        <v>200.0</v>
      </c>
      <c r="J140" s="11"/>
      <c r="K140" s="15">
        <v>1685.6</v>
      </c>
      <c r="L140" s="6" t="str">
        <f>IF(D140&lt;&gt;"",VLOOKUP(H140,TABLEITEM,2,FALSE),"")</f>
        <v>MAT ST</v>
      </c>
      <c r="M140" s="6" t="str">
        <f>IF(D140&lt;&gt;"",VLOOKUP(H140,TABLEITEM,3,FALSE),"")</f>
        <v>เหล็กแผ่นขาว4'x8'T3.0</v>
      </c>
      <c r="N140" s="7">
        <f>INSTOCK!$I140*INSTOCK!$K140</f>
        <v>337120</v>
      </c>
      <c r="O140" s="2" t="s">
        <v>172</v>
      </c>
      <c r="P140" s="2"/>
    </row>
    <row r="141" ht="18.0" customHeight="1">
      <c r="A141" s="1"/>
      <c r="B141" s="3">
        <v>140.0</v>
      </c>
      <c r="C141" s="13">
        <v>43115.0</v>
      </c>
      <c r="D141" s="14" t="s">
        <v>173</v>
      </c>
      <c r="E141" s="14">
        <v>6.101000016E9</v>
      </c>
      <c r="F141" s="11" t="s">
        <v>161</v>
      </c>
      <c r="G141" s="14" t="s">
        <v>171</v>
      </c>
      <c r="H141" s="14" t="s">
        <v>59</v>
      </c>
      <c r="I141" s="11">
        <v>3.0</v>
      </c>
      <c r="J141" s="11"/>
      <c r="K141" s="15">
        <v>3080.0</v>
      </c>
      <c r="L141" s="6" t="str">
        <f>IF(D141&lt;&gt;"",VLOOKUP(H141,TABLEITEM,2,FALSE),"")</f>
        <v>MAT ST</v>
      </c>
      <c r="M141" s="6" t="str">
        <f>IF(D141&lt;&gt;"",VLOOKUP(H141,TABLEITEM,3,FALSE),"")</f>
        <v>เหล็กแผ่นดำ4'x8'T6.0</v>
      </c>
      <c r="N141" s="7">
        <f>INSTOCK!$I141*INSTOCK!$K141</f>
        <v>9240</v>
      </c>
      <c r="O141" s="2" t="s">
        <v>174</v>
      </c>
      <c r="P141" s="2"/>
    </row>
    <row r="142" ht="18.0" customHeight="1">
      <c r="A142" s="1"/>
      <c r="B142" s="3">
        <v>141.0</v>
      </c>
      <c r="C142" s="13">
        <v>43115.0</v>
      </c>
      <c r="D142" s="14" t="s">
        <v>175</v>
      </c>
      <c r="E142" s="14">
        <v>6.101000053E9</v>
      </c>
      <c r="F142" s="11" t="s">
        <v>176</v>
      </c>
      <c r="G142" s="14" t="s">
        <v>153</v>
      </c>
      <c r="H142" s="14" t="s">
        <v>70</v>
      </c>
      <c r="I142" s="11">
        <v>20.0</v>
      </c>
      <c r="J142" s="11"/>
      <c r="K142" s="15">
        <v>2350.0</v>
      </c>
      <c r="L142" s="6" t="str">
        <f>IF(D142&lt;&gt;"",VLOOKUP(H142,TABLEITEM,2,FALSE),"")</f>
        <v>MAT ST</v>
      </c>
      <c r="M142" s="6" t="str">
        <f>IF(D142&lt;&gt;"",VLOOKUP(H142,TABLEITEM,3,FALSE),"")</f>
        <v>แผ่นสังกะสี4'x8'T3.0</v>
      </c>
      <c r="N142" s="7">
        <f>INSTOCK!$I142*INSTOCK!$K142</f>
        <v>47000</v>
      </c>
      <c r="O142" s="2"/>
      <c r="P142" s="2"/>
    </row>
    <row r="143" ht="18.0" customHeight="1">
      <c r="A143" s="1"/>
      <c r="B143" s="3">
        <v>142.0</v>
      </c>
      <c r="C143" s="13">
        <v>43115.0</v>
      </c>
      <c r="D143" s="14" t="s">
        <v>175</v>
      </c>
      <c r="E143" s="14">
        <v>6.101000053E9</v>
      </c>
      <c r="F143" s="11" t="s">
        <v>176</v>
      </c>
      <c r="G143" s="14" t="s">
        <v>153</v>
      </c>
      <c r="H143" s="14" t="s">
        <v>177</v>
      </c>
      <c r="I143" s="11">
        <v>6.0</v>
      </c>
      <c r="J143" s="11" t="s">
        <v>78</v>
      </c>
      <c r="K143" s="15">
        <v>75.0</v>
      </c>
      <c r="L143" s="10" t="str">
        <f>IF(D143&lt;&gt;"",VLOOKUP(H143,TABLEITEM,2,FALSE),"")</f>
        <v>MAT ST</v>
      </c>
      <c r="M143" s="10" t="str">
        <f>IF(D143&lt;&gt;"",VLOOKUP(H143,TABLEITEM,3,FALSE),"")</f>
        <v>เหล็กกล่อง 2x1 หนา 2.3 มิล</v>
      </c>
      <c r="N143" s="7">
        <f>INSTOCK!$I143*INSTOCK!$K143</f>
        <v>450</v>
      </c>
      <c r="O143" s="2"/>
      <c r="P143" s="2"/>
    </row>
    <row r="144" ht="18.0" customHeight="1">
      <c r="A144" s="1"/>
      <c r="B144" s="3">
        <v>143.0</v>
      </c>
      <c r="C144" s="13">
        <v>43117.0</v>
      </c>
      <c r="D144" s="14" t="s">
        <v>178</v>
      </c>
      <c r="E144" s="14">
        <v>6.10100005E9</v>
      </c>
      <c r="F144" s="11" t="s">
        <v>161</v>
      </c>
      <c r="G144" s="14" t="s">
        <v>171</v>
      </c>
      <c r="H144" s="14" t="s">
        <v>21</v>
      </c>
      <c r="I144" s="11">
        <v>250.0</v>
      </c>
      <c r="J144" s="11"/>
      <c r="K144" s="15">
        <v>1081.12</v>
      </c>
      <c r="L144" s="6" t="str">
        <f>IF(D144&lt;&gt;"",VLOOKUP(H144,TABLEITEM,2,FALSE),"")</f>
        <v>MAT ST</v>
      </c>
      <c r="M144" s="6" t="str">
        <f>IF(D144&lt;&gt;"",VLOOKUP(H144,TABLEITEM,3,FALSE),"")</f>
        <v>เหล็กแผ่นขาว4'x8'T2.0</v>
      </c>
      <c r="N144" s="7">
        <f>INSTOCK!$I144*INSTOCK!$K144</f>
        <v>270280</v>
      </c>
      <c r="O144" s="2" t="s">
        <v>179</v>
      </c>
      <c r="P144" s="2"/>
    </row>
    <row r="145" ht="18.0" customHeight="1">
      <c r="A145" s="1"/>
      <c r="B145" s="3">
        <v>144.0</v>
      </c>
      <c r="C145" s="13">
        <v>43117.0</v>
      </c>
      <c r="D145" s="14" t="s">
        <v>180</v>
      </c>
      <c r="E145" s="14">
        <v>6.10100005E9</v>
      </c>
      <c r="F145" s="11" t="s">
        <v>161</v>
      </c>
      <c r="G145" s="14" t="s">
        <v>171</v>
      </c>
      <c r="H145" s="14" t="s">
        <v>19</v>
      </c>
      <c r="I145" s="11">
        <v>120.0</v>
      </c>
      <c r="J145" s="11"/>
      <c r="K145" s="15">
        <v>855.6</v>
      </c>
      <c r="L145" s="6" t="str">
        <f>IF(D145&lt;&gt;"",VLOOKUP(H145,TABLEITEM,2,FALSE),"")</f>
        <v>MAT ST</v>
      </c>
      <c r="M145" s="6" t="str">
        <f>IF(D145&lt;&gt;"",VLOOKUP(H145,TABLEITEM,3,FALSE),"")</f>
        <v>เหล็กแผ่นขาว4'x8'T1.6</v>
      </c>
      <c r="N145" s="7">
        <f>INSTOCK!$I145*INSTOCK!$K145</f>
        <v>102672</v>
      </c>
      <c r="O145" s="2" t="s">
        <v>181</v>
      </c>
      <c r="P145" s="2"/>
    </row>
    <row r="146" ht="18.0" customHeight="1">
      <c r="A146" s="1"/>
      <c r="B146" s="3">
        <v>145.0</v>
      </c>
      <c r="C146" s="13">
        <v>43117.0</v>
      </c>
      <c r="D146" s="14" t="s">
        <v>180</v>
      </c>
      <c r="E146" s="14">
        <v>6.10100005E9</v>
      </c>
      <c r="F146" s="11" t="s">
        <v>161</v>
      </c>
      <c r="G146" s="14" t="s">
        <v>171</v>
      </c>
      <c r="H146" s="14" t="s">
        <v>21</v>
      </c>
      <c r="I146" s="11">
        <v>150.0</v>
      </c>
      <c r="J146" s="11"/>
      <c r="K146" s="15">
        <v>1081.12</v>
      </c>
      <c r="L146" s="6" t="str">
        <f>IF(D146&lt;&gt;"",VLOOKUP(H146,TABLEITEM,2,FALSE),"")</f>
        <v>MAT ST</v>
      </c>
      <c r="M146" s="6" t="str">
        <f>IF(D146&lt;&gt;"",VLOOKUP(H146,TABLEITEM,3,FALSE),"")</f>
        <v>เหล็กแผ่นขาว4'x8'T2.0</v>
      </c>
      <c r="N146" s="7">
        <f>INSTOCK!$I146*INSTOCK!$K146</f>
        <v>162168</v>
      </c>
      <c r="O146" s="2" t="s">
        <v>182</v>
      </c>
      <c r="P146" s="2"/>
    </row>
    <row r="147" ht="18.0" customHeight="1">
      <c r="A147" s="1"/>
      <c r="B147" s="3">
        <v>146.0</v>
      </c>
      <c r="C147" s="13">
        <v>43117.0</v>
      </c>
      <c r="D147" s="14" t="s">
        <v>183</v>
      </c>
      <c r="E147" s="14">
        <v>6.10100005E9</v>
      </c>
      <c r="F147" s="11" t="s">
        <v>161</v>
      </c>
      <c r="G147" s="14" t="s">
        <v>171</v>
      </c>
      <c r="H147" s="14" t="s">
        <v>184</v>
      </c>
      <c r="I147" s="11">
        <v>100.0</v>
      </c>
      <c r="J147" s="11"/>
      <c r="K147" s="15">
        <v>683.1</v>
      </c>
      <c r="L147" s="6" t="str">
        <f>IF(D147&lt;&gt;"",VLOOKUP(H147,TABLEITEM,2,FALSE),"")</f>
        <v>MAT ST</v>
      </c>
      <c r="M147" s="6" t="str">
        <f>IF(D147&lt;&gt;"",VLOOKUP(H147,TABLEITEM,3,FALSE),"")</f>
        <v>เหล็กแผ่นขาว1220x1942T1.6</v>
      </c>
      <c r="N147" s="7">
        <f>INSTOCK!$I147*INSTOCK!$K147</f>
        <v>68310</v>
      </c>
      <c r="O147" s="2" t="s">
        <v>185</v>
      </c>
      <c r="P147" s="2"/>
    </row>
    <row r="148" ht="18.0" customHeight="1">
      <c r="A148" s="1"/>
      <c r="B148" s="3">
        <v>147.0</v>
      </c>
      <c r="C148" s="13">
        <v>43117.0</v>
      </c>
      <c r="D148" s="14" t="s">
        <v>183</v>
      </c>
      <c r="E148" s="14">
        <v>6.10100005E9</v>
      </c>
      <c r="F148" s="11" t="s">
        <v>161</v>
      </c>
      <c r="G148" s="14" t="s">
        <v>171</v>
      </c>
      <c r="H148" s="14" t="s">
        <v>36</v>
      </c>
      <c r="I148" s="11">
        <v>100.0</v>
      </c>
      <c r="J148" s="11"/>
      <c r="K148" s="15">
        <v>752.1</v>
      </c>
      <c r="L148" s="6" t="str">
        <f>IF(D148&lt;&gt;"",VLOOKUP(H148,TABLEITEM,2,FALSE),"")</f>
        <v>MAT ST</v>
      </c>
      <c r="M148" s="6" t="str">
        <f>IF(D148&lt;&gt;"",VLOOKUP(H148,TABLEITEM,3,FALSE),"")</f>
        <v>เหล็กแผ่นขาว1220x2142T1.6</v>
      </c>
      <c r="N148" s="7">
        <f>INSTOCK!$I148*INSTOCK!$K148</f>
        <v>75210</v>
      </c>
      <c r="O148" s="2" t="s">
        <v>186</v>
      </c>
      <c r="P148" s="2"/>
    </row>
    <row r="149" ht="18.0" customHeight="1">
      <c r="A149" s="1"/>
      <c r="B149" s="3">
        <v>148.0</v>
      </c>
      <c r="C149" s="13">
        <v>43117.0</v>
      </c>
      <c r="D149" s="14" t="s">
        <v>183</v>
      </c>
      <c r="E149" s="14">
        <v>6.10100005E9</v>
      </c>
      <c r="F149" s="11" t="s">
        <v>161</v>
      </c>
      <c r="G149" s="14" t="s">
        <v>171</v>
      </c>
      <c r="H149" s="14" t="s">
        <v>19</v>
      </c>
      <c r="I149" s="11">
        <v>180.0</v>
      </c>
      <c r="J149" s="11"/>
      <c r="K149" s="15">
        <v>855.6</v>
      </c>
      <c r="L149" s="6" t="str">
        <f>IF(D149&lt;&gt;"",VLOOKUP(H149,TABLEITEM,2,FALSE),"")</f>
        <v>MAT ST</v>
      </c>
      <c r="M149" s="6" t="str">
        <f>IF(D149&lt;&gt;"",VLOOKUP(H149,TABLEITEM,3,FALSE),"")</f>
        <v>เหล็กแผ่นขาว4'x8'T1.6</v>
      </c>
      <c r="N149" s="7">
        <f>INSTOCK!$I149*INSTOCK!$K149</f>
        <v>154008</v>
      </c>
      <c r="O149" s="2" t="s">
        <v>187</v>
      </c>
      <c r="P149" s="2"/>
    </row>
    <row r="150" ht="18.0" customHeight="1">
      <c r="A150" s="1"/>
      <c r="B150" s="3">
        <v>149.0</v>
      </c>
      <c r="C150" s="13">
        <v>43118.0</v>
      </c>
      <c r="D150" s="14" t="s">
        <v>188</v>
      </c>
      <c r="E150" s="14">
        <v>6.101000066E9</v>
      </c>
      <c r="F150" s="11" t="s">
        <v>161</v>
      </c>
      <c r="G150" s="14" t="s">
        <v>153</v>
      </c>
      <c r="H150" s="14" t="s">
        <v>72</v>
      </c>
      <c r="I150" s="11">
        <v>20.0</v>
      </c>
      <c r="J150" s="11"/>
      <c r="K150" s="15">
        <v>4990.0</v>
      </c>
      <c r="L150" s="6" t="str">
        <f>IF(D150&lt;&gt;"",VLOOKUP(H150,TABLEITEM,2,FALSE),"")</f>
        <v>MAT ST</v>
      </c>
      <c r="M150" s="6" t="str">
        <f>IF(D150&lt;&gt;"",VLOOKUP(H150,TABLEITEM,3,FALSE),"")</f>
        <v>แผ่นอลูมิเนียม4'x8'T6.0</v>
      </c>
      <c r="N150" s="7">
        <f>INSTOCK!$I150*INSTOCK!$K150</f>
        <v>99800</v>
      </c>
      <c r="O150" s="2"/>
      <c r="P150" s="2"/>
    </row>
    <row r="151" ht="18.0" customHeight="1">
      <c r="A151" s="1"/>
      <c r="B151" s="3">
        <v>150.0</v>
      </c>
      <c r="C151" s="13">
        <v>43125.0</v>
      </c>
      <c r="D151" s="14" t="s">
        <v>189</v>
      </c>
      <c r="E151" s="14">
        <v>6.101000098E9</v>
      </c>
      <c r="F151" s="11" t="s">
        <v>161</v>
      </c>
      <c r="G151" s="14" t="s">
        <v>153</v>
      </c>
      <c r="H151" s="18" t="s">
        <v>107</v>
      </c>
      <c r="I151" s="11">
        <v>300.0</v>
      </c>
      <c r="J151" s="11"/>
      <c r="K151" s="15">
        <v>55.0</v>
      </c>
      <c r="L151" s="6" t="str">
        <f>IF(D151&lt;&gt;"",VLOOKUP(H151,TABLEITEM,2,FALSE),"")</f>
        <v>MAT ST</v>
      </c>
      <c r="M151" s="6" t="str">
        <f>IF(D151&lt;&gt;"",VLOOKUP(H151,TABLEITEM,3,FALSE),"")</f>
        <v>เหล็กเพลากลม 8มิล</v>
      </c>
      <c r="N151" s="7">
        <f>INSTOCK!$I151*INSTOCK!$K151</f>
        <v>16500</v>
      </c>
      <c r="O151" s="2"/>
      <c r="P151" s="2"/>
    </row>
    <row r="152" ht="18.0" customHeight="1">
      <c r="A152" s="1"/>
      <c r="B152" s="3">
        <v>151.0</v>
      </c>
      <c r="C152" s="13">
        <v>43126.0</v>
      </c>
      <c r="D152" s="14" t="s">
        <v>190</v>
      </c>
      <c r="E152" s="14">
        <v>6.101000109E9</v>
      </c>
      <c r="F152" s="11" t="s">
        <v>191</v>
      </c>
      <c r="G152" s="14" t="s">
        <v>192</v>
      </c>
      <c r="H152" s="14" t="s">
        <v>62</v>
      </c>
      <c r="I152" s="11">
        <v>10.0</v>
      </c>
      <c r="J152" s="11"/>
      <c r="K152" s="15">
        <v>3160.0</v>
      </c>
      <c r="L152" s="6" t="str">
        <f>IF(D152&lt;&gt;"",VLOOKUP(H152,TABLEITEM,2,FALSE),"")</f>
        <v>MAT ST</v>
      </c>
      <c r="M152" s="6" t="str">
        <f>IF(D152&lt;&gt;"",VLOOKUP(H152,TABLEITEM,3,FALSE),"")</f>
        <v>สแตนเลสแผ่น4'x8'T1.5</v>
      </c>
      <c r="N152" s="7">
        <f>INSTOCK!$I152*INSTOCK!$K152</f>
        <v>31600</v>
      </c>
      <c r="O152" s="2" t="s">
        <v>193</v>
      </c>
      <c r="P152" s="2"/>
    </row>
    <row r="153" ht="18.0" customHeight="1">
      <c r="A153" s="1"/>
      <c r="B153" s="3">
        <v>152.0</v>
      </c>
      <c r="C153" s="13">
        <v>43129.0</v>
      </c>
      <c r="D153" s="14" t="s">
        <v>194</v>
      </c>
      <c r="E153" s="14">
        <v>6.101000117E9</v>
      </c>
      <c r="F153" s="11" t="s">
        <v>161</v>
      </c>
      <c r="G153" s="14" t="s">
        <v>171</v>
      </c>
      <c r="H153" s="14" t="s">
        <v>57</v>
      </c>
      <c r="I153" s="11">
        <v>2.0</v>
      </c>
      <c r="J153" s="11"/>
      <c r="K153" s="15">
        <v>4970.25</v>
      </c>
      <c r="L153" s="6" t="str">
        <f>IF(D153&lt;&gt;"",VLOOKUP(H153,TABLEITEM,2,FALSE),"")</f>
        <v>MAT ST</v>
      </c>
      <c r="M153" s="6" t="str">
        <f>IF(D153&lt;&gt;"",VLOOKUP(H153,TABLEITEM,3,FALSE),"")</f>
        <v>เหล็กแผ่นดำ4'x8'T9.0</v>
      </c>
      <c r="N153" s="7">
        <f>INSTOCK!$I153*INSTOCK!$K153</f>
        <v>9940.5</v>
      </c>
      <c r="O153" s="2" t="s">
        <v>195</v>
      </c>
      <c r="P153" s="2"/>
    </row>
    <row r="154" ht="18.0" customHeight="1">
      <c r="A154" s="1"/>
      <c r="B154" s="3">
        <v>153.0</v>
      </c>
      <c r="C154" s="13">
        <v>43131.0</v>
      </c>
      <c r="D154" s="14" t="s">
        <v>196</v>
      </c>
      <c r="E154" s="14" t="s">
        <v>197</v>
      </c>
      <c r="F154" s="11" t="s">
        <v>198</v>
      </c>
      <c r="G154" s="14" t="s">
        <v>153</v>
      </c>
      <c r="H154" s="14" t="s">
        <v>98</v>
      </c>
      <c r="I154" s="11">
        <v>42.0</v>
      </c>
      <c r="J154" s="11" t="s">
        <v>78</v>
      </c>
      <c r="K154" s="15">
        <v>130.83</v>
      </c>
      <c r="L154" s="10" t="str">
        <f>IF(D154&lt;&gt;"",VLOOKUP(H154,TABLEITEM,2,FALSE),"")</f>
        <v>MAT ST</v>
      </c>
      <c r="M154" s="10" t="str">
        <f>IF(D154&lt;&gt;"",VLOOKUP(H154,TABLEITEM,3,FALSE),"")</f>
        <v>เหล็กกล่อง 3'' หนา2.3 มิล</v>
      </c>
      <c r="N154" s="7">
        <f>INSTOCK!$I154*INSTOCK!$K154</f>
        <v>5494.86</v>
      </c>
      <c r="O154" s="2"/>
      <c r="P154" s="2"/>
    </row>
    <row r="155" ht="18.0" customHeight="1">
      <c r="A155" s="1"/>
      <c r="B155" s="3">
        <v>154.0</v>
      </c>
      <c r="C155" s="13">
        <v>43131.0</v>
      </c>
      <c r="D155" s="14" t="s">
        <v>196</v>
      </c>
      <c r="E155" s="14" t="s">
        <v>197</v>
      </c>
      <c r="F155" s="11" t="s">
        <v>198</v>
      </c>
      <c r="G155" s="14" t="s">
        <v>153</v>
      </c>
      <c r="H155" s="14" t="s">
        <v>199</v>
      </c>
      <c r="I155" s="11">
        <v>78.0</v>
      </c>
      <c r="J155" s="11" t="s">
        <v>78</v>
      </c>
      <c r="K155" s="15">
        <v>113.33</v>
      </c>
      <c r="L155" s="10" t="str">
        <f>IF(D155&lt;&gt;"",VLOOKUP(H155,TABLEITEM,2,FALSE),"")</f>
        <v>MAT ST</v>
      </c>
      <c r="M155" s="10" t="str">
        <f>IF(D155&lt;&gt;"",VLOOKUP(H155,TABLEITEM,3,FALSE),"")</f>
        <v>เหล็กกล่อง3x2'หนา2.3มิล</v>
      </c>
      <c r="N155" s="7">
        <f>INSTOCK!$I155*INSTOCK!$K155</f>
        <v>8839.74</v>
      </c>
      <c r="O155" s="2"/>
      <c r="P155" s="2"/>
    </row>
    <row r="156" ht="18.0" customHeight="1">
      <c r="A156" s="1"/>
      <c r="B156" s="3">
        <v>155.0</v>
      </c>
      <c r="C156" s="13">
        <v>43131.0</v>
      </c>
      <c r="D156" s="14" t="s">
        <v>196</v>
      </c>
      <c r="E156" s="14" t="s">
        <v>197</v>
      </c>
      <c r="F156" s="11" t="s">
        <v>198</v>
      </c>
      <c r="G156" s="14" t="s">
        <v>153</v>
      </c>
      <c r="H156" s="14" t="s">
        <v>169</v>
      </c>
      <c r="I156" s="11">
        <v>90.0</v>
      </c>
      <c r="J156" s="11" t="s">
        <v>78</v>
      </c>
      <c r="K156" s="15">
        <v>64.17</v>
      </c>
      <c r="L156" s="10" t="str">
        <f>IF(D156&lt;&gt;"",VLOOKUP(H156,TABLEITEM,2,FALSE),"")</f>
        <v>MAT ST</v>
      </c>
      <c r="M156" s="10" t="str">
        <f>IF(D156&lt;&gt;"",VLOOKUP(H156,TABLEITEM,3,FALSE),"")</f>
        <v>เหล็กกล่อง 1"1/2 หนา 2.3 มิล</v>
      </c>
      <c r="N156" s="7">
        <f>INSTOCK!$I156*INSTOCK!$K156</f>
        <v>5775.3</v>
      </c>
      <c r="O156" s="2"/>
      <c r="P156" s="2"/>
    </row>
    <row r="157" ht="18.0" customHeight="1">
      <c r="A157" s="1"/>
      <c r="B157" s="3">
        <v>156.0</v>
      </c>
      <c r="C157" s="13">
        <v>43132.0</v>
      </c>
      <c r="D157" s="14" t="s">
        <v>200</v>
      </c>
      <c r="E157" s="14">
        <v>6.101000132E9</v>
      </c>
      <c r="F157" s="11" t="s">
        <v>201</v>
      </c>
      <c r="G157" s="14" t="s">
        <v>202</v>
      </c>
      <c r="H157" s="14" t="s">
        <v>79</v>
      </c>
      <c r="I157" s="11">
        <v>600.0</v>
      </c>
      <c r="J157" s="11" t="s">
        <v>78</v>
      </c>
      <c r="K157" s="15">
        <v>153.33</v>
      </c>
      <c r="L157" s="10" t="str">
        <f>IF(D157&lt;&gt;"",VLOOKUP(H157,TABLEITEM,2,FALSE),"")</f>
        <v>MAT ST</v>
      </c>
      <c r="M157" s="10" t="str">
        <f>IF(D157&lt;&gt;"",VLOOKUP(H157,TABLEITEM,3,FALSE),"")</f>
        <v>เหล็กรางน้ำ U' 3</v>
      </c>
      <c r="N157" s="7">
        <f>INSTOCK!$I157*INSTOCK!$K157</f>
        <v>91998</v>
      </c>
      <c r="O157" s="2"/>
      <c r="P157" s="2"/>
    </row>
    <row r="158" ht="18.0" customHeight="1">
      <c r="A158" s="1"/>
      <c r="B158" s="3">
        <v>157.0</v>
      </c>
      <c r="C158" s="13">
        <v>43132.0</v>
      </c>
      <c r="D158" s="14" t="s">
        <v>200</v>
      </c>
      <c r="E158" s="14">
        <v>6.101000132E9</v>
      </c>
      <c r="F158" s="11" t="s">
        <v>201</v>
      </c>
      <c r="G158" s="14" t="s">
        <v>202</v>
      </c>
      <c r="H158" s="14" t="s">
        <v>80</v>
      </c>
      <c r="I158" s="11">
        <v>180.0</v>
      </c>
      <c r="J158" s="11" t="s">
        <v>78</v>
      </c>
      <c r="K158" s="15">
        <v>206.67</v>
      </c>
      <c r="L158" s="10" t="str">
        <f>IF(D158&lt;&gt;"",VLOOKUP(H158,TABLEITEM,2,FALSE),"")</f>
        <v>MAT ST</v>
      </c>
      <c r="M158" s="10" t="str">
        <f>IF(D158&lt;&gt;"",VLOOKUP(H158,TABLEITEM,3,FALSE),"")</f>
        <v>เหล็กรางน้ำ U' 4</v>
      </c>
      <c r="N158" s="7">
        <f>INSTOCK!$I158*INSTOCK!$K158</f>
        <v>37200.6</v>
      </c>
      <c r="O158" s="2"/>
      <c r="P158" s="2"/>
    </row>
    <row r="159" ht="18.0" customHeight="1">
      <c r="A159" s="1"/>
      <c r="B159" s="3">
        <v>158.0</v>
      </c>
      <c r="C159" s="13">
        <v>43132.0</v>
      </c>
      <c r="D159" s="14" t="s">
        <v>200</v>
      </c>
      <c r="E159" s="14">
        <v>6.101000132E9</v>
      </c>
      <c r="F159" s="11" t="s">
        <v>201</v>
      </c>
      <c r="G159" s="14" t="s">
        <v>202</v>
      </c>
      <c r="H159" s="14" t="s">
        <v>82</v>
      </c>
      <c r="I159" s="11">
        <v>12.0</v>
      </c>
      <c r="J159" s="11" t="s">
        <v>78</v>
      </c>
      <c r="K159" s="15">
        <v>443.33</v>
      </c>
      <c r="L159" s="10" t="str">
        <f>IF(D159&lt;&gt;"",VLOOKUP(H159,TABLEITEM,2,FALSE),"")</f>
        <v>MAT ST</v>
      </c>
      <c r="M159" s="10" t="str">
        <f>IF(D159&lt;&gt;"",VLOOKUP(H159,TABLEITEM,3,FALSE),"")</f>
        <v>เหล็กรางน้ำ U' 6</v>
      </c>
      <c r="N159" s="7">
        <f>INSTOCK!$I159*INSTOCK!$K159</f>
        <v>5319.96</v>
      </c>
      <c r="O159" s="2"/>
      <c r="P159" s="2"/>
    </row>
    <row r="160" ht="18.0" customHeight="1">
      <c r="A160" s="1"/>
      <c r="B160" s="3">
        <v>159.0</v>
      </c>
      <c r="C160" s="13">
        <v>43132.0</v>
      </c>
      <c r="D160" s="14" t="s">
        <v>200</v>
      </c>
      <c r="E160" s="14">
        <v>6.101000132E9</v>
      </c>
      <c r="F160" s="11" t="s">
        <v>201</v>
      </c>
      <c r="G160" s="14" t="s">
        <v>202</v>
      </c>
      <c r="H160" s="14" t="s">
        <v>85</v>
      </c>
      <c r="I160" s="11">
        <v>300.0</v>
      </c>
      <c r="J160" s="11" t="s">
        <v>78</v>
      </c>
      <c r="K160" s="15">
        <v>44.17</v>
      </c>
      <c r="L160" s="10" t="str">
        <f>IF(D160&lt;&gt;"",VLOOKUP(H160,TABLEITEM,2,FALSE),"")</f>
        <v>MAT ST</v>
      </c>
      <c r="M160" s="10" t="str">
        <f>IF(D160&lt;&gt;"",VLOOKUP(H160,TABLEITEM,3,FALSE),"")</f>
        <v>เหล็กฉาก 1''1/2'หนา3 มิล</v>
      </c>
      <c r="N160" s="7">
        <f>INSTOCK!$I160*INSTOCK!$K160</f>
        <v>13251</v>
      </c>
      <c r="O160" s="2"/>
      <c r="P160" s="2"/>
    </row>
    <row r="161" ht="18.0" customHeight="1">
      <c r="A161" s="1"/>
      <c r="B161" s="3">
        <v>160.0</v>
      </c>
      <c r="C161" s="13">
        <v>43132.0</v>
      </c>
      <c r="D161" s="14" t="s">
        <v>203</v>
      </c>
      <c r="E161" s="14">
        <v>6.101000112E9</v>
      </c>
      <c r="F161" s="11" t="s">
        <v>161</v>
      </c>
      <c r="G161" s="14" t="s">
        <v>165</v>
      </c>
      <c r="H161" s="14" t="s">
        <v>75</v>
      </c>
      <c r="I161" s="11">
        <v>5.0</v>
      </c>
      <c r="J161" s="11"/>
      <c r="K161" s="15">
        <v>3450.0</v>
      </c>
      <c r="L161" s="6" t="str">
        <f>IF(D161&lt;&gt;"",VLOOKUP(H161,TABLEITEM,2,FALSE),"")</f>
        <v>PART</v>
      </c>
      <c r="M161" s="6" t="str">
        <f>IF(D161&lt;&gt;"",VLOOKUP(H161,TABLEITEM,3,FALSE),"")</f>
        <v>แผ่นเบกไลท์ 1220x2440T5.0</v>
      </c>
      <c r="N161" s="7">
        <f>INSTOCK!$I161*INSTOCK!$K161</f>
        <v>17250</v>
      </c>
      <c r="O161" s="2"/>
      <c r="P161" s="2"/>
    </row>
    <row r="162" ht="18.0" customHeight="1">
      <c r="A162" s="1"/>
      <c r="B162" s="3">
        <v>161.0</v>
      </c>
      <c r="C162" s="13">
        <v>43134.0</v>
      </c>
      <c r="D162" s="14" t="s">
        <v>204</v>
      </c>
      <c r="E162" s="14">
        <v>6.101000135E9</v>
      </c>
      <c r="F162" s="11" t="s">
        <v>161</v>
      </c>
      <c r="G162" s="14" t="s">
        <v>171</v>
      </c>
      <c r="H162" s="14" t="s">
        <v>40</v>
      </c>
      <c r="I162" s="11">
        <v>100.0</v>
      </c>
      <c r="J162" s="11"/>
      <c r="K162" s="15">
        <v>1024.8</v>
      </c>
      <c r="L162" s="6" t="str">
        <f>IF(D162&lt;&gt;"",VLOOKUP(H162,TABLEITEM,2,FALSE),"")</f>
        <v>MAT ST</v>
      </c>
      <c r="M162" s="6" t="str">
        <f>IF(D162&lt;&gt;"",VLOOKUP(H162,TABLEITEM,3,FALSE),"")</f>
        <v>เหล็กแผ่นEG4'x8'T1.6</v>
      </c>
      <c r="N162" s="7">
        <f>INSTOCK!$I162*INSTOCK!$K162</f>
        <v>102480</v>
      </c>
      <c r="O162" s="2" t="s">
        <v>205</v>
      </c>
      <c r="P162" s="2"/>
    </row>
    <row r="163" ht="18.0" customHeight="1">
      <c r="A163" s="1"/>
      <c r="B163" s="3">
        <v>162.0</v>
      </c>
      <c r="C163" s="13">
        <v>43134.0</v>
      </c>
      <c r="D163" s="14" t="s">
        <v>204</v>
      </c>
      <c r="E163" s="14">
        <v>6.101000135E9</v>
      </c>
      <c r="F163" s="11" t="s">
        <v>161</v>
      </c>
      <c r="G163" s="14" t="s">
        <v>171</v>
      </c>
      <c r="H163" s="14" t="s">
        <v>23</v>
      </c>
      <c r="I163" s="11">
        <v>100.0</v>
      </c>
      <c r="J163" s="11"/>
      <c r="K163" s="15">
        <v>1317.6</v>
      </c>
      <c r="L163" s="6" t="str">
        <f>IF(D163&lt;&gt;"",VLOOKUP(H163,TABLEITEM,2,FALSE),"")</f>
        <v>MAT ST</v>
      </c>
      <c r="M163" s="6" t="str">
        <f>IF(D163&lt;&gt;"",VLOOKUP(H163,TABLEITEM,3,FALSE),"")</f>
        <v>เหล็กแผ่นขาว4'x8'T2.3</v>
      </c>
      <c r="N163" s="7">
        <f>INSTOCK!$I163*INSTOCK!$K163</f>
        <v>131760</v>
      </c>
      <c r="O163" s="2" t="s">
        <v>206</v>
      </c>
      <c r="P163" s="2"/>
    </row>
    <row r="164" ht="18.0" customHeight="1">
      <c r="A164" s="1"/>
      <c r="B164" s="3">
        <v>163.0</v>
      </c>
      <c r="C164" s="13">
        <v>43136.0</v>
      </c>
      <c r="D164" s="14" t="s">
        <v>207</v>
      </c>
      <c r="E164" s="14">
        <v>6.101000135E9</v>
      </c>
      <c r="F164" s="11" t="s">
        <v>161</v>
      </c>
      <c r="G164" s="14" t="s">
        <v>171</v>
      </c>
      <c r="H164" s="14" t="s">
        <v>19</v>
      </c>
      <c r="I164" s="11">
        <v>300.0</v>
      </c>
      <c r="J164" s="11"/>
      <c r="K164" s="15">
        <v>858.283</v>
      </c>
      <c r="L164" s="6" t="str">
        <f>IF(D164&lt;&gt;"",VLOOKUP(H164,TABLEITEM,2,FALSE),"")</f>
        <v>MAT ST</v>
      </c>
      <c r="M164" s="6" t="str">
        <f>IF(D164&lt;&gt;"",VLOOKUP(H164,TABLEITEM,3,FALSE),"")</f>
        <v>เหล็กแผ่นขาว4'x8'T1.6</v>
      </c>
      <c r="N164" s="7">
        <f>INSTOCK!$I164*INSTOCK!$K164</f>
        <v>257484.9</v>
      </c>
      <c r="O164" s="2" t="s">
        <v>208</v>
      </c>
      <c r="P164" s="2"/>
    </row>
    <row r="165" ht="18.0" customHeight="1">
      <c r="A165" s="1"/>
      <c r="B165" s="3">
        <v>164.0</v>
      </c>
      <c r="C165" s="13">
        <v>43137.0</v>
      </c>
      <c r="D165" s="14" t="s">
        <v>209</v>
      </c>
      <c r="E165" s="14">
        <v>6.102000146E9</v>
      </c>
      <c r="F165" s="11" t="s">
        <v>161</v>
      </c>
      <c r="G165" s="14" t="s">
        <v>202</v>
      </c>
      <c r="H165" s="14" t="s">
        <v>52</v>
      </c>
      <c r="I165" s="11">
        <v>50.0</v>
      </c>
      <c r="J165" s="11"/>
      <c r="K165" s="15">
        <v>1860.0</v>
      </c>
      <c r="L165" s="6" t="str">
        <f>IF(D165&lt;&gt;"",VLOOKUP(H165,TABLEITEM,2,FALSE),"")</f>
        <v>MAT ST</v>
      </c>
      <c r="M165" s="6" t="str">
        <f>IF(D165&lt;&gt;"",VLOOKUP(H165,TABLEITEM,3,FALSE),"")</f>
        <v>เหล็กแผ่นดำ5'x10'T2.0</v>
      </c>
      <c r="N165" s="7">
        <f>INSTOCK!$I165*INSTOCK!$K165</f>
        <v>93000</v>
      </c>
      <c r="O165" s="2"/>
      <c r="P165" s="2"/>
    </row>
    <row r="166" ht="18.0" customHeight="1">
      <c r="A166" s="1"/>
      <c r="B166" s="3">
        <v>165.0</v>
      </c>
      <c r="C166" s="13">
        <v>43137.0</v>
      </c>
      <c r="D166" s="14" t="s">
        <v>210</v>
      </c>
      <c r="E166" s="14">
        <v>6.101000135E9</v>
      </c>
      <c r="F166" s="11" t="s">
        <v>161</v>
      </c>
      <c r="G166" s="14" t="s">
        <v>171</v>
      </c>
      <c r="H166" s="14" t="s">
        <v>25</v>
      </c>
      <c r="I166" s="11">
        <v>168.0</v>
      </c>
      <c r="J166" s="11"/>
      <c r="K166" s="15">
        <v>1687.2916</v>
      </c>
      <c r="L166" s="6" t="str">
        <f>IF(D166&lt;&gt;"",VLOOKUP(H166,TABLEITEM,2,FALSE),"")</f>
        <v>MAT ST</v>
      </c>
      <c r="M166" s="6" t="str">
        <f>IF(D166&lt;&gt;"",VLOOKUP(H166,TABLEITEM,3,FALSE),"")</f>
        <v>เหล็กแผ่นขาว4'x8'T3.0</v>
      </c>
      <c r="N166" s="7">
        <f>INSTOCK!$I166*INSTOCK!$K166</f>
        <v>283464.9888</v>
      </c>
      <c r="O166" s="2" t="s">
        <v>211</v>
      </c>
      <c r="P166" s="2"/>
    </row>
    <row r="167" ht="18.0" customHeight="1">
      <c r="A167" s="1"/>
      <c r="B167" s="3">
        <v>166.0</v>
      </c>
      <c r="C167" s="13">
        <v>43137.0</v>
      </c>
      <c r="D167" s="14" t="s">
        <v>212</v>
      </c>
      <c r="E167" s="14">
        <v>6.101000135E9</v>
      </c>
      <c r="F167" s="11" t="s">
        <v>161</v>
      </c>
      <c r="G167" s="14" t="s">
        <v>171</v>
      </c>
      <c r="H167" s="14" t="s">
        <v>25</v>
      </c>
      <c r="I167" s="11">
        <v>132.0</v>
      </c>
      <c r="J167" s="11"/>
      <c r="K167" s="15">
        <v>1684.56</v>
      </c>
      <c r="L167" s="6" t="str">
        <f>IF(D167&lt;&gt;"",VLOOKUP(H167,TABLEITEM,2,FALSE),"")</f>
        <v>MAT ST</v>
      </c>
      <c r="M167" s="6" t="str">
        <f>IF(D167&lt;&gt;"",VLOOKUP(H167,TABLEITEM,3,FALSE),"")</f>
        <v>เหล็กแผ่นขาว4'x8'T3.0</v>
      </c>
      <c r="N167" s="7">
        <f>INSTOCK!$I167*INSTOCK!$K167</f>
        <v>222361.92</v>
      </c>
      <c r="O167" s="2" t="s">
        <v>213</v>
      </c>
      <c r="P167" s="2"/>
    </row>
    <row r="168" ht="18.0" customHeight="1">
      <c r="A168" s="1"/>
      <c r="B168" s="3">
        <v>167.0</v>
      </c>
      <c r="C168" s="13">
        <v>43139.0</v>
      </c>
      <c r="D168" s="14" t="s">
        <v>214</v>
      </c>
      <c r="E168" s="14">
        <v>6.102000164E9</v>
      </c>
      <c r="F168" s="11" t="s">
        <v>215</v>
      </c>
      <c r="G168" s="14" t="s">
        <v>153</v>
      </c>
      <c r="H168" s="14" t="s">
        <v>62</v>
      </c>
      <c r="I168" s="11">
        <v>12.0</v>
      </c>
      <c r="J168" s="11"/>
      <c r="K168" s="15">
        <v>4600.0</v>
      </c>
      <c r="L168" s="6" t="str">
        <f>IF(D168&lt;&gt;"",VLOOKUP(H168,TABLEITEM,2,FALSE),"")</f>
        <v>MAT ST</v>
      </c>
      <c r="M168" s="6" t="str">
        <f>IF(D168&lt;&gt;"",VLOOKUP(H168,TABLEITEM,3,FALSE),"")</f>
        <v>สแตนเลสแผ่น4'x8'T1.5</v>
      </c>
      <c r="N168" s="7">
        <f>INSTOCK!$I168*INSTOCK!$K168</f>
        <v>55200</v>
      </c>
      <c r="O168" s="2" t="s">
        <v>216</v>
      </c>
      <c r="P168" s="2"/>
    </row>
    <row r="169" ht="18.0" customHeight="1">
      <c r="A169" s="1"/>
      <c r="B169" s="3">
        <v>168.0</v>
      </c>
      <c r="C169" s="13">
        <v>43141.0</v>
      </c>
      <c r="D169" s="14" t="s">
        <v>217</v>
      </c>
      <c r="E169" s="14">
        <v>6.102000151E9</v>
      </c>
      <c r="F169" s="11" t="s">
        <v>218</v>
      </c>
      <c r="G169" s="14" t="s">
        <v>219</v>
      </c>
      <c r="H169" s="14" t="s">
        <v>220</v>
      </c>
      <c r="I169" s="11">
        <v>227.0</v>
      </c>
      <c r="J169" s="11"/>
      <c r="K169" s="15">
        <v>1840.0</v>
      </c>
      <c r="L169" s="6" t="str">
        <f>IF(D169&lt;&gt;"",VLOOKUP(H169,TABLEITEM,2,FALSE),"")</f>
        <v>MAT ST</v>
      </c>
      <c r="M169" s="6" t="str">
        <f>IF(D169&lt;&gt;"",VLOOKUP(H169,TABLEITEM,3,FALSE),"")</f>
        <v>แผ่นอลูมิเนียมตีนเป็ด 4'x8' T2.0</v>
      </c>
      <c r="N169" s="7">
        <f>INSTOCK!$I169*INSTOCK!$K169</f>
        <v>417680</v>
      </c>
      <c r="O169" s="2" t="s">
        <v>221</v>
      </c>
      <c r="P169" s="2"/>
    </row>
    <row r="170" ht="18.0" customHeight="1">
      <c r="A170" s="1"/>
      <c r="B170" s="3">
        <v>169.0</v>
      </c>
      <c r="C170" s="13">
        <v>43143.0</v>
      </c>
      <c r="D170" s="14" t="s">
        <v>222</v>
      </c>
      <c r="E170" s="14">
        <v>6.102000186E9</v>
      </c>
      <c r="F170" s="11" t="s">
        <v>161</v>
      </c>
      <c r="G170" s="14" t="s">
        <v>192</v>
      </c>
      <c r="H170" s="14" t="s">
        <v>63</v>
      </c>
      <c r="I170" s="11">
        <v>33.0</v>
      </c>
      <c r="J170" s="11"/>
      <c r="K170" s="15">
        <v>3720.0</v>
      </c>
      <c r="L170" s="6" t="str">
        <f>IF(D170&lt;&gt;"",VLOOKUP(H170,TABLEITEM,2,FALSE),"")</f>
        <v>MAT ST</v>
      </c>
      <c r="M170" s="6" t="str">
        <f>IF(D170&lt;&gt;"",VLOOKUP(H170,TABLEITEM,3,FALSE),"")</f>
        <v>สแตนเลสแผ่น4'x8'T2.0</v>
      </c>
      <c r="N170" s="7">
        <f>INSTOCK!$I170*INSTOCK!$K170</f>
        <v>122760</v>
      </c>
      <c r="O170" s="2" t="s">
        <v>193</v>
      </c>
      <c r="P170" s="2"/>
    </row>
    <row r="171" ht="18.0" customHeight="1">
      <c r="A171" s="1"/>
      <c r="B171" s="3">
        <v>170.0</v>
      </c>
      <c r="C171" s="13">
        <v>43144.0</v>
      </c>
      <c r="D171" s="14" t="s">
        <v>223</v>
      </c>
      <c r="E171" s="14">
        <v>6.102000187E9</v>
      </c>
      <c r="F171" s="11" t="s">
        <v>161</v>
      </c>
      <c r="G171" s="14" t="s">
        <v>171</v>
      </c>
      <c r="H171" s="14" t="s">
        <v>16</v>
      </c>
      <c r="I171" s="11">
        <v>50.0</v>
      </c>
      <c r="J171" s="11"/>
      <c r="K171" s="15">
        <v>549.9</v>
      </c>
      <c r="L171" s="6" t="str">
        <f>IF(D171&lt;&gt;"",VLOOKUP(H171,TABLEITEM,2,FALSE),"")</f>
        <v>MAT ST</v>
      </c>
      <c r="M171" s="6" t="str">
        <f>IF(D171&lt;&gt;"",VLOOKUP(H171,TABLEITEM,3,FALSE),"")</f>
        <v>เหล็กแผ่นขาว4'x8'T1.0</v>
      </c>
      <c r="N171" s="7">
        <f>INSTOCK!$I171*INSTOCK!$K171</f>
        <v>27495</v>
      </c>
      <c r="O171" s="2" t="s">
        <v>224</v>
      </c>
      <c r="P171" s="2"/>
    </row>
    <row r="172" ht="18.0" customHeight="1">
      <c r="A172" s="1"/>
      <c r="B172" s="3">
        <v>171.0</v>
      </c>
      <c r="C172" s="13">
        <v>43144.0</v>
      </c>
      <c r="D172" s="14" t="s">
        <v>223</v>
      </c>
      <c r="E172" s="14">
        <v>6.102000187E9</v>
      </c>
      <c r="F172" s="11" t="s">
        <v>161</v>
      </c>
      <c r="G172" s="14" t="s">
        <v>171</v>
      </c>
      <c r="H172" s="14" t="s">
        <v>42</v>
      </c>
      <c r="I172" s="11">
        <v>100.0</v>
      </c>
      <c r="J172" s="11"/>
      <c r="K172" s="15">
        <v>1329.36</v>
      </c>
      <c r="L172" s="6" t="str">
        <f>IF(D172&lt;&gt;"",VLOOKUP(H172,TABLEITEM,2,FALSE),"")</f>
        <v>MAT ST</v>
      </c>
      <c r="M172" s="6" t="str">
        <f>IF(D172&lt;&gt;"",VLOOKUP(H172,TABLEITEM,3,FALSE),"")</f>
        <v>เหล็กแผ่นEG4'x8'T2.0</v>
      </c>
      <c r="N172" s="7">
        <f>INSTOCK!$I172*INSTOCK!$K172</f>
        <v>132936</v>
      </c>
      <c r="O172" s="2" t="s">
        <v>225</v>
      </c>
      <c r="P172" s="2"/>
    </row>
    <row r="173" ht="18.0" customHeight="1">
      <c r="A173" s="1"/>
      <c r="B173" s="3">
        <v>172.0</v>
      </c>
      <c r="C173" s="13">
        <v>43145.0</v>
      </c>
      <c r="D173" s="14" t="s">
        <v>226</v>
      </c>
      <c r="E173" s="14">
        <v>6.102000185E9</v>
      </c>
      <c r="F173" s="11" t="s">
        <v>161</v>
      </c>
      <c r="G173" s="14" t="s">
        <v>202</v>
      </c>
      <c r="H173" s="14" t="s">
        <v>54</v>
      </c>
      <c r="I173" s="11">
        <v>50.0</v>
      </c>
      <c r="J173" s="11"/>
      <c r="K173" s="15">
        <v>2745.0</v>
      </c>
      <c r="L173" s="6" t="str">
        <f>IF(D173&lt;&gt;"",VLOOKUP(H173,TABLEITEM,2,FALSE),"")</f>
        <v>MAT ST</v>
      </c>
      <c r="M173" s="6" t="str">
        <f>IF(D173&lt;&gt;"",VLOOKUP(H173,TABLEITEM,3,FALSE),"")</f>
        <v>เหล็กแผ่นดำ5'x10'T3.0</v>
      </c>
      <c r="N173" s="7">
        <f>INSTOCK!$I173*INSTOCK!$K173</f>
        <v>137250</v>
      </c>
      <c r="O173" s="2"/>
      <c r="P173" s="2"/>
    </row>
    <row r="174" ht="18.0" customHeight="1">
      <c r="A174" s="1"/>
      <c r="B174" s="3">
        <v>173.0</v>
      </c>
      <c r="C174" s="13">
        <v>43145.0</v>
      </c>
      <c r="D174" s="14" t="s">
        <v>227</v>
      </c>
      <c r="E174" s="14">
        <v>6.102000197E9</v>
      </c>
      <c r="F174" s="11" t="s">
        <v>228</v>
      </c>
      <c r="G174" s="14" t="s">
        <v>153</v>
      </c>
      <c r="H174" s="14" t="s">
        <v>229</v>
      </c>
      <c r="I174" s="11">
        <v>1.0</v>
      </c>
      <c r="J174" s="11"/>
      <c r="K174" s="15">
        <v>2030.0</v>
      </c>
      <c r="L174" s="6" t="str">
        <f>IF(D174&lt;&gt;"",VLOOKUP(H174,TABLEITEM,2,FALSE),"")</f>
        <v>MAT ST</v>
      </c>
      <c r="M174" s="6" t="str">
        <f>IF(D174&lt;&gt;"",VLOOKUP(H174,TABLEITEM,3,FALSE),"")</f>
        <v>เหล็กแผ่นลาย 4'x8' หนา 3 มิล</v>
      </c>
      <c r="N174" s="7">
        <f>INSTOCK!$I174*INSTOCK!$K174</f>
        <v>2030</v>
      </c>
      <c r="O174" s="2" t="s">
        <v>230</v>
      </c>
      <c r="P174" s="2"/>
    </row>
    <row r="175" ht="18.0" customHeight="1">
      <c r="A175" s="1"/>
      <c r="B175" s="3">
        <v>174.0</v>
      </c>
      <c r="C175" s="13">
        <v>43148.0</v>
      </c>
      <c r="D175" s="14" t="s">
        <v>231</v>
      </c>
      <c r="E175" s="14">
        <v>6.102000204E9</v>
      </c>
      <c r="F175" s="11" t="s">
        <v>161</v>
      </c>
      <c r="G175" s="14" t="s">
        <v>202</v>
      </c>
      <c r="H175" s="14" t="s">
        <v>89</v>
      </c>
      <c r="I175" s="11">
        <v>300.0</v>
      </c>
      <c r="J175" s="11" t="s">
        <v>78</v>
      </c>
      <c r="K175" s="15">
        <v>89.17</v>
      </c>
      <c r="L175" s="10" t="str">
        <f>IF(D175&lt;&gt;"",VLOOKUP(H175,TABLEITEM,2,FALSE),"")</f>
        <v>MAT ST</v>
      </c>
      <c r="M175" s="10" t="str">
        <f>IF(D175&lt;&gt;"",VLOOKUP(H175,TABLEITEM,3,FALSE),"")</f>
        <v>เหล็กฉาก 2''หนา5 มิล</v>
      </c>
      <c r="N175" s="7">
        <f>INSTOCK!$I175*INSTOCK!$K175</f>
        <v>26751</v>
      </c>
      <c r="O175" s="2" t="s">
        <v>168</v>
      </c>
      <c r="P175" s="2"/>
    </row>
    <row r="176" ht="18.0" customHeight="1">
      <c r="A176" s="1"/>
      <c r="B176" s="3">
        <v>175.0</v>
      </c>
      <c r="C176" s="13">
        <v>43153.0</v>
      </c>
      <c r="D176" s="14" t="s">
        <v>232</v>
      </c>
      <c r="E176" s="14" t="s">
        <v>233</v>
      </c>
      <c r="F176" s="11" t="s">
        <v>234</v>
      </c>
      <c r="G176" s="14" t="s">
        <v>219</v>
      </c>
      <c r="H176" s="14" t="s">
        <v>220</v>
      </c>
      <c r="I176" s="11">
        <v>1.0</v>
      </c>
      <c r="J176" s="11"/>
      <c r="K176" s="15">
        <v>2090.0</v>
      </c>
      <c r="L176" s="6" t="str">
        <f>IF(D176&lt;&gt;"",VLOOKUP(H176,TABLEITEM,2,FALSE),"")</f>
        <v>MAT ST</v>
      </c>
      <c r="M176" s="6" t="str">
        <f>IF(D176&lt;&gt;"",VLOOKUP(H176,TABLEITEM,3,FALSE),"")</f>
        <v>แผ่นอลูมิเนียมตีนเป็ด 4'x8' T2.0</v>
      </c>
      <c r="N176" s="7">
        <f>INSTOCK!$I176*INSTOCK!$K176</f>
        <v>2090</v>
      </c>
      <c r="O176" s="2" t="s">
        <v>221</v>
      </c>
      <c r="P176" s="2"/>
    </row>
    <row r="177" ht="18.0" customHeight="1">
      <c r="A177" s="1"/>
      <c r="B177" s="3">
        <v>176.0</v>
      </c>
      <c r="C177" s="13">
        <v>43153.0</v>
      </c>
      <c r="D177" s="14" t="s">
        <v>235</v>
      </c>
      <c r="E177" s="14">
        <v>6.102000198E9</v>
      </c>
      <c r="F177" s="11" t="s">
        <v>161</v>
      </c>
      <c r="G177" s="14" t="s">
        <v>202</v>
      </c>
      <c r="H177" s="14" t="s">
        <v>54</v>
      </c>
      <c r="I177" s="11">
        <v>50.0</v>
      </c>
      <c r="J177" s="11"/>
      <c r="K177" s="15">
        <v>2745.0</v>
      </c>
      <c r="L177" s="6" t="str">
        <f>IF(D177&lt;&gt;"",VLOOKUP(H177,TABLEITEM,2,FALSE),"")</f>
        <v>MAT ST</v>
      </c>
      <c r="M177" s="6" t="str">
        <f>IF(D177&lt;&gt;"",VLOOKUP(H177,TABLEITEM,3,FALSE),"")</f>
        <v>เหล็กแผ่นดำ5'x10'T3.0</v>
      </c>
      <c r="N177" s="7">
        <f>INSTOCK!$I177*INSTOCK!$K177</f>
        <v>137250</v>
      </c>
      <c r="O177" s="2"/>
      <c r="P177" s="2"/>
    </row>
    <row r="178" ht="18.0" customHeight="1">
      <c r="A178" s="1"/>
      <c r="B178" s="3">
        <v>177.0</v>
      </c>
      <c r="C178" s="13">
        <v>43155.0</v>
      </c>
      <c r="D178" s="14" t="s">
        <v>236</v>
      </c>
      <c r="E178" s="14">
        <v>6.10200024E9</v>
      </c>
      <c r="F178" s="11" t="s">
        <v>234</v>
      </c>
      <c r="G178" s="14" t="s">
        <v>153</v>
      </c>
      <c r="H178" s="14" t="s">
        <v>220</v>
      </c>
      <c r="I178" s="11">
        <v>83.0</v>
      </c>
      <c r="J178" s="11"/>
      <c r="K178" s="15">
        <v>2090.0</v>
      </c>
      <c r="L178" s="6" t="str">
        <f>IF(D178&lt;&gt;"",VLOOKUP(H178,TABLEITEM,2,FALSE),"")</f>
        <v>MAT ST</v>
      </c>
      <c r="M178" s="6" t="str">
        <f>IF(D178&lt;&gt;"",VLOOKUP(H178,TABLEITEM,3,FALSE),"")</f>
        <v>แผ่นอลูมิเนียมตีนเป็ด 4'x8' T2.0</v>
      </c>
      <c r="N178" s="7">
        <f>INSTOCK!$I178*INSTOCK!$K178</f>
        <v>173470</v>
      </c>
      <c r="O178" s="2" t="s">
        <v>221</v>
      </c>
      <c r="P178" s="2"/>
    </row>
    <row r="179" ht="18.0" customHeight="1">
      <c r="A179" s="1"/>
      <c r="B179" s="3">
        <v>178.0</v>
      </c>
      <c r="C179" s="13">
        <v>43157.0</v>
      </c>
      <c r="D179" s="14" t="s">
        <v>237</v>
      </c>
      <c r="E179" s="14">
        <v>6.10200025E9</v>
      </c>
      <c r="F179" s="11" t="s">
        <v>238</v>
      </c>
      <c r="G179" s="14" t="s">
        <v>153</v>
      </c>
      <c r="H179" s="14" t="s">
        <v>57</v>
      </c>
      <c r="I179" s="11">
        <v>4.0</v>
      </c>
      <c r="J179" s="11"/>
      <c r="K179" s="15">
        <v>5000.0</v>
      </c>
      <c r="L179" s="6" t="str">
        <f>IF(D179&lt;&gt;"",VLOOKUP(H179,TABLEITEM,2,FALSE),"")</f>
        <v>MAT ST</v>
      </c>
      <c r="M179" s="6" t="str">
        <f>IF(D179&lt;&gt;"",VLOOKUP(H179,TABLEITEM,3,FALSE),"")</f>
        <v>เหล็กแผ่นดำ4'x8'T9.0</v>
      </c>
      <c r="N179" s="7">
        <f>INSTOCK!$I179*INSTOCK!$K179</f>
        <v>20000</v>
      </c>
      <c r="O179" s="2"/>
      <c r="P179" s="2"/>
    </row>
    <row r="180" ht="18.0" customHeight="1">
      <c r="A180" s="1"/>
      <c r="B180" s="3">
        <v>179.0</v>
      </c>
      <c r="C180" s="13">
        <v>43157.0</v>
      </c>
      <c r="D180" s="14" t="s">
        <v>239</v>
      </c>
      <c r="E180" s="14">
        <v>6.102000244E9</v>
      </c>
      <c r="F180" s="11" t="s">
        <v>234</v>
      </c>
      <c r="G180" s="14" t="s">
        <v>240</v>
      </c>
      <c r="H180" s="14" t="s">
        <v>62</v>
      </c>
      <c r="I180" s="11">
        <v>30.0</v>
      </c>
      <c r="J180" s="11"/>
      <c r="K180" s="15">
        <v>2800.0</v>
      </c>
      <c r="L180" s="6" t="str">
        <f>IF(D180&lt;&gt;"",VLOOKUP(H180,TABLEITEM,2,FALSE),"")</f>
        <v>MAT ST</v>
      </c>
      <c r="M180" s="6" t="str">
        <f>IF(D180&lt;&gt;"",VLOOKUP(H180,TABLEITEM,3,FALSE),"")</f>
        <v>สแตนเลสแผ่น4'x8'T1.5</v>
      </c>
      <c r="N180" s="7">
        <f>INSTOCK!$I180*INSTOCK!$K180</f>
        <v>84000</v>
      </c>
      <c r="O180" s="2" t="s">
        <v>241</v>
      </c>
      <c r="P180" s="2"/>
    </row>
    <row r="181" ht="18.0" customHeight="1">
      <c r="A181" s="1"/>
      <c r="B181" s="3">
        <v>180.0</v>
      </c>
      <c r="C181" s="13">
        <v>43157.0</v>
      </c>
      <c r="D181" s="14" t="s">
        <v>239</v>
      </c>
      <c r="E181" s="14">
        <v>6.102000244E9</v>
      </c>
      <c r="F181" s="11" t="s">
        <v>234</v>
      </c>
      <c r="G181" s="14" t="s">
        <v>240</v>
      </c>
      <c r="H181" s="14" t="s">
        <v>66</v>
      </c>
      <c r="I181" s="11">
        <v>1.0</v>
      </c>
      <c r="J181" s="11"/>
      <c r="K181" s="15">
        <v>5600.0</v>
      </c>
      <c r="L181" s="6" t="str">
        <f>IF(D181&lt;&gt;"",VLOOKUP(H181,TABLEITEM,2,FALSE),"")</f>
        <v>MAT ST</v>
      </c>
      <c r="M181" s="6" t="str">
        <f>IF(D181&lt;&gt;"",VLOOKUP(H181,TABLEITEM,3,FALSE),"")</f>
        <v>สแตนเลสแผ่น4'x8'T3.0</v>
      </c>
      <c r="N181" s="7">
        <f>INSTOCK!$I181*INSTOCK!$K181</f>
        <v>5600</v>
      </c>
      <c r="O181" s="2" t="s">
        <v>241</v>
      </c>
      <c r="P181" s="2"/>
    </row>
    <row r="182" ht="18.0" customHeight="1">
      <c r="A182" s="1"/>
      <c r="B182" s="3">
        <v>181.0</v>
      </c>
      <c r="C182" s="13">
        <v>43161.0</v>
      </c>
      <c r="D182" s="14" t="s">
        <v>242</v>
      </c>
      <c r="E182" s="14">
        <v>6.102000251E9</v>
      </c>
      <c r="F182" s="11" t="s">
        <v>161</v>
      </c>
      <c r="G182" s="14" t="s">
        <v>202</v>
      </c>
      <c r="H182" s="14" t="s">
        <v>54</v>
      </c>
      <c r="I182" s="11">
        <v>100.0</v>
      </c>
      <c r="J182" s="11"/>
      <c r="K182" s="15">
        <v>2745.0</v>
      </c>
      <c r="L182" s="6" t="str">
        <f>IF(D182&lt;&gt;"",VLOOKUP(H182,TABLEITEM,2,FALSE),"")</f>
        <v>MAT ST</v>
      </c>
      <c r="M182" s="6" t="str">
        <f>IF(D182&lt;&gt;"",VLOOKUP(H182,TABLEITEM,3,FALSE),"")</f>
        <v>เหล็กแผ่นดำ5'x10'T3.0</v>
      </c>
      <c r="N182" s="7">
        <f>INSTOCK!$I182*INSTOCK!$K182</f>
        <v>274500</v>
      </c>
      <c r="O182" s="2"/>
      <c r="P182" s="2"/>
    </row>
    <row r="183" ht="18.0" customHeight="1">
      <c r="A183" s="1"/>
      <c r="B183" s="3">
        <v>182.0</v>
      </c>
      <c r="C183" s="13">
        <v>43161.0</v>
      </c>
      <c r="D183" s="14" t="s">
        <v>242</v>
      </c>
      <c r="E183" s="14">
        <v>6.102000251E9</v>
      </c>
      <c r="F183" s="11" t="s">
        <v>161</v>
      </c>
      <c r="G183" s="14" t="s">
        <v>202</v>
      </c>
      <c r="H183" s="14" t="s">
        <v>85</v>
      </c>
      <c r="I183" s="11">
        <v>300.0</v>
      </c>
      <c r="J183" s="11" t="s">
        <v>78</v>
      </c>
      <c r="K183" s="15">
        <v>42.5</v>
      </c>
      <c r="L183" s="10" t="str">
        <f>IF(D183&lt;&gt;"",VLOOKUP(H183,TABLEITEM,2,FALSE),"")</f>
        <v>MAT ST</v>
      </c>
      <c r="M183" s="10" t="str">
        <f>IF(D183&lt;&gt;"",VLOOKUP(H183,TABLEITEM,3,FALSE),"")</f>
        <v>เหล็กฉาก 1''1/2'หนา3 มิล</v>
      </c>
      <c r="N183" s="7">
        <f>INSTOCK!$I183*INSTOCK!$K183</f>
        <v>12750</v>
      </c>
      <c r="O183" s="2"/>
      <c r="P183" s="2"/>
    </row>
    <row r="184" ht="18.0" customHeight="1">
      <c r="A184" s="1"/>
      <c r="B184" s="3">
        <v>183.0</v>
      </c>
      <c r="C184" s="13">
        <v>43161.0</v>
      </c>
      <c r="D184" s="14" t="s">
        <v>243</v>
      </c>
      <c r="E184" s="14">
        <v>6.102000247E9</v>
      </c>
      <c r="F184" s="11" t="s">
        <v>161</v>
      </c>
      <c r="G184" s="14" t="s">
        <v>219</v>
      </c>
      <c r="H184" s="14" t="s">
        <v>244</v>
      </c>
      <c r="I184" s="11">
        <v>30.0</v>
      </c>
      <c r="J184" s="11"/>
      <c r="K184" s="15">
        <v>2300.0</v>
      </c>
      <c r="L184" s="6" t="str">
        <f>IF(D184&lt;&gt;"",VLOOKUP(H184,TABLEITEM,2,FALSE),"")</f>
        <v>MAT ST</v>
      </c>
      <c r="M184" s="6" t="str">
        <f>IF(D184&lt;&gt;"",VLOOKUP(H184,TABLEITEM,3,FALSE),"")</f>
        <v>แผ่นอลูมิเนียม4'x8'T3.0</v>
      </c>
      <c r="N184" s="7">
        <f>INSTOCK!$I184*INSTOCK!$K184</f>
        <v>69000</v>
      </c>
      <c r="O184" s="2"/>
      <c r="P184" s="2"/>
    </row>
    <row r="185" ht="18.0" customHeight="1">
      <c r="A185" s="1"/>
      <c r="B185" s="3">
        <v>184.0</v>
      </c>
      <c r="C185" s="13">
        <v>43161.0</v>
      </c>
      <c r="D185" s="14" t="s">
        <v>245</v>
      </c>
      <c r="E185" s="14">
        <v>6.102000252E9</v>
      </c>
      <c r="F185" s="11" t="s">
        <v>161</v>
      </c>
      <c r="G185" s="14" t="s">
        <v>171</v>
      </c>
      <c r="H185" s="14" t="s">
        <v>17</v>
      </c>
      <c r="I185" s="11">
        <v>100.0</v>
      </c>
      <c r="J185" s="11"/>
      <c r="K185" s="15">
        <v>641.7</v>
      </c>
      <c r="L185" s="6" t="str">
        <f>IF(D185&lt;&gt;"",VLOOKUP(H185,TABLEITEM,2,FALSE),"")</f>
        <v>MAT ST</v>
      </c>
      <c r="M185" s="6" t="str">
        <f>IF(D185&lt;&gt;"",VLOOKUP(H185,TABLEITEM,3,FALSE),"")</f>
        <v>เหล็กแผ่นขาว4'x8'T1.2</v>
      </c>
      <c r="N185" s="7">
        <f>INSTOCK!$I185*INSTOCK!$K185</f>
        <v>64170</v>
      </c>
      <c r="O185" s="2" t="s">
        <v>246</v>
      </c>
      <c r="P185" s="2"/>
    </row>
    <row r="186" ht="18.0" customHeight="1">
      <c r="A186" s="1"/>
      <c r="B186" s="3">
        <v>185.0</v>
      </c>
      <c r="C186" s="13">
        <v>43161.0</v>
      </c>
      <c r="D186" s="14" t="s">
        <v>245</v>
      </c>
      <c r="E186" s="14">
        <v>6.102000252E9</v>
      </c>
      <c r="F186" s="11" t="s">
        <v>161</v>
      </c>
      <c r="G186" s="14" t="s">
        <v>171</v>
      </c>
      <c r="H186" s="14" t="s">
        <v>21</v>
      </c>
      <c r="I186" s="11">
        <v>50.0</v>
      </c>
      <c r="J186" s="11"/>
      <c r="K186" s="15">
        <v>1082.048</v>
      </c>
      <c r="L186" s="6" t="str">
        <f>IF(D186&lt;&gt;"",VLOOKUP(H186,TABLEITEM,2,FALSE),"")</f>
        <v>MAT ST</v>
      </c>
      <c r="M186" s="6" t="str">
        <f>IF(D186&lt;&gt;"",VLOOKUP(H186,TABLEITEM,3,FALSE),"")</f>
        <v>เหล็กแผ่นขาว4'x8'T2.0</v>
      </c>
      <c r="N186" s="7">
        <f>INSTOCK!$I186*INSTOCK!$K186</f>
        <v>54102.4</v>
      </c>
      <c r="O186" s="2" t="s">
        <v>247</v>
      </c>
      <c r="P186" s="2"/>
    </row>
    <row r="187" ht="18.0" customHeight="1">
      <c r="A187" s="1"/>
      <c r="B187" s="3">
        <v>186.0</v>
      </c>
      <c r="C187" s="13">
        <v>43161.0</v>
      </c>
      <c r="D187" s="14" t="s">
        <v>245</v>
      </c>
      <c r="E187" s="14">
        <v>6.102000252E9</v>
      </c>
      <c r="F187" s="11" t="s">
        <v>161</v>
      </c>
      <c r="G187" s="14" t="s">
        <v>171</v>
      </c>
      <c r="H187" s="14" t="s">
        <v>22</v>
      </c>
      <c r="I187" s="11">
        <v>100.0</v>
      </c>
      <c r="J187" s="11"/>
      <c r="K187" s="15">
        <v>1329.36</v>
      </c>
      <c r="L187" s="6" t="str">
        <f>IF(D187&lt;&gt;"",VLOOKUP(H187,TABLEITEM,2,FALSE),"")</f>
        <v>MAT ST</v>
      </c>
      <c r="M187" s="6" t="str">
        <f>IF(D187&lt;&gt;"",VLOOKUP(H187,TABLEITEM,3,FALSE),"")</f>
        <v>เหล็กแผ่นขาว4''X3000T2.0</v>
      </c>
      <c r="N187" s="7">
        <f>INSTOCK!$I187*INSTOCK!$K187</f>
        <v>132936</v>
      </c>
      <c r="O187" s="2" t="s">
        <v>248</v>
      </c>
      <c r="P187" s="2"/>
    </row>
    <row r="188" ht="18.0" customHeight="1">
      <c r="A188" s="1"/>
      <c r="B188" s="3">
        <v>187.0</v>
      </c>
      <c r="C188" s="13">
        <v>43161.0</v>
      </c>
      <c r="D188" s="14" t="s">
        <v>249</v>
      </c>
      <c r="E188" s="14">
        <v>6.102000252E9</v>
      </c>
      <c r="F188" s="11" t="s">
        <v>161</v>
      </c>
      <c r="G188" s="14" t="s">
        <v>171</v>
      </c>
      <c r="H188" s="14" t="s">
        <v>21</v>
      </c>
      <c r="I188" s="11">
        <v>250.0</v>
      </c>
      <c r="J188" s="11"/>
      <c r="K188" s="15">
        <v>1082.048</v>
      </c>
      <c r="L188" s="6" t="str">
        <f>IF(D188&lt;&gt;"",VLOOKUP(H188,TABLEITEM,2,FALSE),"")</f>
        <v>MAT ST</v>
      </c>
      <c r="M188" s="6" t="str">
        <f>IF(D188&lt;&gt;"",VLOOKUP(H188,TABLEITEM,3,FALSE),"")</f>
        <v>เหล็กแผ่นขาว4'x8'T2.0</v>
      </c>
      <c r="N188" s="7">
        <f>INSTOCK!$I188*INSTOCK!$K188</f>
        <v>270512</v>
      </c>
      <c r="O188" s="2" t="s">
        <v>250</v>
      </c>
      <c r="P188" s="2"/>
    </row>
    <row r="189" ht="18.0" customHeight="1">
      <c r="A189" s="1"/>
      <c r="B189" s="3">
        <v>188.0</v>
      </c>
      <c r="C189" s="13">
        <v>43161.0</v>
      </c>
      <c r="D189" s="14" t="s">
        <v>251</v>
      </c>
      <c r="E189" s="14">
        <v>6.10200027E9</v>
      </c>
      <c r="F189" s="11" t="s">
        <v>252</v>
      </c>
      <c r="G189" s="14" t="s">
        <v>153</v>
      </c>
      <c r="H189" s="14" t="s">
        <v>169</v>
      </c>
      <c r="I189" s="11">
        <v>60.0</v>
      </c>
      <c r="J189" s="11" t="s">
        <v>78</v>
      </c>
      <c r="K189" s="15">
        <v>64.17</v>
      </c>
      <c r="L189" s="10" t="str">
        <f>IF(D189&lt;&gt;"",VLOOKUP(H189,TABLEITEM,2,FALSE),"")</f>
        <v>MAT ST</v>
      </c>
      <c r="M189" s="10" t="str">
        <f>IF(D189&lt;&gt;"",VLOOKUP(H189,TABLEITEM,3,FALSE),"")</f>
        <v>เหล็กกล่อง 1"1/2 หนา 2.3 มิล</v>
      </c>
      <c r="N189" s="7">
        <f>INSTOCK!$I189*INSTOCK!$K189</f>
        <v>3850.2</v>
      </c>
      <c r="O189" s="2"/>
      <c r="P189" s="2"/>
    </row>
    <row r="190" ht="18.0" customHeight="1">
      <c r="A190" s="1"/>
      <c r="B190" s="3">
        <v>189.0</v>
      </c>
      <c r="C190" s="13">
        <v>43161.0</v>
      </c>
      <c r="D190" s="14" t="s">
        <v>251</v>
      </c>
      <c r="E190" s="14">
        <v>6.10200027E9</v>
      </c>
      <c r="F190" s="11" t="s">
        <v>252</v>
      </c>
      <c r="G190" s="14" t="s">
        <v>153</v>
      </c>
      <c r="H190" s="14" t="s">
        <v>199</v>
      </c>
      <c r="I190" s="11">
        <v>18.0</v>
      </c>
      <c r="J190" s="11" t="s">
        <v>78</v>
      </c>
      <c r="K190" s="15">
        <v>113.33</v>
      </c>
      <c r="L190" s="10" t="str">
        <f>IF(D190&lt;&gt;"",VLOOKUP(H190,TABLEITEM,2,FALSE),"")</f>
        <v>MAT ST</v>
      </c>
      <c r="M190" s="10" t="str">
        <f>IF(D190&lt;&gt;"",VLOOKUP(H190,TABLEITEM,3,FALSE),"")</f>
        <v>เหล็กกล่อง3x2'หนา2.3มิล</v>
      </c>
      <c r="N190" s="7">
        <f>INSTOCK!$I190*INSTOCK!$K190</f>
        <v>2039.94</v>
      </c>
      <c r="O190" s="2"/>
      <c r="P190" s="2"/>
    </row>
    <row r="191" ht="18.0" customHeight="1">
      <c r="A191" s="1"/>
      <c r="B191" s="3">
        <v>190.0</v>
      </c>
      <c r="C191" s="13">
        <v>43161.0</v>
      </c>
      <c r="D191" s="14" t="s">
        <v>251</v>
      </c>
      <c r="E191" s="14">
        <v>6.10200027E9</v>
      </c>
      <c r="F191" s="11" t="s">
        <v>252</v>
      </c>
      <c r="G191" s="14" t="s">
        <v>153</v>
      </c>
      <c r="H191" s="14" t="s">
        <v>98</v>
      </c>
      <c r="I191" s="11">
        <v>12.0</v>
      </c>
      <c r="J191" s="11" t="s">
        <v>78</v>
      </c>
      <c r="K191" s="15">
        <v>130.83</v>
      </c>
      <c r="L191" s="10" t="str">
        <f>IF(D191&lt;&gt;"",VLOOKUP(H191,TABLEITEM,2,FALSE),"")</f>
        <v>MAT ST</v>
      </c>
      <c r="M191" s="10" t="str">
        <f>IF(D191&lt;&gt;"",VLOOKUP(H191,TABLEITEM,3,FALSE),"")</f>
        <v>เหล็กกล่อง 3'' หนา2.3 มิล</v>
      </c>
      <c r="N191" s="7">
        <f>INSTOCK!$I191*INSTOCK!$K191</f>
        <v>1569.96</v>
      </c>
      <c r="O191" s="2"/>
      <c r="P191" s="2"/>
    </row>
    <row r="192" ht="18.0" customHeight="1">
      <c r="A192" s="1"/>
      <c r="B192" s="3">
        <v>191.0</v>
      </c>
      <c r="C192" s="19">
        <v>43161.0</v>
      </c>
      <c r="D192" s="16" t="s">
        <v>253</v>
      </c>
      <c r="E192" s="16">
        <v>6.102000262E9</v>
      </c>
      <c r="F192" s="17"/>
      <c r="G192" s="16" t="s">
        <v>153</v>
      </c>
      <c r="H192" s="16" t="s">
        <v>220</v>
      </c>
      <c r="I192" s="20">
        <v>83.0</v>
      </c>
      <c r="J192" s="20"/>
      <c r="K192" s="21">
        <v>2050.0</v>
      </c>
      <c r="L192" s="6" t="str">
        <f>IF(D192&lt;&gt;"",VLOOKUP(H192,TABLEITEM,2,FALSE),"")</f>
        <v>MAT ST</v>
      </c>
      <c r="M192" s="6" t="str">
        <f>IF(D192&lt;&gt;"",VLOOKUP(H192,TABLEITEM,3,FALSE),"")</f>
        <v>แผ่นอลูมิเนียมตีนเป็ด 4'x8' T2.0</v>
      </c>
      <c r="N192" s="7">
        <f>INSTOCK!$I192*INSTOCK!$K192</f>
        <v>170150</v>
      </c>
      <c r="O192" s="22" t="s">
        <v>221</v>
      </c>
      <c r="P192" s="2"/>
    </row>
    <row r="193" ht="18.0" customHeight="1">
      <c r="A193" s="1"/>
      <c r="B193" s="3">
        <v>192.0</v>
      </c>
      <c r="C193" s="13">
        <v>43162.0</v>
      </c>
      <c r="D193" s="14" t="s">
        <v>254</v>
      </c>
      <c r="E193" s="14" t="s">
        <v>255</v>
      </c>
      <c r="F193" s="11" t="s">
        <v>161</v>
      </c>
      <c r="G193" s="14" t="s">
        <v>171</v>
      </c>
      <c r="H193" s="14" t="s">
        <v>42</v>
      </c>
      <c r="I193" s="11">
        <v>150.0</v>
      </c>
      <c r="J193" s="11"/>
      <c r="K193" s="15">
        <v>1328.2</v>
      </c>
      <c r="L193" s="6" t="str">
        <f>IF(D193&lt;&gt;"",VLOOKUP(H193,TABLEITEM,2,FALSE),"")</f>
        <v>MAT ST</v>
      </c>
      <c r="M193" s="6" t="str">
        <f>IF(D193&lt;&gt;"",VLOOKUP(H193,TABLEITEM,3,FALSE),"")</f>
        <v>เหล็กแผ่นEG4'x8'T2.0</v>
      </c>
      <c r="N193" s="7">
        <f>INSTOCK!$I193*INSTOCK!$K193</f>
        <v>199230</v>
      </c>
      <c r="O193" s="2" t="s">
        <v>256</v>
      </c>
      <c r="P193" s="2"/>
    </row>
    <row r="194" ht="18.0" customHeight="1">
      <c r="A194" s="1"/>
      <c r="B194" s="3">
        <v>193.0</v>
      </c>
      <c r="C194" s="13">
        <v>43162.0</v>
      </c>
      <c r="D194" s="14" t="s">
        <v>254</v>
      </c>
      <c r="E194" s="14" t="s">
        <v>255</v>
      </c>
      <c r="F194" s="11" t="s">
        <v>161</v>
      </c>
      <c r="G194" s="14" t="s">
        <v>171</v>
      </c>
      <c r="H194" s="14" t="s">
        <v>40</v>
      </c>
      <c r="I194" s="11">
        <v>150.0</v>
      </c>
      <c r="J194" s="11"/>
      <c r="K194" s="15">
        <v>1062.56</v>
      </c>
      <c r="L194" s="6" t="str">
        <f>IF(D194&lt;&gt;"",VLOOKUP(H194,TABLEITEM,2,FALSE),"")</f>
        <v>MAT ST</v>
      </c>
      <c r="M194" s="6" t="str">
        <f>IF(D194&lt;&gt;"",VLOOKUP(H194,TABLEITEM,3,FALSE),"")</f>
        <v>เหล็กแผ่นEG4'x8'T1.6</v>
      </c>
      <c r="N194" s="7">
        <f>INSTOCK!$I194*INSTOCK!$K194</f>
        <v>159384</v>
      </c>
      <c r="O194" s="2" t="s">
        <v>257</v>
      </c>
      <c r="P194" s="2"/>
    </row>
    <row r="195" ht="18.0" customHeight="1">
      <c r="A195" s="1"/>
      <c r="B195" s="3">
        <v>194.0</v>
      </c>
      <c r="C195" s="13">
        <v>43162.0</v>
      </c>
      <c r="D195" s="14" t="s">
        <v>258</v>
      </c>
      <c r="E195" s="14" t="s">
        <v>255</v>
      </c>
      <c r="F195" s="11" t="s">
        <v>161</v>
      </c>
      <c r="G195" s="14" t="s">
        <v>171</v>
      </c>
      <c r="H195" s="14" t="s">
        <v>19</v>
      </c>
      <c r="I195" s="11">
        <v>300.0</v>
      </c>
      <c r="J195" s="11"/>
      <c r="K195" s="15">
        <v>856.75</v>
      </c>
      <c r="L195" s="6" t="str">
        <f>IF(D195&lt;&gt;"",VLOOKUP(H195,TABLEITEM,2,FALSE),"")</f>
        <v>MAT ST</v>
      </c>
      <c r="M195" s="6" t="str">
        <f>IF(D195&lt;&gt;"",VLOOKUP(H195,TABLEITEM,3,FALSE),"")</f>
        <v>เหล็กแผ่นขาว4'x8'T1.6</v>
      </c>
      <c r="N195" s="7">
        <f>INSTOCK!$I195*INSTOCK!$K195</f>
        <v>257025</v>
      </c>
      <c r="O195" s="2" t="s">
        <v>259</v>
      </c>
      <c r="P195" s="2"/>
    </row>
    <row r="196" ht="18.0" customHeight="1">
      <c r="A196" s="1"/>
      <c r="B196" s="3">
        <v>195.0</v>
      </c>
      <c r="C196" s="13">
        <v>43162.0</v>
      </c>
      <c r="D196" s="14" t="s">
        <v>260</v>
      </c>
      <c r="E196" s="14" t="s">
        <v>255</v>
      </c>
      <c r="F196" s="11" t="s">
        <v>161</v>
      </c>
      <c r="G196" s="14" t="s">
        <v>171</v>
      </c>
      <c r="H196" s="14" t="s">
        <v>21</v>
      </c>
      <c r="I196" s="11">
        <v>300.0</v>
      </c>
      <c r="J196" s="11"/>
      <c r="K196" s="15">
        <v>1081.584</v>
      </c>
      <c r="L196" s="6" t="str">
        <f>IF(D196&lt;&gt;"",VLOOKUP(H196,TABLEITEM,2,FALSE),"")</f>
        <v>MAT ST</v>
      </c>
      <c r="M196" s="6" t="str">
        <f>IF(D196&lt;&gt;"",VLOOKUP(H196,TABLEITEM,3,FALSE),"")</f>
        <v>เหล็กแผ่นขาว4'x8'T2.0</v>
      </c>
      <c r="N196" s="7">
        <f>INSTOCK!$I196*INSTOCK!$K196</f>
        <v>324475.2</v>
      </c>
      <c r="O196" s="2" t="s">
        <v>261</v>
      </c>
      <c r="P196" s="2"/>
    </row>
    <row r="197" ht="18.0" customHeight="1">
      <c r="A197" s="1"/>
      <c r="B197" s="3">
        <v>196.0</v>
      </c>
      <c r="C197" s="13">
        <v>43164.0</v>
      </c>
      <c r="D197" s="14" t="s">
        <v>262</v>
      </c>
      <c r="E197" s="14" t="s">
        <v>255</v>
      </c>
      <c r="F197" s="11" t="s">
        <v>161</v>
      </c>
      <c r="G197" s="14" t="s">
        <v>171</v>
      </c>
      <c r="H197" s="14" t="s">
        <v>23</v>
      </c>
      <c r="I197" s="11">
        <v>100.0</v>
      </c>
      <c r="J197" s="11"/>
      <c r="K197" s="15">
        <v>1290.24</v>
      </c>
      <c r="L197" s="6" t="str">
        <f>IF(D197&lt;&gt;"",VLOOKUP(H197,TABLEITEM,2,FALSE),"")</f>
        <v>MAT ST</v>
      </c>
      <c r="M197" s="6" t="str">
        <f>IF(D197&lt;&gt;"",VLOOKUP(H197,TABLEITEM,3,FALSE),"")</f>
        <v>เหล็กแผ่นขาว4'x8'T2.3</v>
      </c>
      <c r="N197" s="7">
        <f>INSTOCK!$I197*INSTOCK!$K197</f>
        <v>129024</v>
      </c>
      <c r="O197" s="2" t="s">
        <v>263</v>
      </c>
      <c r="P197" s="2"/>
    </row>
    <row r="198" ht="18.0" customHeight="1">
      <c r="A198" s="1"/>
      <c r="B198" s="3">
        <v>197.0</v>
      </c>
      <c r="C198" s="13">
        <v>43165.0</v>
      </c>
      <c r="D198" s="14" t="s">
        <v>264</v>
      </c>
      <c r="E198" s="14" t="s">
        <v>255</v>
      </c>
      <c r="F198" s="11" t="s">
        <v>161</v>
      </c>
      <c r="G198" s="14" t="s">
        <v>171</v>
      </c>
      <c r="H198" s="14" t="s">
        <v>25</v>
      </c>
      <c r="I198" s="11">
        <v>200.0</v>
      </c>
      <c r="J198" s="11"/>
      <c r="K198" s="15">
        <v>1689.275</v>
      </c>
      <c r="L198" s="6" t="str">
        <f>IF(D198&lt;&gt;"",VLOOKUP(H198,TABLEITEM,2,FALSE),"")</f>
        <v>MAT ST</v>
      </c>
      <c r="M198" s="6" t="str">
        <f>IF(D198&lt;&gt;"",VLOOKUP(H198,TABLEITEM,3,FALSE),"")</f>
        <v>เหล็กแผ่นขาว4'x8'T3.0</v>
      </c>
      <c r="N198" s="7">
        <f>INSTOCK!$I198*INSTOCK!$K198</f>
        <v>337855</v>
      </c>
      <c r="O198" s="2" t="s">
        <v>265</v>
      </c>
      <c r="P198" s="2"/>
    </row>
    <row r="199" ht="18.0" customHeight="1">
      <c r="A199" s="1"/>
      <c r="B199" s="3">
        <v>198.0</v>
      </c>
      <c r="C199" s="13">
        <v>43166.0</v>
      </c>
      <c r="D199" s="14" t="s">
        <v>266</v>
      </c>
      <c r="E199" s="14">
        <v>6.102000262E9</v>
      </c>
      <c r="F199" s="11" t="s">
        <v>267</v>
      </c>
      <c r="G199" s="14" t="s">
        <v>153</v>
      </c>
      <c r="H199" s="14" t="s">
        <v>220</v>
      </c>
      <c r="I199" s="11">
        <v>116.0</v>
      </c>
      <c r="J199" s="11"/>
      <c r="K199" s="15">
        <v>2050.0</v>
      </c>
      <c r="L199" s="6" t="str">
        <f>IF(D199&lt;&gt;"",VLOOKUP(H199,TABLEITEM,2,FALSE),"")</f>
        <v>MAT ST</v>
      </c>
      <c r="M199" s="6" t="str">
        <f>IF(D199&lt;&gt;"",VLOOKUP(H199,TABLEITEM,3,FALSE),"")</f>
        <v>แผ่นอลูมิเนียมตีนเป็ด 4'x8' T2.0</v>
      </c>
      <c r="N199" s="7">
        <f>INSTOCK!$I199*INSTOCK!$K199</f>
        <v>237800</v>
      </c>
      <c r="O199" s="2" t="s">
        <v>221</v>
      </c>
      <c r="P199" s="2"/>
    </row>
    <row r="200" ht="18.0" customHeight="1">
      <c r="A200" s="1"/>
      <c r="B200" s="3">
        <v>199.0</v>
      </c>
      <c r="C200" s="13">
        <v>43167.0</v>
      </c>
      <c r="D200" s="14" t="s">
        <v>268</v>
      </c>
      <c r="E200" s="14">
        <v>6.103000291E9</v>
      </c>
      <c r="F200" s="11" t="s">
        <v>267</v>
      </c>
      <c r="G200" s="14" t="s">
        <v>269</v>
      </c>
      <c r="H200" s="14" t="s">
        <v>220</v>
      </c>
      <c r="I200" s="11">
        <v>23.0</v>
      </c>
      <c r="J200" s="11"/>
      <c r="K200" s="15">
        <v>2050.0</v>
      </c>
      <c r="L200" s="6" t="str">
        <f>IF(D200&lt;&gt;"",VLOOKUP(H200,TABLEITEM,2,FALSE),"")</f>
        <v>MAT ST</v>
      </c>
      <c r="M200" s="6" t="str">
        <f>IF(D200&lt;&gt;"",VLOOKUP(H200,TABLEITEM,3,FALSE),"")</f>
        <v>แผ่นอลูมิเนียมตีนเป็ด 4'x8' T2.0</v>
      </c>
      <c r="N200" s="7">
        <f>INSTOCK!$I200*INSTOCK!$K200</f>
        <v>47150</v>
      </c>
      <c r="O200" s="2" t="s">
        <v>221</v>
      </c>
      <c r="P200" s="2"/>
    </row>
    <row r="201" ht="18.0" customHeight="1">
      <c r="A201" s="1"/>
      <c r="B201" s="3">
        <v>200.0</v>
      </c>
      <c r="C201" s="13">
        <v>43168.0</v>
      </c>
      <c r="D201" s="14" t="s">
        <v>270</v>
      </c>
      <c r="E201" s="14">
        <v>6.1030029E8</v>
      </c>
      <c r="F201" s="11" t="s">
        <v>271</v>
      </c>
      <c r="G201" s="14" t="s">
        <v>153</v>
      </c>
      <c r="H201" s="14" t="s">
        <v>169</v>
      </c>
      <c r="I201" s="11">
        <v>12.0</v>
      </c>
      <c r="J201" s="11" t="s">
        <v>78</v>
      </c>
      <c r="K201" s="15">
        <v>64.17</v>
      </c>
      <c r="L201" s="10" t="str">
        <f>IF(D201&lt;&gt;"",VLOOKUP(H201,TABLEITEM,2,FALSE),"")</f>
        <v>MAT ST</v>
      </c>
      <c r="M201" s="10" t="str">
        <f>IF(D201&lt;&gt;"",VLOOKUP(H201,TABLEITEM,3,FALSE),"")</f>
        <v>เหล็กกล่อง 1"1/2 หนา 2.3 มิล</v>
      </c>
      <c r="N201" s="7">
        <f>INSTOCK!$I201*INSTOCK!$K201</f>
        <v>770.04</v>
      </c>
      <c r="O201" s="2"/>
      <c r="P201" s="2"/>
    </row>
    <row r="202" ht="18.0" customHeight="1">
      <c r="A202" s="1"/>
      <c r="B202" s="3">
        <v>201.0</v>
      </c>
      <c r="C202" s="13">
        <v>43168.0</v>
      </c>
      <c r="D202" s="14" t="s">
        <v>270</v>
      </c>
      <c r="E202" s="14">
        <v>6.1030029E8</v>
      </c>
      <c r="F202" s="11" t="s">
        <v>271</v>
      </c>
      <c r="G202" s="14" t="s">
        <v>153</v>
      </c>
      <c r="H202" s="14" t="s">
        <v>98</v>
      </c>
      <c r="I202" s="11">
        <v>30.0</v>
      </c>
      <c r="J202" s="11" t="s">
        <v>78</v>
      </c>
      <c r="K202" s="15">
        <v>130.83</v>
      </c>
      <c r="L202" s="10" t="str">
        <f>IF(D202&lt;&gt;"",VLOOKUP(H202,TABLEITEM,2,FALSE),"")</f>
        <v>MAT ST</v>
      </c>
      <c r="M202" s="10" t="str">
        <f>IF(D202&lt;&gt;"",VLOOKUP(H202,TABLEITEM,3,FALSE),"")</f>
        <v>เหล็กกล่อง 3'' หนา2.3 มิล</v>
      </c>
      <c r="N202" s="7">
        <f>INSTOCK!$I202*INSTOCK!$K202</f>
        <v>3924.9</v>
      </c>
      <c r="O202" s="2"/>
      <c r="P202" s="2"/>
    </row>
    <row r="203" ht="18.0" customHeight="1">
      <c r="A203" s="1"/>
      <c r="B203" s="3">
        <v>202.0</v>
      </c>
      <c r="C203" s="13">
        <v>43169.0</v>
      </c>
      <c r="D203" s="14" t="s">
        <v>272</v>
      </c>
      <c r="E203" s="14">
        <v>6.103000293E9</v>
      </c>
      <c r="F203" s="11" t="s">
        <v>161</v>
      </c>
      <c r="G203" s="14" t="s">
        <v>202</v>
      </c>
      <c r="H203" s="14" t="s">
        <v>80</v>
      </c>
      <c r="I203" s="11">
        <v>300.0</v>
      </c>
      <c r="J203" s="11" t="s">
        <v>78</v>
      </c>
      <c r="K203" s="15">
        <v>206.67</v>
      </c>
      <c r="L203" s="10" t="str">
        <f>IF(D203&lt;&gt;"",VLOOKUP(H203,TABLEITEM,2,FALSE),"")</f>
        <v>MAT ST</v>
      </c>
      <c r="M203" s="10" t="str">
        <f>IF(D203&lt;&gt;"",VLOOKUP(H203,TABLEITEM,3,FALSE),"")</f>
        <v>เหล็กรางน้ำ U' 4</v>
      </c>
      <c r="N203" s="7">
        <f>INSTOCK!$I203*INSTOCK!$K203</f>
        <v>62001</v>
      </c>
      <c r="O203" s="2"/>
      <c r="P203" s="2"/>
    </row>
    <row r="204" ht="18.0" customHeight="1">
      <c r="A204" s="1"/>
      <c r="B204" s="3">
        <v>203.0</v>
      </c>
      <c r="C204" s="13">
        <v>43171.0</v>
      </c>
      <c r="D204" s="14" t="s">
        <v>273</v>
      </c>
      <c r="E204" s="14">
        <v>6.1030003E9</v>
      </c>
      <c r="F204" s="11" t="s">
        <v>274</v>
      </c>
      <c r="G204" s="14" t="s">
        <v>240</v>
      </c>
      <c r="H204" s="14" t="s">
        <v>134</v>
      </c>
      <c r="I204" s="11">
        <v>12.0</v>
      </c>
      <c r="J204" s="11" t="s">
        <v>78</v>
      </c>
      <c r="K204" s="15">
        <v>430.0</v>
      </c>
      <c r="L204" s="10" t="str">
        <f>IF(D204&lt;&gt;"",VLOOKUP(H204,TABLEITEM,2,FALSE),"")</f>
        <v>MAT ST</v>
      </c>
      <c r="M204" s="10" t="str">
        <f>IF(D204&lt;&gt;"",VLOOKUP(H204,TABLEITEM,3,FALSE),"")</f>
        <v>ฉากสแตนเลส 2''หนา6.0</v>
      </c>
      <c r="N204" s="7">
        <f>INSTOCK!$I204*INSTOCK!$K204</f>
        <v>5160</v>
      </c>
      <c r="O204" s="2"/>
      <c r="P204" s="2"/>
    </row>
    <row r="205" ht="18.0" customHeight="1">
      <c r="A205" s="1"/>
      <c r="B205" s="3">
        <v>204.0</v>
      </c>
      <c r="C205" s="19">
        <v>43174.0</v>
      </c>
      <c r="D205" s="16" t="s">
        <v>275</v>
      </c>
      <c r="E205" s="16">
        <v>6.103000322E9</v>
      </c>
      <c r="F205" s="20" t="s">
        <v>276</v>
      </c>
      <c r="G205" s="16" t="s">
        <v>269</v>
      </c>
      <c r="H205" s="16" t="s">
        <v>220</v>
      </c>
      <c r="I205" s="20">
        <v>71.0</v>
      </c>
      <c r="J205" s="20"/>
      <c r="K205" s="21">
        <v>2040.0</v>
      </c>
      <c r="L205" s="6" t="str">
        <f>IF(D205&lt;&gt;"",VLOOKUP(H205,TABLEITEM,2,FALSE),"")</f>
        <v>MAT ST</v>
      </c>
      <c r="M205" s="6" t="str">
        <f>IF(D205&lt;&gt;"",VLOOKUP(H205,TABLEITEM,3,FALSE),"")</f>
        <v>แผ่นอลูมิเนียมตีนเป็ด 4'x8' T2.0</v>
      </c>
      <c r="N205" s="7">
        <f>INSTOCK!$I205*INSTOCK!$K205</f>
        <v>144840</v>
      </c>
      <c r="O205" s="22" t="s">
        <v>277</v>
      </c>
      <c r="P205" s="2"/>
    </row>
    <row r="206" ht="18.0" customHeight="1">
      <c r="A206" s="1"/>
      <c r="B206" s="3">
        <v>205.0</v>
      </c>
      <c r="C206" s="13">
        <v>43176.0</v>
      </c>
      <c r="D206" s="14" t="s">
        <v>278</v>
      </c>
      <c r="E206" s="14">
        <v>6.103000328E9</v>
      </c>
      <c r="F206" s="11" t="s">
        <v>161</v>
      </c>
      <c r="G206" s="14" t="s">
        <v>171</v>
      </c>
      <c r="H206" s="14" t="s">
        <v>21</v>
      </c>
      <c r="I206" s="11">
        <v>150.0</v>
      </c>
      <c r="J206" s="11"/>
      <c r="K206" s="15">
        <v>1358.8</v>
      </c>
      <c r="L206" s="6" t="str">
        <f>IF(D206&lt;&gt;"",VLOOKUP(H206,TABLEITEM,2,FALSE),"")</f>
        <v>MAT ST</v>
      </c>
      <c r="M206" s="6" t="str">
        <f>IF(D206&lt;&gt;"",VLOOKUP(H206,TABLEITEM,3,FALSE),"")</f>
        <v>เหล็กแผ่นขาว4'x8'T2.0</v>
      </c>
      <c r="N206" s="7">
        <f>INSTOCK!$I206*INSTOCK!$K206</f>
        <v>203820</v>
      </c>
      <c r="O206" s="2" t="s">
        <v>279</v>
      </c>
      <c r="P206" s="2"/>
    </row>
    <row r="207" ht="18.0" customHeight="1">
      <c r="A207" s="1"/>
      <c r="B207" s="3">
        <v>206.0</v>
      </c>
      <c r="C207" s="13">
        <v>43178.0</v>
      </c>
      <c r="D207" s="14" t="s">
        <v>280</v>
      </c>
      <c r="E207" s="14">
        <v>6.10300034E9</v>
      </c>
      <c r="F207" s="11" t="s">
        <v>281</v>
      </c>
      <c r="G207" s="14" t="s">
        <v>240</v>
      </c>
      <c r="H207" s="14" t="s">
        <v>141</v>
      </c>
      <c r="I207" s="11">
        <v>60.0</v>
      </c>
      <c r="J207" s="11" t="s">
        <v>78</v>
      </c>
      <c r="K207" s="15">
        <v>43.33</v>
      </c>
      <c r="L207" s="10" t="str">
        <f>IF(D207&lt;&gt;"",VLOOKUP(H207,TABLEITEM,2,FALSE),"")</f>
        <v>MAT ST</v>
      </c>
      <c r="M207" s="10" t="str">
        <f>IF(D207&lt;&gt;"",VLOOKUP(H207,TABLEITEM,3,FALSE),"")</f>
        <v>เพลาสแตนเลส 5/16หนา8</v>
      </c>
      <c r="N207" s="7">
        <f>INSTOCK!$I207*INSTOCK!$K207</f>
        <v>2599.8</v>
      </c>
      <c r="O207" s="2"/>
      <c r="P207" s="2"/>
    </row>
    <row r="208" ht="18.0" customHeight="1">
      <c r="A208" s="1"/>
      <c r="B208" s="3">
        <v>207.0</v>
      </c>
      <c r="C208" s="13">
        <v>43178.0</v>
      </c>
      <c r="D208" s="14" t="s">
        <v>280</v>
      </c>
      <c r="E208" s="14">
        <v>6.10300034E9</v>
      </c>
      <c r="F208" s="11" t="s">
        <v>281</v>
      </c>
      <c r="G208" s="14" t="s">
        <v>240</v>
      </c>
      <c r="H208" s="14" t="s">
        <v>135</v>
      </c>
      <c r="I208" s="11">
        <v>36.0</v>
      </c>
      <c r="J208" s="11" t="s">
        <v>78</v>
      </c>
      <c r="K208" s="15">
        <v>48.33</v>
      </c>
      <c r="L208" s="10" t="str">
        <f>IF(D208&lt;&gt;"",VLOOKUP(H208,TABLEITEM,2,FALSE),"")</f>
        <v>MAT ST</v>
      </c>
      <c r="M208" s="10" t="str">
        <f>IF(D208&lt;&gt;"",VLOOKUP(H208,TABLEITEM,3,FALSE),"")</f>
        <v>ท่อสแตนเลส3/4 หนา1.0</v>
      </c>
      <c r="N208" s="7">
        <f>INSTOCK!$I208*INSTOCK!$K208</f>
        <v>1739.88</v>
      </c>
      <c r="O208" s="2"/>
      <c r="P208" s="2"/>
    </row>
    <row r="209" ht="18.0" customHeight="1">
      <c r="A209" s="1"/>
      <c r="B209" s="3">
        <v>208.0</v>
      </c>
      <c r="C209" s="13">
        <v>43187.0</v>
      </c>
      <c r="D209" s="14" t="s">
        <v>282</v>
      </c>
      <c r="E209" s="14">
        <v>6.103000391E9</v>
      </c>
      <c r="F209" s="11" t="s">
        <v>283</v>
      </c>
      <c r="G209" s="14" t="s">
        <v>192</v>
      </c>
      <c r="H209" s="14" t="s">
        <v>134</v>
      </c>
      <c r="I209" s="11">
        <v>36.0</v>
      </c>
      <c r="J209" s="11" t="s">
        <v>78</v>
      </c>
      <c r="K209" s="15">
        <v>408.33</v>
      </c>
      <c r="L209" s="10" t="str">
        <f>IF(D209&lt;&gt;"",VLOOKUP(H209,TABLEITEM,2,FALSE),"")</f>
        <v>MAT ST</v>
      </c>
      <c r="M209" s="10" t="str">
        <f>IF(D209&lt;&gt;"",VLOOKUP(H209,TABLEITEM,3,FALSE),"")</f>
        <v>ฉากสแตนเลส 2''หนา6.0</v>
      </c>
      <c r="N209" s="7">
        <f>INSTOCK!$I209*INSTOCK!$K209</f>
        <v>14699.88</v>
      </c>
      <c r="O209" s="2" t="s">
        <v>193</v>
      </c>
      <c r="P209" s="2"/>
    </row>
    <row r="210" ht="18.0" customHeight="1">
      <c r="A210" s="1"/>
      <c r="B210" s="3">
        <v>209.0</v>
      </c>
      <c r="C210" s="13">
        <v>43192.0</v>
      </c>
      <c r="D210" s="14" t="s">
        <v>284</v>
      </c>
      <c r="E210" s="14">
        <v>6.103000378E9</v>
      </c>
      <c r="F210" s="11" t="s">
        <v>285</v>
      </c>
      <c r="G210" s="14" t="s">
        <v>202</v>
      </c>
      <c r="H210" s="14" t="s">
        <v>82</v>
      </c>
      <c r="I210" s="11">
        <v>18.0</v>
      </c>
      <c r="J210" s="11" t="s">
        <v>78</v>
      </c>
      <c r="K210" s="15">
        <v>443.33</v>
      </c>
      <c r="L210" s="10" t="str">
        <f>IF(D210&lt;&gt;"",VLOOKUP(H210,TABLEITEM,2,FALSE),"")</f>
        <v>MAT ST</v>
      </c>
      <c r="M210" s="10" t="str">
        <f>IF(D210&lt;&gt;"",VLOOKUP(H210,TABLEITEM,3,FALSE),"")</f>
        <v>เหล็กรางน้ำ U' 6</v>
      </c>
      <c r="N210" s="7">
        <f>INSTOCK!$I210*INSTOCK!$K210</f>
        <v>7979.94</v>
      </c>
      <c r="O210" s="2"/>
      <c r="P210" s="2"/>
    </row>
    <row r="211" ht="18.0" customHeight="1">
      <c r="A211" s="1"/>
      <c r="B211" s="3">
        <v>210.0</v>
      </c>
      <c r="C211" s="13">
        <v>43192.0</v>
      </c>
      <c r="D211" s="14" t="s">
        <v>286</v>
      </c>
      <c r="E211" s="14">
        <v>6.103000394E9</v>
      </c>
      <c r="F211" s="11" t="s">
        <v>161</v>
      </c>
      <c r="G211" s="14" t="s">
        <v>202</v>
      </c>
      <c r="H211" s="14" t="s">
        <v>54</v>
      </c>
      <c r="I211" s="11">
        <v>100.0</v>
      </c>
      <c r="J211" s="11"/>
      <c r="K211" s="15">
        <v>2745.0</v>
      </c>
      <c r="L211" s="6" t="str">
        <f>IF(D211&lt;&gt;"",VLOOKUP(H211,TABLEITEM,2,FALSE),"")</f>
        <v>MAT ST</v>
      </c>
      <c r="M211" s="6" t="str">
        <f>IF(D211&lt;&gt;"",VLOOKUP(H211,TABLEITEM,3,FALSE),"")</f>
        <v>เหล็กแผ่นดำ5'x10'T3.0</v>
      </c>
      <c r="N211" s="7">
        <f>INSTOCK!$I211*INSTOCK!$K211</f>
        <v>274500</v>
      </c>
      <c r="O211" s="2"/>
      <c r="P211" s="2"/>
    </row>
    <row r="212" ht="18.0" customHeight="1">
      <c r="A212" s="1"/>
      <c r="B212" s="3">
        <v>211.0</v>
      </c>
      <c r="C212" s="13">
        <v>43192.0</v>
      </c>
      <c r="D212" s="14" t="s">
        <v>286</v>
      </c>
      <c r="E212" s="14">
        <v>6.103000394E9</v>
      </c>
      <c r="F212" s="11" t="s">
        <v>161</v>
      </c>
      <c r="G212" s="14" t="s">
        <v>202</v>
      </c>
      <c r="H212" s="14" t="s">
        <v>55</v>
      </c>
      <c r="I212" s="11">
        <v>5.0</v>
      </c>
      <c r="J212" s="11"/>
      <c r="K212" s="15">
        <v>4070.0</v>
      </c>
      <c r="L212" s="6" t="str">
        <f>IF(D212&lt;&gt;"",VLOOKUP(H212,TABLEITEM,2,FALSE),"")</f>
        <v>MAT ST</v>
      </c>
      <c r="M212" s="6" t="str">
        <f>IF(D212&lt;&gt;"",VLOOKUP(H212,TABLEITEM,3,FALSE),"")</f>
        <v>เหล็กแผ่นดำ5'x10'T4.5</v>
      </c>
      <c r="N212" s="7">
        <f>INSTOCK!$I212*INSTOCK!$K212</f>
        <v>20350</v>
      </c>
      <c r="O212" s="2"/>
      <c r="P212" s="2"/>
    </row>
    <row r="213" ht="18.0" customHeight="1">
      <c r="A213" s="1"/>
      <c r="B213" s="3">
        <v>212.0</v>
      </c>
      <c r="C213" s="13">
        <v>43192.0</v>
      </c>
      <c r="D213" s="14" t="s">
        <v>287</v>
      </c>
      <c r="E213" s="14">
        <v>6.103000411E9</v>
      </c>
      <c r="F213" s="11" t="s">
        <v>161</v>
      </c>
      <c r="G213" s="14" t="s">
        <v>202</v>
      </c>
      <c r="H213" s="14" t="s">
        <v>86</v>
      </c>
      <c r="I213" s="11">
        <v>300.0</v>
      </c>
      <c r="J213" s="11" t="s">
        <v>78</v>
      </c>
      <c r="K213" s="15">
        <v>67.5</v>
      </c>
      <c r="L213" s="10" t="str">
        <f>IF(D213&lt;&gt;"",VLOOKUP(H213,TABLEITEM,2,FALSE),"")</f>
        <v>MAT ST</v>
      </c>
      <c r="M213" s="10" t="str">
        <f>IF(D213&lt;&gt;"",VLOOKUP(H213,TABLEITEM,3,FALSE),"")</f>
        <v>เหล็กฉาก 1''1/2'หนา5 มิล</v>
      </c>
      <c r="N213" s="7">
        <f>INSTOCK!$I213*INSTOCK!$K213</f>
        <v>20250</v>
      </c>
      <c r="O213" s="2"/>
      <c r="P213" s="2"/>
    </row>
    <row r="214" ht="18.0" customHeight="1">
      <c r="A214" s="1"/>
      <c r="B214" s="3">
        <v>213.0</v>
      </c>
      <c r="C214" s="13">
        <v>43192.0</v>
      </c>
      <c r="D214" s="14" t="s">
        <v>288</v>
      </c>
      <c r="E214" s="14">
        <v>6.103000366E9</v>
      </c>
      <c r="F214" s="11" t="s">
        <v>161</v>
      </c>
      <c r="G214" s="14" t="s">
        <v>202</v>
      </c>
      <c r="H214" s="14" t="s">
        <v>77</v>
      </c>
      <c r="I214" s="11">
        <v>60.0</v>
      </c>
      <c r="J214" s="11" t="s">
        <v>78</v>
      </c>
      <c r="K214" s="15">
        <v>90.83</v>
      </c>
      <c r="L214" s="10" t="str">
        <f>IF(D214&lt;&gt;"",VLOOKUP(H214,TABLEITEM,2,FALSE),"")</f>
        <v>MAT ST</v>
      </c>
      <c r="M214" s="10" t="str">
        <f>IF(D214&lt;&gt;"",VLOOKUP(H214,TABLEITEM,3,FALSE),"")</f>
        <v>เหล็กรางน้ำ U' 2</v>
      </c>
      <c r="N214" s="7">
        <f>INSTOCK!$I214*INSTOCK!$K214</f>
        <v>5449.8</v>
      </c>
      <c r="O214" s="2"/>
      <c r="P214" s="2"/>
    </row>
    <row r="215" ht="18.0" customHeight="1">
      <c r="A215" s="1"/>
      <c r="B215" s="3">
        <v>214.0</v>
      </c>
      <c r="C215" s="13">
        <v>43192.0</v>
      </c>
      <c r="D215" s="14" t="s">
        <v>288</v>
      </c>
      <c r="E215" s="14">
        <v>6.103000366E9</v>
      </c>
      <c r="F215" s="11" t="s">
        <v>161</v>
      </c>
      <c r="G215" s="14" t="s">
        <v>202</v>
      </c>
      <c r="H215" s="14" t="s">
        <v>79</v>
      </c>
      <c r="I215" s="11">
        <v>600.0</v>
      </c>
      <c r="J215" s="11" t="s">
        <v>78</v>
      </c>
      <c r="K215" s="15">
        <v>152.5</v>
      </c>
      <c r="L215" s="10" t="str">
        <f>IF(D215&lt;&gt;"",VLOOKUP(H215,TABLEITEM,2,FALSE),"")</f>
        <v>MAT ST</v>
      </c>
      <c r="M215" s="10" t="str">
        <f>IF(D215&lt;&gt;"",VLOOKUP(H215,TABLEITEM,3,FALSE),"")</f>
        <v>เหล็กรางน้ำ U' 3</v>
      </c>
      <c r="N215" s="7">
        <f>INSTOCK!$I215*INSTOCK!$K215</f>
        <v>91500</v>
      </c>
      <c r="O215" s="2"/>
      <c r="P215" s="2"/>
    </row>
    <row r="216" ht="18.0" customHeight="1">
      <c r="A216" s="1"/>
      <c r="B216" s="3">
        <v>215.0</v>
      </c>
      <c r="C216" s="13">
        <v>43192.0</v>
      </c>
      <c r="D216" s="14" t="s">
        <v>288</v>
      </c>
      <c r="E216" s="14">
        <v>6.103000366E9</v>
      </c>
      <c r="F216" s="11" t="s">
        <v>161</v>
      </c>
      <c r="G216" s="14" t="s">
        <v>202</v>
      </c>
      <c r="H216" s="14" t="s">
        <v>85</v>
      </c>
      <c r="I216" s="11">
        <v>300.0</v>
      </c>
      <c r="J216" s="11" t="s">
        <v>78</v>
      </c>
      <c r="K216" s="15">
        <v>42.5</v>
      </c>
      <c r="L216" s="10" t="str">
        <f>IF(D216&lt;&gt;"",VLOOKUP(H216,TABLEITEM,2,FALSE),"")</f>
        <v>MAT ST</v>
      </c>
      <c r="M216" s="10" t="str">
        <f>IF(D216&lt;&gt;"",VLOOKUP(H216,TABLEITEM,3,FALSE),"")</f>
        <v>เหล็กฉาก 1''1/2'หนา3 มิล</v>
      </c>
      <c r="N216" s="7">
        <f>INSTOCK!$I216*INSTOCK!$K216</f>
        <v>12750</v>
      </c>
      <c r="O216" s="2"/>
      <c r="P216" s="2"/>
    </row>
    <row r="217" ht="18.0" customHeight="1">
      <c r="A217" s="1"/>
      <c r="B217" s="3">
        <v>216.0</v>
      </c>
      <c r="C217" s="13">
        <v>43192.0</v>
      </c>
      <c r="D217" s="14" t="s">
        <v>288</v>
      </c>
      <c r="E217" s="14">
        <v>6.103000366E9</v>
      </c>
      <c r="F217" s="11" t="s">
        <v>161</v>
      </c>
      <c r="G217" s="14" t="s">
        <v>202</v>
      </c>
      <c r="H217" s="14" t="s">
        <v>89</v>
      </c>
      <c r="I217" s="11">
        <v>300.0</v>
      </c>
      <c r="J217" s="11" t="s">
        <v>78</v>
      </c>
      <c r="K217" s="15">
        <v>85.0</v>
      </c>
      <c r="L217" s="10" t="str">
        <f>IF(D217&lt;&gt;"",VLOOKUP(H217,TABLEITEM,2,FALSE),"")</f>
        <v>MAT ST</v>
      </c>
      <c r="M217" s="10" t="str">
        <f>IF(D217&lt;&gt;"",VLOOKUP(H217,TABLEITEM,3,FALSE),"")</f>
        <v>เหล็กฉาก 2''หนา5 มิล</v>
      </c>
      <c r="N217" s="7">
        <f>INSTOCK!$I217*INSTOCK!$K217</f>
        <v>25500</v>
      </c>
      <c r="O217" s="2"/>
      <c r="P217" s="2"/>
    </row>
    <row r="218" ht="18.0" customHeight="1">
      <c r="A218" s="1"/>
      <c r="B218" s="3">
        <v>217.0</v>
      </c>
      <c r="C218" s="13">
        <v>43192.0</v>
      </c>
      <c r="D218" s="14" t="s">
        <v>289</v>
      </c>
      <c r="E218" s="14">
        <v>6.103000409E9</v>
      </c>
      <c r="F218" s="11" t="s">
        <v>290</v>
      </c>
      <c r="G218" s="14" t="s">
        <v>153</v>
      </c>
      <c r="H218" s="14" t="s">
        <v>291</v>
      </c>
      <c r="I218" s="11">
        <v>42.0</v>
      </c>
      <c r="J218" s="11" t="s">
        <v>78</v>
      </c>
      <c r="K218" s="15">
        <v>55.0</v>
      </c>
      <c r="L218" s="10" t="str">
        <f>IF(D218&lt;&gt;"",VLOOKUP(H218,TABLEITEM,2,FALSE),"")</f>
        <v>MAT ST</v>
      </c>
      <c r="M218" s="10" t="str">
        <f>IF(D218&lt;&gt;"",VLOOKUP(H218,TABLEITEM,3,FALSE),"")</f>
        <v>เหล็กแบน 2" หนา 5 มิล</v>
      </c>
      <c r="N218" s="7">
        <f>INSTOCK!$I218*INSTOCK!$K218</f>
        <v>2310</v>
      </c>
      <c r="O218" s="2"/>
      <c r="P218" s="2"/>
    </row>
    <row r="219" ht="18.0" customHeight="1">
      <c r="A219" s="1"/>
      <c r="B219" s="3">
        <v>218.0</v>
      </c>
      <c r="C219" s="13">
        <v>43193.0</v>
      </c>
      <c r="D219" s="14" t="s">
        <v>292</v>
      </c>
      <c r="E219" s="14">
        <v>6.10300039E9</v>
      </c>
      <c r="F219" s="11" t="s">
        <v>161</v>
      </c>
      <c r="G219" s="14" t="s">
        <v>153</v>
      </c>
      <c r="H219" s="14" t="s">
        <v>72</v>
      </c>
      <c r="I219" s="11">
        <v>15.0</v>
      </c>
      <c r="J219" s="11"/>
      <c r="K219" s="15">
        <v>4990.0</v>
      </c>
      <c r="L219" s="6" t="str">
        <f>IF(D219&lt;&gt;"",VLOOKUP(H219,TABLEITEM,2,FALSE),"")</f>
        <v>MAT ST</v>
      </c>
      <c r="M219" s="6" t="str">
        <f>IF(D219&lt;&gt;"",VLOOKUP(H219,TABLEITEM,3,FALSE),"")</f>
        <v>แผ่นอลูมิเนียม4'x8'T6.0</v>
      </c>
      <c r="N219" s="7">
        <f>INSTOCK!$I219*INSTOCK!$K219</f>
        <v>74850</v>
      </c>
      <c r="O219" s="2"/>
      <c r="P219" s="2"/>
    </row>
    <row r="220" ht="18.0" customHeight="1">
      <c r="A220" s="1"/>
      <c r="B220" s="3">
        <v>219.0</v>
      </c>
      <c r="C220" s="13">
        <v>43193.0</v>
      </c>
      <c r="D220" s="14" t="s">
        <v>293</v>
      </c>
      <c r="E220" s="14">
        <v>6.103000408E9</v>
      </c>
      <c r="F220" s="11" t="s">
        <v>161</v>
      </c>
      <c r="G220" s="14" t="s">
        <v>162</v>
      </c>
      <c r="H220" s="14" t="s">
        <v>73</v>
      </c>
      <c r="I220" s="11">
        <v>10.0</v>
      </c>
      <c r="J220" s="11"/>
      <c r="K220" s="15">
        <v>1400.0</v>
      </c>
      <c r="L220" s="6" t="str">
        <f>IF(D220&lt;&gt;"",VLOOKUP(H220,TABLEITEM,2,FALSE),"")</f>
        <v>MAT ST</v>
      </c>
      <c r="M220" s="6" t="str">
        <f>IF(D220&lt;&gt;"",VLOOKUP(H220,TABLEITEM,3,FALSE),"")</f>
        <v>แผ่นPVC ใส4'x8'T2.0</v>
      </c>
      <c r="N220" s="7">
        <f>INSTOCK!$I220*INSTOCK!$K220</f>
        <v>14000</v>
      </c>
      <c r="O220" s="2"/>
      <c r="P220" s="2"/>
    </row>
    <row r="221" ht="18.0" customHeight="1">
      <c r="A221" s="1"/>
      <c r="B221" s="3">
        <v>220.0</v>
      </c>
      <c r="C221" s="13">
        <v>43193.0</v>
      </c>
      <c r="D221" s="14" t="s">
        <v>294</v>
      </c>
      <c r="E221" s="14">
        <v>6.103000388E9</v>
      </c>
      <c r="F221" s="11" t="s">
        <v>161</v>
      </c>
      <c r="G221" s="14" t="s">
        <v>171</v>
      </c>
      <c r="H221" s="14" t="s">
        <v>16</v>
      </c>
      <c r="I221" s="11">
        <v>50.0</v>
      </c>
      <c r="J221" s="11"/>
      <c r="K221" s="15">
        <v>548.96</v>
      </c>
      <c r="L221" s="6" t="str">
        <f>IF(D221&lt;&gt;"",VLOOKUP(H221,TABLEITEM,2,FALSE),"")</f>
        <v>MAT ST</v>
      </c>
      <c r="M221" s="6" t="str">
        <f>IF(D221&lt;&gt;"",VLOOKUP(H221,TABLEITEM,3,FALSE),"")</f>
        <v>เหล็กแผ่นขาว4'x8'T1.0</v>
      </c>
      <c r="N221" s="7">
        <f>INSTOCK!$I221*INSTOCK!$K221</f>
        <v>27448</v>
      </c>
      <c r="O221" s="2" t="s">
        <v>295</v>
      </c>
      <c r="P221" s="2"/>
    </row>
    <row r="222" ht="18.0" customHeight="1">
      <c r="A222" s="1"/>
      <c r="B222" s="3">
        <v>221.0</v>
      </c>
      <c r="C222" s="13">
        <v>43193.0</v>
      </c>
      <c r="D222" s="14" t="s">
        <v>294</v>
      </c>
      <c r="E222" s="14">
        <v>6.103000388E9</v>
      </c>
      <c r="F222" s="11" t="s">
        <v>161</v>
      </c>
      <c r="G222" s="14" t="s">
        <v>171</v>
      </c>
      <c r="H222" s="14" t="s">
        <v>29</v>
      </c>
      <c r="I222" s="11">
        <v>103.0</v>
      </c>
      <c r="J222" s="11"/>
      <c r="K222" s="15">
        <v>365.825</v>
      </c>
      <c r="L222" s="6" t="str">
        <f>IF(D222&lt;&gt;"",VLOOKUP(H222,TABLEITEM,2,FALSE),"")</f>
        <v>MAT ST</v>
      </c>
      <c r="M222" s="6" t="str">
        <f>IF(D222&lt;&gt;"",VLOOKUP(H222,TABLEITEM,3,FALSE),"")</f>
        <v>เหล็กแผ่นขาว629x1942T1.6</v>
      </c>
      <c r="N222" s="7">
        <f>INSTOCK!$I222*INSTOCK!$K222</f>
        <v>37679.975</v>
      </c>
      <c r="O222" s="2" t="s">
        <v>296</v>
      </c>
      <c r="P222" s="2"/>
    </row>
    <row r="223" ht="18.0" customHeight="1">
      <c r="A223" s="1"/>
      <c r="B223" s="3">
        <v>222.0</v>
      </c>
      <c r="C223" s="13">
        <v>43193.0</v>
      </c>
      <c r="D223" s="14" t="s">
        <v>294</v>
      </c>
      <c r="E223" s="14">
        <v>6.103000388E9</v>
      </c>
      <c r="F223" s="11" t="s">
        <v>161</v>
      </c>
      <c r="G223" s="14" t="s">
        <v>171</v>
      </c>
      <c r="H223" s="14" t="s">
        <v>31</v>
      </c>
      <c r="I223" s="11">
        <v>100.0</v>
      </c>
      <c r="J223" s="11"/>
      <c r="K223" s="15">
        <v>482.4</v>
      </c>
      <c r="L223" s="6" t="str">
        <f>IF(D223&lt;&gt;"",VLOOKUP(H223,TABLEITEM,2,FALSE),"")</f>
        <v>MAT ST</v>
      </c>
      <c r="M223" s="6" t="str">
        <f>IF(D223&lt;&gt;"",VLOOKUP(H223,TABLEITEM,3,FALSE),"")</f>
        <v>เหล็กแผ่นขาว829x1942T1.6</v>
      </c>
      <c r="N223" s="7">
        <f>INSTOCK!$I223*INSTOCK!$K223</f>
        <v>48240</v>
      </c>
      <c r="O223" s="2" t="s">
        <v>297</v>
      </c>
      <c r="P223" s="2"/>
    </row>
    <row r="224" ht="18.0" customHeight="1">
      <c r="A224" s="1"/>
      <c r="B224" s="3">
        <v>223.0</v>
      </c>
      <c r="C224" s="13">
        <v>43193.0</v>
      </c>
      <c r="D224" s="14" t="s">
        <v>294</v>
      </c>
      <c r="E224" s="14">
        <v>6.103000388E9</v>
      </c>
      <c r="F224" s="11" t="s">
        <v>161</v>
      </c>
      <c r="G224" s="14" t="s">
        <v>171</v>
      </c>
      <c r="H224" s="14" t="s">
        <v>35</v>
      </c>
      <c r="I224" s="11">
        <v>92.0</v>
      </c>
      <c r="J224" s="11"/>
      <c r="K224" s="15">
        <v>532.173</v>
      </c>
      <c r="L224" s="6" t="str">
        <f>IF(D224&lt;&gt;"",VLOOKUP(H224,TABLEITEM,2,FALSE),"")</f>
        <v>MAT ST</v>
      </c>
      <c r="M224" s="6" t="str">
        <f>IF(D224&lt;&gt;"",VLOOKUP(H224,TABLEITEM,3,FALSE),"")</f>
        <v>เหล็กแผ่นขาว829x2142T1.6</v>
      </c>
      <c r="N224" s="7">
        <f>INSTOCK!$I224*INSTOCK!$K224</f>
        <v>48959.916</v>
      </c>
      <c r="O224" s="2" t="s">
        <v>298</v>
      </c>
      <c r="P224" s="2"/>
    </row>
    <row r="225" ht="18.0" customHeight="1">
      <c r="A225" s="1"/>
      <c r="B225" s="3">
        <v>224.0</v>
      </c>
      <c r="C225" s="13">
        <v>43193.0</v>
      </c>
      <c r="D225" s="14" t="s">
        <v>294</v>
      </c>
      <c r="E225" s="14">
        <v>6.103000388E9</v>
      </c>
      <c r="F225" s="11" t="s">
        <v>161</v>
      </c>
      <c r="G225" s="14" t="s">
        <v>171</v>
      </c>
      <c r="H225" s="14" t="s">
        <v>28</v>
      </c>
      <c r="I225" s="11">
        <v>82.0</v>
      </c>
      <c r="J225" s="11"/>
      <c r="K225" s="15">
        <v>433.17</v>
      </c>
      <c r="L225" s="6" t="str">
        <f>IF(D225&lt;&gt;"",VLOOKUP(H225,TABLEITEM,2,FALSE),"")</f>
        <v>MAT ST</v>
      </c>
      <c r="M225" s="6" t="str">
        <f>IF(D225&lt;&gt;"",VLOOKUP(H225,TABLEITEM,3,FALSE),"")</f>
        <v>เหล็กแผ่นขาว590x2440T1.6</v>
      </c>
      <c r="N225" s="7">
        <f>INSTOCK!$I225*INSTOCK!$K225</f>
        <v>35519.94</v>
      </c>
      <c r="O225" s="2" t="s">
        <v>299</v>
      </c>
      <c r="P225" s="2"/>
    </row>
    <row r="226" ht="18.0" customHeight="1">
      <c r="A226" s="1"/>
      <c r="B226" s="3">
        <v>225.0</v>
      </c>
      <c r="C226" s="13">
        <v>43193.0</v>
      </c>
      <c r="D226" s="14" t="s">
        <v>294</v>
      </c>
      <c r="E226" s="14">
        <v>6.103000388E9</v>
      </c>
      <c r="F226" s="11" t="s">
        <v>161</v>
      </c>
      <c r="G226" s="14" t="s">
        <v>171</v>
      </c>
      <c r="H226" s="14" t="s">
        <v>27</v>
      </c>
      <c r="I226" s="11">
        <v>169.0</v>
      </c>
      <c r="J226" s="11"/>
      <c r="K226" s="15">
        <v>286.863</v>
      </c>
      <c r="L226" s="6" t="str">
        <f>IF(D226&lt;&gt;"",VLOOKUP(H226,TABLEITEM,2,FALSE),"")</f>
        <v>MAT ST</v>
      </c>
      <c r="M226" s="6" t="str">
        <f>IF(D226&lt;&gt;"",VLOOKUP(H226,TABLEITEM,3,FALSE),"")</f>
        <v>เหล็กแผ่นขาว390x2440T1.6</v>
      </c>
      <c r="N226" s="7">
        <f>INSTOCK!$I226*INSTOCK!$K226</f>
        <v>48479.847</v>
      </c>
      <c r="O226" s="2" t="s">
        <v>300</v>
      </c>
      <c r="P226" s="2"/>
    </row>
    <row r="227" ht="18.0" customHeight="1">
      <c r="A227" s="1"/>
      <c r="B227" s="3">
        <v>226.0</v>
      </c>
      <c r="C227" s="13">
        <v>43193.0</v>
      </c>
      <c r="D227" s="14" t="s">
        <v>294</v>
      </c>
      <c r="E227" s="14">
        <v>6.103000388E9</v>
      </c>
      <c r="F227" s="11" t="s">
        <v>161</v>
      </c>
      <c r="G227" s="14" t="s">
        <v>171</v>
      </c>
      <c r="H227" s="14" t="s">
        <v>301</v>
      </c>
      <c r="I227" s="11">
        <v>81.0</v>
      </c>
      <c r="J227" s="11"/>
      <c r="K227" s="15">
        <v>24.0</v>
      </c>
      <c r="L227" s="6" t="str">
        <f>IF(D227&lt;&gt;"",VLOOKUP(H227,TABLEITEM,2,FALSE),"")</f>
        <v>MAT ST</v>
      </c>
      <c r="M227" s="6" t="str">
        <f>IF(D227&lt;&gt;"",VLOOKUP(H227,TABLEITEM,3,FALSE),"")</f>
        <v>เหล็กแผ่นขาวT1.6(เศษ)</v>
      </c>
      <c r="N227" s="7">
        <f>INSTOCK!$I227*INSTOCK!$K227</f>
        <v>1944</v>
      </c>
      <c r="O227" s="2" t="s">
        <v>302</v>
      </c>
      <c r="P227" s="2"/>
    </row>
    <row r="228" ht="18.0" customHeight="1">
      <c r="A228" s="1"/>
      <c r="B228" s="3">
        <v>227.0</v>
      </c>
      <c r="C228" s="13">
        <v>43194.0</v>
      </c>
      <c r="D228" s="14" t="s">
        <v>303</v>
      </c>
      <c r="E228" s="14">
        <v>6.103000407E9</v>
      </c>
      <c r="F228" s="11" t="s">
        <v>161</v>
      </c>
      <c r="G228" s="14" t="s">
        <v>192</v>
      </c>
      <c r="H228" s="14" t="s">
        <v>62</v>
      </c>
      <c r="I228" s="11">
        <v>34.0</v>
      </c>
      <c r="J228" s="11"/>
      <c r="K228" s="15">
        <v>2800.0</v>
      </c>
      <c r="L228" s="6" t="str">
        <f>IF(D228&lt;&gt;"",VLOOKUP(H228,TABLEITEM,2,FALSE),"")</f>
        <v>MAT ST</v>
      </c>
      <c r="M228" s="6" t="str">
        <f>IF(D228&lt;&gt;"",VLOOKUP(H228,TABLEITEM,3,FALSE),"")</f>
        <v>สแตนเลสแผ่น4'x8'T1.5</v>
      </c>
      <c r="N228" s="7">
        <f>INSTOCK!$I228*INSTOCK!$K228</f>
        <v>95200</v>
      </c>
      <c r="O228" s="2" t="s">
        <v>304</v>
      </c>
      <c r="P228" s="2"/>
    </row>
    <row r="229" ht="18.0" customHeight="1">
      <c r="A229" s="1"/>
      <c r="B229" s="3">
        <v>228.0</v>
      </c>
      <c r="C229" s="13">
        <v>43208.0</v>
      </c>
      <c r="D229" s="14" t="s">
        <v>305</v>
      </c>
      <c r="E229" s="14">
        <v>6.104000449E9</v>
      </c>
      <c r="F229" s="11" t="s">
        <v>306</v>
      </c>
      <c r="G229" s="14" t="s">
        <v>219</v>
      </c>
      <c r="H229" s="14" t="s">
        <v>61</v>
      </c>
      <c r="I229" s="11">
        <v>60.0</v>
      </c>
      <c r="J229" s="11"/>
      <c r="K229" s="15">
        <v>2300.0</v>
      </c>
      <c r="L229" s="6" t="str">
        <f>IF(D229&lt;&gt;"",VLOOKUP(H229,TABLEITEM,2,FALSE),"")</f>
        <v>MAT ST</v>
      </c>
      <c r="M229" s="6" t="str">
        <f>IF(D229&lt;&gt;"",VLOOKUP(H229,TABLEITEM,3,FALSE),"")</f>
        <v>สแตนเลสแผ่น4'x8'T1.2</v>
      </c>
      <c r="N229" s="7">
        <f>INSTOCK!$I229*INSTOCK!$K229</f>
        <v>138000</v>
      </c>
      <c r="O229" s="2" t="s">
        <v>304</v>
      </c>
      <c r="P229" s="2"/>
    </row>
    <row r="230" ht="18.0" customHeight="1">
      <c r="A230" s="1"/>
      <c r="B230" s="3">
        <v>229.0</v>
      </c>
      <c r="C230" s="13">
        <v>43208.0</v>
      </c>
      <c r="D230" s="14" t="s">
        <v>305</v>
      </c>
      <c r="E230" s="14">
        <v>6.104000449E9</v>
      </c>
      <c r="F230" s="11" t="s">
        <v>306</v>
      </c>
      <c r="G230" s="14" t="s">
        <v>219</v>
      </c>
      <c r="H230" s="14" t="s">
        <v>66</v>
      </c>
      <c r="I230" s="11">
        <v>2.0</v>
      </c>
      <c r="J230" s="11"/>
      <c r="K230" s="15">
        <v>5700.0</v>
      </c>
      <c r="L230" s="6" t="str">
        <f>IF(D230&lt;&gt;"",VLOOKUP(H230,TABLEITEM,2,FALSE),"")</f>
        <v>MAT ST</v>
      </c>
      <c r="M230" s="6" t="str">
        <f>IF(D230&lt;&gt;"",VLOOKUP(H230,TABLEITEM,3,FALSE),"")</f>
        <v>สแตนเลสแผ่น4'x8'T3.0</v>
      </c>
      <c r="N230" s="7">
        <f>INSTOCK!$I230*INSTOCK!$K230</f>
        <v>11400</v>
      </c>
      <c r="O230" s="2" t="s">
        <v>304</v>
      </c>
      <c r="P230" s="2"/>
    </row>
    <row r="231" ht="18.0" customHeight="1">
      <c r="A231" s="1"/>
      <c r="B231" s="3">
        <v>230.0</v>
      </c>
      <c r="C231" s="13">
        <v>43210.0</v>
      </c>
      <c r="D231" s="14" t="s">
        <v>307</v>
      </c>
      <c r="E231" s="14">
        <v>6.1041000465E10</v>
      </c>
      <c r="F231" s="11" t="s">
        <v>161</v>
      </c>
      <c r="G231" s="14" t="s">
        <v>165</v>
      </c>
      <c r="H231" s="14" t="s">
        <v>75</v>
      </c>
      <c r="I231" s="11">
        <v>5.0</v>
      </c>
      <c r="J231" s="11"/>
      <c r="K231" s="15">
        <v>3450.0</v>
      </c>
      <c r="L231" s="6" t="str">
        <f>IF(D231&lt;&gt;"",VLOOKUP(H231,TABLEITEM,2,FALSE),"")</f>
        <v>PART</v>
      </c>
      <c r="M231" s="6" t="str">
        <f>IF(D231&lt;&gt;"",VLOOKUP(H231,TABLEITEM,3,FALSE),"")</f>
        <v>แผ่นเบกไลท์ 1220x2440T5.0</v>
      </c>
      <c r="N231" s="7">
        <f>INSTOCK!$I231*INSTOCK!$K231</f>
        <v>17250</v>
      </c>
      <c r="O231" s="2"/>
      <c r="P231" s="2"/>
    </row>
    <row r="232" ht="18.0" customHeight="1">
      <c r="A232" s="1"/>
      <c r="B232" s="3">
        <v>231.0</v>
      </c>
      <c r="C232" s="13">
        <v>43211.0</v>
      </c>
      <c r="D232" s="14" t="s">
        <v>308</v>
      </c>
      <c r="E232" s="14">
        <v>6.104000462E9</v>
      </c>
      <c r="F232" s="11" t="s">
        <v>161</v>
      </c>
      <c r="G232" s="14" t="s">
        <v>153</v>
      </c>
      <c r="H232" s="14" t="s">
        <v>244</v>
      </c>
      <c r="I232" s="11">
        <v>30.0</v>
      </c>
      <c r="J232" s="11"/>
      <c r="K232" s="15">
        <v>2300.0</v>
      </c>
      <c r="L232" s="6" t="str">
        <f>IF(D232&lt;&gt;"",VLOOKUP(H232,TABLEITEM,2,FALSE),"")</f>
        <v>MAT ST</v>
      </c>
      <c r="M232" s="6" t="str">
        <f>IF(D232&lt;&gt;"",VLOOKUP(H232,TABLEITEM,3,FALSE),"")</f>
        <v>แผ่นอลูมิเนียม4'x8'T3.0</v>
      </c>
      <c r="N232" s="7">
        <f>INSTOCK!$I232*INSTOCK!$K232</f>
        <v>69000</v>
      </c>
      <c r="O232" s="2"/>
      <c r="P232" s="2"/>
    </row>
    <row r="233" ht="18.0" customHeight="1">
      <c r="A233" s="1"/>
      <c r="B233" s="3">
        <v>232.0</v>
      </c>
      <c r="C233" s="13">
        <v>43211.0</v>
      </c>
      <c r="D233" s="14" t="s">
        <v>308</v>
      </c>
      <c r="E233" s="14">
        <v>6.104000462E9</v>
      </c>
      <c r="F233" s="11" t="s">
        <v>161</v>
      </c>
      <c r="G233" s="14" t="s">
        <v>153</v>
      </c>
      <c r="H233" s="14" t="s">
        <v>72</v>
      </c>
      <c r="I233" s="11">
        <v>20.0</v>
      </c>
      <c r="J233" s="11"/>
      <c r="K233" s="15">
        <v>4990.0</v>
      </c>
      <c r="L233" s="6" t="str">
        <f>IF(D233&lt;&gt;"",VLOOKUP(H233,TABLEITEM,2,FALSE),"")</f>
        <v>MAT ST</v>
      </c>
      <c r="M233" s="6" t="str">
        <f>IF(D233&lt;&gt;"",VLOOKUP(H233,TABLEITEM,3,FALSE),"")</f>
        <v>แผ่นอลูมิเนียม4'x8'T6.0</v>
      </c>
      <c r="N233" s="7">
        <f>INSTOCK!$I233*INSTOCK!$K233</f>
        <v>99800</v>
      </c>
      <c r="O233" s="2"/>
      <c r="P233" s="2"/>
    </row>
    <row r="234" ht="18.0" customHeight="1">
      <c r="A234" s="1"/>
      <c r="B234" s="3">
        <v>233.0</v>
      </c>
      <c r="C234" s="13">
        <v>43213.0</v>
      </c>
      <c r="D234" s="14" t="s">
        <v>309</v>
      </c>
      <c r="E234" s="14">
        <v>6.104000463E9</v>
      </c>
      <c r="F234" s="11" t="s">
        <v>161</v>
      </c>
      <c r="G234" s="14" t="s">
        <v>171</v>
      </c>
      <c r="H234" s="14" t="s">
        <v>21</v>
      </c>
      <c r="I234" s="11">
        <v>250.0</v>
      </c>
      <c r="J234" s="11"/>
      <c r="K234" s="15">
        <v>1097.872</v>
      </c>
      <c r="L234" s="6" t="str">
        <f>IF(D234&lt;&gt;"",VLOOKUP(H234,TABLEITEM,2,FALSE),"")</f>
        <v>MAT ST</v>
      </c>
      <c r="M234" s="6" t="str">
        <f>IF(D234&lt;&gt;"",VLOOKUP(H234,TABLEITEM,3,FALSE),"")</f>
        <v>เหล็กแผ่นขาว4'x8'T2.0</v>
      </c>
      <c r="N234" s="7">
        <f>INSTOCK!$I234*INSTOCK!$K234</f>
        <v>274468</v>
      </c>
      <c r="O234" s="2" t="s">
        <v>310</v>
      </c>
      <c r="P234" s="2"/>
    </row>
    <row r="235" ht="18.0" customHeight="1">
      <c r="A235" s="1"/>
      <c r="B235" s="3">
        <v>234.0</v>
      </c>
      <c r="C235" s="13">
        <v>43213.0</v>
      </c>
      <c r="D235" s="14" t="s">
        <v>311</v>
      </c>
      <c r="E235" s="14">
        <v>6.104000463E9</v>
      </c>
      <c r="F235" s="11" t="s">
        <v>161</v>
      </c>
      <c r="G235" s="14" t="s">
        <v>171</v>
      </c>
      <c r="H235" s="14" t="s">
        <v>42</v>
      </c>
      <c r="I235" s="11">
        <v>200.0</v>
      </c>
      <c r="J235" s="11"/>
      <c r="K235" s="15">
        <v>1299.6</v>
      </c>
      <c r="L235" s="6" t="str">
        <f>IF(D235&lt;&gt;"",VLOOKUP(H235,TABLEITEM,2,FALSE),"")</f>
        <v>MAT ST</v>
      </c>
      <c r="M235" s="6" t="str">
        <f>IF(D235&lt;&gt;"",VLOOKUP(H235,TABLEITEM,3,FALSE),"")</f>
        <v>เหล็กแผ่นEG4'x8'T2.0</v>
      </c>
      <c r="N235" s="7">
        <f>INSTOCK!$I235*INSTOCK!$K235</f>
        <v>259920</v>
      </c>
      <c r="O235" s="2" t="s">
        <v>312</v>
      </c>
      <c r="P235" s="2"/>
    </row>
    <row r="236" ht="18.0" customHeight="1">
      <c r="A236" s="1"/>
      <c r="B236" s="3">
        <v>235.0</v>
      </c>
      <c r="C236" s="13">
        <v>43214.0</v>
      </c>
      <c r="D236" s="14" t="s">
        <v>313</v>
      </c>
      <c r="E236" s="14">
        <v>6.104000488E9</v>
      </c>
      <c r="F236" s="11" t="s">
        <v>314</v>
      </c>
      <c r="G236" s="14" t="s">
        <v>240</v>
      </c>
      <c r="H236" s="14" t="s">
        <v>315</v>
      </c>
      <c r="I236" s="11">
        <v>12.0</v>
      </c>
      <c r="J236" s="11" t="s">
        <v>78</v>
      </c>
      <c r="K236" s="15">
        <v>37.5</v>
      </c>
      <c r="L236" s="10" t="str">
        <f>IF(D236&lt;&gt;"",VLOOKUP(H236,TABLEITEM,2,FALSE),"")</f>
        <v>PART</v>
      </c>
      <c r="M236" s="10" t="str">
        <f>IF(D236&lt;&gt;"",VLOOKUP(H236,TABLEITEM,3,FALSE),"")</f>
        <v>เหล็กท่อกลม 3/4" หนา 2.3 มิล</v>
      </c>
      <c r="N236" s="7">
        <f>INSTOCK!$I236*INSTOCK!$K236</f>
        <v>450</v>
      </c>
      <c r="O236" s="2"/>
      <c r="P236" s="2"/>
    </row>
    <row r="237" ht="18.0" customHeight="1">
      <c r="A237" s="1"/>
      <c r="B237" s="3">
        <v>236.0</v>
      </c>
      <c r="C237" s="13">
        <v>43214.0</v>
      </c>
      <c r="D237" s="14" t="s">
        <v>316</v>
      </c>
      <c r="E237" s="14">
        <v>6.104000463E9</v>
      </c>
      <c r="F237" s="11" t="s">
        <v>161</v>
      </c>
      <c r="G237" s="14" t="s">
        <v>171</v>
      </c>
      <c r="H237" s="14" t="s">
        <v>23</v>
      </c>
      <c r="I237" s="11">
        <v>200.0</v>
      </c>
      <c r="J237" s="11"/>
      <c r="K237" s="15">
        <v>1264.8</v>
      </c>
      <c r="L237" s="6" t="str">
        <f>IF(D237&lt;&gt;"",VLOOKUP(H237,TABLEITEM,2,FALSE),"")</f>
        <v>MAT ST</v>
      </c>
      <c r="M237" s="6" t="str">
        <f>IF(D237&lt;&gt;"",VLOOKUP(H237,TABLEITEM,3,FALSE),"")</f>
        <v>เหล็กแผ่นขาว4'x8'T2.3</v>
      </c>
      <c r="N237" s="7">
        <f>INSTOCK!$I237*INSTOCK!$K237</f>
        <v>252960</v>
      </c>
      <c r="O237" s="2" t="s">
        <v>317</v>
      </c>
      <c r="P237" s="2"/>
    </row>
    <row r="238" ht="18.0" customHeight="1">
      <c r="A238" s="1"/>
      <c r="B238" s="3">
        <v>237.0</v>
      </c>
      <c r="C238" s="13">
        <v>43214.0</v>
      </c>
      <c r="D238" s="14" t="s">
        <v>318</v>
      </c>
      <c r="E238" s="14">
        <v>6.104000463E9</v>
      </c>
      <c r="F238" s="11" t="s">
        <v>161</v>
      </c>
      <c r="G238" s="14" t="s">
        <v>171</v>
      </c>
      <c r="H238" s="14" t="s">
        <v>42</v>
      </c>
      <c r="I238" s="11">
        <v>100.0</v>
      </c>
      <c r="J238" s="11"/>
      <c r="K238" s="15">
        <v>1605.975</v>
      </c>
      <c r="L238" s="6" t="str">
        <f>IF(D238&lt;&gt;"",VLOOKUP(H238,TABLEITEM,2,FALSE),"")</f>
        <v>MAT ST</v>
      </c>
      <c r="M238" s="6" t="str">
        <f>IF(D238&lt;&gt;"",VLOOKUP(H238,TABLEITEM,3,FALSE),"")</f>
        <v>เหล็กแผ่นEG4'x8'T2.0</v>
      </c>
      <c r="N238" s="7">
        <f>INSTOCK!$I238*INSTOCK!$K238</f>
        <v>160597.5</v>
      </c>
      <c r="O238" s="2" t="s">
        <v>319</v>
      </c>
      <c r="P238" s="2"/>
    </row>
    <row r="239" ht="18.0" customHeight="1">
      <c r="A239" s="1"/>
      <c r="B239" s="3">
        <v>238.0</v>
      </c>
      <c r="C239" s="13">
        <v>43214.0</v>
      </c>
      <c r="D239" s="14" t="s">
        <v>318</v>
      </c>
      <c r="E239" s="14">
        <v>6.104000463E9</v>
      </c>
      <c r="F239" s="11" t="s">
        <v>161</v>
      </c>
      <c r="G239" s="14" t="s">
        <v>171</v>
      </c>
      <c r="H239" s="14" t="s">
        <v>21</v>
      </c>
      <c r="I239" s="11">
        <v>150.0</v>
      </c>
      <c r="J239" s="11"/>
      <c r="K239" s="15">
        <v>1097.872</v>
      </c>
      <c r="L239" s="6" t="str">
        <f>IF(D239&lt;&gt;"",VLOOKUP(H239,TABLEITEM,2,FALSE),"")</f>
        <v>MAT ST</v>
      </c>
      <c r="M239" s="6" t="str">
        <f>IF(D239&lt;&gt;"",VLOOKUP(H239,TABLEITEM,3,FALSE),"")</f>
        <v>เหล็กแผ่นขาว4'x8'T2.0</v>
      </c>
      <c r="N239" s="7">
        <f>INSTOCK!$I239*INSTOCK!$K239</f>
        <v>164680.8</v>
      </c>
      <c r="O239" s="2" t="s">
        <v>320</v>
      </c>
      <c r="P239" s="2"/>
    </row>
    <row r="240" ht="18.0" customHeight="1">
      <c r="A240" s="1"/>
      <c r="B240" s="3">
        <v>239.0</v>
      </c>
      <c r="C240" s="13">
        <v>43215.0</v>
      </c>
      <c r="D240" s="14" t="s">
        <v>321</v>
      </c>
      <c r="E240" s="14">
        <v>6.104000497E9</v>
      </c>
      <c r="F240" s="11" t="s">
        <v>322</v>
      </c>
      <c r="G240" s="14" t="s">
        <v>153</v>
      </c>
      <c r="H240" s="14" t="s">
        <v>323</v>
      </c>
      <c r="I240" s="11">
        <v>12.0</v>
      </c>
      <c r="J240" s="11" t="s">
        <v>78</v>
      </c>
      <c r="K240" s="15">
        <v>308.33</v>
      </c>
      <c r="L240" s="10" t="str">
        <f>IF(D240&lt;&gt;"",VLOOKUP(H240,TABLEITEM,2,FALSE),"")</f>
        <v>MAT ST</v>
      </c>
      <c r="M240" s="10" t="str">
        <f>IF(D240&lt;&gt;"",VLOOKUP(H240,TABLEITEM,3,FALSE),"")</f>
        <v>เพลาสแตนเลส 5/8 หนา 16 มิล</v>
      </c>
      <c r="N240" s="7">
        <f>INSTOCK!$I240*INSTOCK!$K240</f>
        <v>3699.96</v>
      </c>
      <c r="O240" s="2" t="s">
        <v>193</v>
      </c>
      <c r="P240" s="2"/>
    </row>
    <row r="241" ht="18.0" customHeight="1">
      <c r="A241" s="1"/>
      <c r="B241" s="3">
        <v>240.0</v>
      </c>
      <c r="C241" s="13">
        <v>43215.0</v>
      </c>
      <c r="D241" s="14" t="s">
        <v>321</v>
      </c>
      <c r="E241" s="14">
        <v>6.104000497E9</v>
      </c>
      <c r="F241" s="11" t="s">
        <v>322</v>
      </c>
      <c r="G241" s="14" t="s">
        <v>153</v>
      </c>
      <c r="H241" s="14" t="s">
        <v>135</v>
      </c>
      <c r="I241" s="11">
        <v>12.0</v>
      </c>
      <c r="J241" s="11" t="s">
        <v>78</v>
      </c>
      <c r="K241" s="15">
        <v>46.67</v>
      </c>
      <c r="L241" s="10" t="str">
        <f>IF(D241&lt;&gt;"",VLOOKUP(H241,TABLEITEM,2,FALSE),"")</f>
        <v>MAT ST</v>
      </c>
      <c r="M241" s="10" t="str">
        <f>IF(D241&lt;&gt;"",VLOOKUP(H241,TABLEITEM,3,FALSE),"")</f>
        <v>ท่อสแตนเลส3/4 หนา1.0</v>
      </c>
      <c r="N241" s="7">
        <f>INSTOCK!$I241*INSTOCK!$K241</f>
        <v>560.04</v>
      </c>
      <c r="O241" s="2" t="s">
        <v>193</v>
      </c>
      <c r="P241" s="2"/>
    </row>
    <row r="242" ht="18.0" customHeight="1">
      <c r="A242" s="1"/>
      <c r="B242" s="3">
        <v>241.0</v>
      </c>
      <c r="C242" s="13">
        <v>43215.0</v>
      </c>
      <c r="D242" s="14" t="s">
        <v>321</v>
      </c>
      <c r="E242" s="14">
        <v>6.104000497E9</v>
      </c>
      <c r="F242" s="11" t="s">
        <v>322</v>
      </c>
      <c r="G242" s="14" t="s">
        <v>153</v>
      </c>
      <c r="H242" s="14" t="s">
        <v>324</v>
      </c>
      <c r="I242" s="11">
        <v>12.0</v>
      </c>
      <c r="J242" s="11" t="s">
        <v>78</v>
      </c>
      <c r="K242" s="15">
        <v>43.33</v>
      </c>
      <c r="L242" s="10" t="str">
        <f>IF(D242&lt;&gt;"",VLOOKUP(H242,TABLEITEM,2,FALSE),"")</f>
        <v>MAT ST</v>
      </c>
      <c r="M242" s="10" t="str">
        <f>IF(D242&lt;&gt;"",VLOOKUP(H242,TABLEITEM,3,FALSE),"")</f>
        <v>ท่อสแตนเลส 5/8 หนา 1.0</v>
      </c>
      <c r="N242" s="7">
        <f>INSTOCK!$I242*INSTOCK!$K242</f>
        <v>519.96</v>
      </c>
      <c r="O242" s="2" t="s">
        <v>193</v>
      </c>
      <c r="P242" s="2"/>
    </row>
    <row r="243" ht="18.0" customHeight="1">
      <c r="A243" s="1"/>
      <c r="B243" s="3">
        <v>242.0</v>
      </c>
      <c r="C243" s="13">
        <v>43215.0</v>
      </c>
      <c r="D243" s="14" t="s">
        <v>325</v>
      </c>
      <c r="E243" s="14">
        <v>6.104000461E9</v>
      </c>
      <c r="F243" s="11" t="s">
        <v>161</v>
      </c>
      <c r="G243" s="14" t="s">
        <v>202</v>
      </c>
      <c r="H243" s="14" t="s">
        <v>79</v>
      </c>
      <c r="I243" s="11">
        <v>600.0</v>
      </c>
      <c r="J243" s="11" t="s">
        <v>78</v>
      </c>
      <c r="K243" s="15">
        <v>151.67</v>
      </c>
      <c r="L243" s="10" t="str">
        <f>IF(D243&lt;&gt;"",VLOOKUP(H243,TABLEITEM,2,FALSE),"")</f>
        <v>MAT ST</v>
      </c>
      <c r="M243" s="10" t="str">
        <f>IF(D243&lt;&gt;"",VLOOKUP(H243,TABLEITEM,3,FALSE),"")</f>
        <v>เหล็กรางน้ำ U' 3</v>
      </c>
      <c r="N243" s="7">
        <f>INSTOCK!$I243*INSTOCK!$K243</f>
        <v>91002</v>
      </c>
      <c r="O243" s="2"/>
      <c r="P243" s="2"/>
    </row>
    <row r="244" ht="18.0" customHeight="1">
      <c r="A244" s="1"/>
      <c r="B244" s="3">
        <v>243.0</v>
      </c>
      <c r="C244" s="13">
        <v>43215.0</v>
      </c>
      <c r="D244" s="14" t="s">
        <v>325</v>
      </c>
      <c r="E244" s="14">
        <v>6.104000461E9</v>
      </c>
      <c r="F244" s="11" t="s">
        <v>161</v>
      </c>
      <c r="G244" s="14" t="s">
        <v>202</v>
      </c>
      <c r="H244" s="14" t="s">
        <v>54</v>
      </c>
      <c r="I244" s="11">
        <v>100.0</v>
      </c>
      <c r="J244" s="11"/>
      <c r="K244" s="15">
        <v>2725.0</v>
      </c>
      <c r="L244" s="6" t="str">
        <f>IF(D244&lt;&gt;"",VLOOKUP(H244,TABLEITEM,2,FALSE),"")</f>
        <v>MAT ST</v>
      </c>
      <c r="M244" s="6" t="str">
        <f>IF(D244&lt;&gt;"",VLOOKUP(H244,TABLEITEM,3,FALSE),"")</f>
        <v>เหล็กแผ่นดำ5'x10'T3.0</v>
      </c>
      <c r="N244" s="7">
        <f>INSTOCK!$I244*INSTOCK!$K244</f>
        <v>272500</v>
      </c>
      <c r="O244" s="2"/>
      <c r="P244" s="2"/>
    </row>
    <row r="245" ht="18.0" customHeight="1">
      <c r="A245" s="1"/>
      <c r="B245" s="3">
        <v>244.0</v>
      </c>
      <c r="C245" s="13">
        <v>43215.0</v>
      </c>
      <c r="D245" s="14" t="s">
        <v>326</v>
      </c>
      <c r="E245" s="14">
        <v>6.104000463E9</v>
      </c>
      <c r="F245" s="11" t="s">
        <v>161</v>
      </c>
      <c r="G245" s="14" t="s">
        <v>171</v>
      </c>
      <c r="H245" s="14" t="s">
        <v>25</v>
      </c>
      <c r="I245" s="11">
        <v>66.0</v>
      </c>
      <c r="J245" s="11"/>
      <c r="K245" s="15">
        <v>1687.53</v>
      </c>
      <c r="L245" s="6" t="str">
        <f>IF(D245&lt;&gt;"",VLOOKUP(H245,TABLEITEM,2,FALSE),"")</f>
        <v>MAT ST</v>
      </c>
      <c r="M245" s="6" t="str">
        <f>IF(D245&lt;&gt;"",VLOOKUP(H245,TABLEITEM,3,FALSE),"")</f>
        <v>เหล็กแผ่นขาว4'x8'T3.0</v>
      </c>
      <c r="N245" s="7">
        <f>INSTOCK!$I245*INSTOCK!$K245</f>
        <v>111376.98</v>
      </c>
      <c r="O245" s="2" t="s">
        <v>327</v>
      </c>
      <c r="P245" s="2"/>
    </row>
    <row r="246" ht="18.0" customHeight="1">
      <c r="A246" s="1"/>
      <c r="B246" s="3">
        <v>245.0</v>
      </c>
      <c r="C246" s="13">
        <v>43215.0</v>
      </c>
      <c r="D246" s="14" t="s">
        <v>328</v>
      </c>
      <c r="E246" s="14">
        <v>6.104000463E9</v>
      </c>
      <c r="F246" s="11" t="s">
        <v>161</v>
      </c>
      <c r="G246" s="14" t="s">
        <v>171</v>
      </c>
      <c r="H246" s="14" t="s">
        <v>25</v>
      </c>
      <c r="I246" s="11">
        <v>134.0</v>
      </c>
      <c r="J246" s="11"/>
      <c r="K246" s="15">
        <v>1686.477</v>
      </c>
      <c r="L246" s="6" t="str">
        <f>IF(D246&lt;&gt;"",VLOOKUP(H246,TABLEITEM,2,FALSE),"")</f>
        <v>MAT ST</v>
      </c>
      <c r="M246" s="6" t="str">
        <f>IF(D246&lt;&gt;"",VLOOKUP(H246,TABLEITEM,3,FALSE),"")</f>
        <v>เหล็กแผ่นขาว4'x8'T3.0</v>
      </c>
      <c r="N246" s="7">
        <f>INSTOCK!$I246*INSTOCK!$K246</f>
        <v>225987.918</v>
      </c>
      <c r="O246" s="2" t="s">
        <v>329</v>
      </c>
      <c r="P246" s="2"/>
    </row>
    <row r="247" ht="18.0" customHeight="1">
      <c r="A247" s="1"/>
      <c r="B247" s="3">
        <v>246.0</v>
      </c>
      <c r="C247" s="13">
        <v>43222.0</v>
      </c>
      <c r="D247" s="14" t="s">
        <v>330</v>
      </c>
      <c r="E247" s="14">
        <v>6.105000524E9</v>
      </c>
      <c r="F247" s="11" t="s">
        <v>331</v>
      </c>
      <c r="G247" s="14" t="s">
        <v>165</v>
      </c>
      <c r="H247" s="14" t="s">
        <v>332</v>
      </c>
      <c r="I247" s="11">
        <v>1.0</v>
      </c>
      <c r="J247" s="11"/>
      <c r="K247" s="15">
        <v>3800.0</v>
      </c>
      <c r="L247" s="6" t="str">
        <f>IF(D247&lt;&gt;"",VLOOKUP(H247,TABLEITEM,2,FALSE),"")</f>
        <v>MAT ST</v>
      </c>
      <c r="M247" s="6" t="str">
        <f>IF(D247&lt;&gt;"",VLOOKUP(H247,TABLEITEM,3,FALSE),"")</f>
        <v>แผ่นโพลีคาร์บอเนต 4'x8' T4</v>
      </c>
      <c r="N247" s="7">
        <f>INSTOCK!$I247*INSTOCK!$K247</f>
        <v>3800</v>
      </c>
      <c r="O247" s="2"/>
      <c r="P247" s="2"/>
    </row>
    <row r="248" ht="18.0" customHeight="1">
      <c r="A248" s="1"/>
      <c r="B248" s="3">
        <v>247.0</v>
      </c>
      <c r="C248" s="13">
        <v>43229.0</v>
      </c>
      <c r="D248" s="14" t="s">
        <v>333</v>
      </c>
      <c r="E248" s="14">
        <v>6.105000551E9</v>
      </c>
      <c r="F248" s="11" t="s">
        <v>161</v>
      </c>
      <c r="G248" s="14" t="s">
        <v>165</v>
      </c>
      <c r="H248" s="14" t="s">
        <v>75</v>
      </c>
      <c r="I248" s="11">
        <v>5.0</v>
      </c>
      <c r="J248" s="11"/>
      <c r="K248" s="15">
        <v>3450.0</v>
      </c>
      <c r="L248" s="6" t="str">
        <f>IF(D248&lt;&gt;"",VLOOKUP(H248,TABLEITEM,2,FALSE),"")</f>
        <v>PART</v>
      </c>
      <c r="M248" s="6" t="str">
        <f>IF(D248&lt;&gt;"",VLOOKUP(H248,TABLEITEM,3,FALSE),"")</f>
        <v>แผ่นเบกไลท์ 1220x2440T5.0</v>
      </c>
      <c r="N248" s="7">
        <f>INSTOCK!$I248*INSTOCK!$K248</f>
        <v>17250</v>
      </c>
      <c r="O248" s="2"/>
      <c r="P248" s="2"/>
    </row>
    <row r="249" ht="18.0" customHeight="1">
      <c r="A249" s="1"/>
      <c r="B249" s="3">
        <v>248.0</v>
      </c>
      <c r="C249" s="13">
        <v>43230.0</v>
      </c>
      <c r="D249" s="14" t="s">
        <v>334</v>
      </c>
      <c r="E249" s="14">
        <v>6.105000559E9</v>
      </c>
      <c r="F249" s="11" t="s">
        <v>335</v>
      </c>
      <c r="G249" s="14" t="s">
        <v>165</v>
      </c>
      <c r="H249" s="2" t="s">
        <v>74</v>
      </c>
      <c r="I249" s="11">
        <v>15.0</v>
      </c>
      <c r="J249" s="11"/>
      <c r="K249" s="15">
        <v>1350.0</v>
      </c>
      <c r="L249" s="6" t="str">
        <f>IF(D249&lt;&gt;"",VLOOKUP(H249,TABLEITEM,2,FALSE),"")</f>
        <v>PART</v>
      </c>
      <c r="M249" s="6" t="str">
        <f>IF(D249&lt;&gt;"",VLOOKUP(H249,TABLEITEM,3,FALSE),"")</f>
        <v>อคิลิคใส4x8T3.0</v>
      </c>
      <c r="N249" s="7">
        <f>INSTOCK!$I249*INSTOCK!$K249</f>
        <v>20250</v>
      </c>
      <c r="O249" s="2"/>
      <c r="P249" s="2"/>
    </row>
    <row r="250" ht="18.0" hidden="1" customHeight="1">
      <c r="A250" s="1"/>
      <c r="B250" s="3">
        <v>249.0</v>
      </c>
      <c r="C250" s="13">
        <v>43231.0</v>
      </c>
      <c r="D250" s="14" t="s">
        <v>336</v>
      </c>
      <c r="E250" s="14">
        <v>6.10500055E9</v>
      </c>
      <c r="F250" s="11" t="s">
        <v>161</v>
      </c>
      <c r="G250" s="14" t="s">
        <v>202</v>
      </c>
      <c r="H250" s="14" t="s">
        <v>86</v>
      </c>
      <c r="I250" s="11">
        <v>480.0</v>
      </c>
      <c r="J250" s="11" t="s">
        <v>78</v>
      </c>
      <c r="K250" s="15">
        <v>67.5</v>
      </c>
      <c r="L250" s="10" t="str">
        <f>IF(D250&lt;&gt;"",VLOOKUP(H250,TABLEITEM,2,FALSE),"")</f>
        <v>MAT ST</v>
      </c>
      <c r="M250" s="10" t="str">
        <f>IF(D250&lt;&gt;"",VLOOKUP(H250,TABLEITEM,3,FALSE),"")</f>
        <v>เหล็กฉาก 1''1/2'หนา5 มิล</v>
      </c>
      <c r="N250" s="7">
        <f>INSTOCK!$I250*INSTOCK!$K250</f>
        <v>32400</v>
      </c>
      <c r="O250" s="2" t="s">
        <v>168</v>
      </c>
      <c r="P250" s="2"/>
    </row>
    <row r="251" ht="18.0" hidden="1" customHeight="1">
      <c r="A251" s="1"/>
      <c r="B251" s="3">
        <v>250.0</v>
      </c>
      <c r="C251" s="13">
        <v>43231.0</v>
      </c>
      <c r="D251" s="14" t="s">
        <v>336</v>
      </c>
      <c r="E251" s="14">
        <v>6.10500055E9</v>
      </c>
      <c r="F251" s="11" t="s">
        <v>161</v>
      </c>
      <c r="G251" s="14" t="s">
        <v>202</v>
      </c>
      <c r="H251" s="14" t="s">
        <v>89</v>
      </c>
      <c r="I251" s="11">
        <v>300.0</v>
      </c>
      <c r="J251" s="11" t="s">
        <v>78</v>
      </c>
      <c r="K251" s="15">
        <v>84.17</v>
      </c>
      <c r="L251" s="10" t="str">
        <f>IF(D251&lt;&gt;"",VLOOKUP(H251,TABLEITEM,2,FALSE),"")</f>
        <v>MAT ST</v>
      </c>
      <c r="M251" s="10" t="str">
        <f>IF(D251&lt;&gt;"",VLOOKUP(H251,TABLEITEM,3,FALSE),"")</f>
        <v>เหล็กฉาก 2''หนา5 มิล</v>
      </c>
      <c r="N251" s="7">
        <f>INSTOCK!$I251*INSTOCK!$K251</f>
        <v>25251</v>
      </c>
      <c r="O251" s="2" t="s">
        <v>168</v>
      </c>
      <c r="P251" s="2"/>
    </row>
    <row r="252" ht="18.0" hidden="1" customHeight="1">
      <c r="A252" s="1"/>
      <c r="B252" s="3">
        <v>251.0</v>
      </c>
      <c r="C252" s="13">
        <v>43231.0</v>
      </c>
      <c r="D252" s="14" t="s">
        <v>336</v>
      </c>
      <c r="E252" s="14">
        <v>6.10500055E9</v>
      </c>
      <c r="F252" s="11" t="s">
        <v>161</v>
      </c>
      <c r="G252" s="14" t="s">
        <v>202</v>
      </c>
      <c r="H252" s="14" t="s">
        <v>55</v>
      </c>
      <c r="I252" s="11">
        <v>10.0</v>
      </c>
      <c r="J252" s="11"/>
      <c r="K252" s="15">
        <v>4070.0</v>
      </c>
      <c r="L252" s="6" t="str">
        <f>IF(D252&lt;&gt;"",VLOOKUP(H252,TABLEITEM,2,FALSE),"")</f>
        <v>MAT ST</v>
      </c>
      <c r="M252" s="6" t="str">
        <f>IF(D252&lt;&gt;"",VLOOKUP(H252,TABLEITEM,3,FALSE),"")</f>
        <v>เหล็กแผ่นดำ5'x10'T4.5</v>
      </c>
      <c r="N252" s="7">
        <f>INSTOCK!$I252*INSTOCK!$K252</f>
        <v>40700</v>
      </c>
      <c r="O252" s="2"/>
      <c r="P252" s="2"/>
    </row>
    <row r="253" ht="18.0" hidden="1" customHeight="1">
      <c r="A253" s="1"/>
      <c r="B253" s="3">
        <v>252.0</v>
      </c>
      <c r="C253" s="13">
        <v>43231.0</v>
      </c>
      <c r="D253" s="14" t="s">
        <v>336</v>
      </c>
      <c r="E253" s="14">
        <v>6.10500055E9</v>
      </c>
      <c r="F253" s="11" t="s">
        <v>161</v>
      </c>
      <c r="G253" s="14" t="s">
        <v>202</v>
      </c>
      <c r="H253" s="14" t="s">
        <v>100</v>
      </c>
      <c r="I253" s="11">
        <v>30.0</v>
      </c>
      <c r="J253" s="11" t="s">
        <v>78</v>
      </c>
      <c r="K253" s="15">
        <v>166.67</v>
      </c>
      <c r="L253" s="10" t="str">
        <f>IF(D253&lt;&gt;"",VLOOKUP(H253,TABLEITEM,2,FALSE),"")</f>
        <v>MAT ST</v>
      </c>
      <c r="M253" s="10" t="str">
        <f>IF(D253&lt;&gt;"",VLOOKUP(H253,TABLEITEM,3,FALSE),"")</f>
        <v>เหล็กกล่อง 4'' หนา2.3 มิล</v>
      </c>
      <c r="N253" s="7">
        <f>INSTOCK!$I253*INSTOCK!$K253</f>
        <v>5000.1</v>
      </c>
      <c r="O253" s="2"/>
      <c r="P253" s="2"/>
    </row>
    <row r="254" ht="18.0" hidden="1" customHeight="1">
      <c r="A254" s="1"/>
      <c r="B254" s="3">
        <v>253.0</v>
      </c>
      <c r="C254" s="13">
        <v>43232.0</v>
      </c>
      <c r="D254" s="14" t="s">
        <v>337</v>
      </c>
      <c r="E254" s="14">
        <v>6.105000549E9</v>
      </c>
      <c r="F254" s="11" t="s">
        <v>161</v>
      </c>
      <c r="G254" s="14" t="s">
        <v>171</v>
      </c>
      <c r="H254" s="14" t="s">
        <v>21</v>
      </c>
      <c r="I254" s="11">
        <v>300.0</v>
      </c>
      <c r="J254" s="11"/>
      <c r="K254" s="15">
        <v>1098.816</v>
      </c>
      <c r="L254" s="6" t="str">
        <f>IF(D254&lt;&gt;"",VLOOKUP(H254,TABLEITEM,2,FALSE),"")</f>
        <v>MAT ST</v>
      </c>
      <c r="M254" s="6" t="str">
        <f>IF(D254&lt;&gt;"",VLOOKUP(H254,TABLEITEM,3,FALSE),"")</f>
        <v>เหล็กแผ่นขาว4'x8'T2.0</v>
      </c>
      <c r="N254" s="7">
        <f>INSTOCK!$I254*INSTOCK!$K254</f>
        <v>329644.8</v>
      </c>
      <c r="O254" s="2" t="s">
        <v>338</v>
      </c>
      <c r="P254" s="2"/>
    </row>
    <row r="255" ht="18.0" hidden="1" customHeight="1">
      <c r="A255" s="1"/>
      <c r="B255" s="3">
        <v>254.0</v>
      </c>
      <c r="C255" s="13">
        <v>43232.0</v>
      </c>
      <c r="D255" s="14" t="s">
        <v>339</v>
      </c>
      <c r="E255" s="14">
        <v>6.105000549E9</v>
      </c>
      <c r="F255" s="11" t="s">
        <v>161</v>
      </c>
      <c r="G255" s="14" t="s">
        <v>171</v>
      </c>
      <c r="H255" s="14" t="s">
        <v>20</v>
      </c>
      <c r="I255" s="11">
        <v>100.0</v>
      </c>
      <c r="J255" s="11"/>
      <c r="K255" s="15">
        <v>1078.65</v>
      </c>
      <c r="L255" s="6" t="str">
        <f>IF(D255&lt;&gt;"",VLOOKUP(H255,TABLEITEM,2,FALSE),"")</f>
        <v>MAT ST</v>
      </c>
      <c r="M255" s="6" t="str">
        <f>IF(D255&lt;&gt;"",VLOOKUP(H255,TABLEITEM,3,FALSE),"")</f>
        <v>เหล็กแผ่นขาว4''x3000T1.6</v>
      </c>
      <c r="N255" s="7">
        <f>INSTOCK!$I255*INSTOCK!$K255</f>
        <v>107865</v>
      </c>
      <c r="O255" s="2" t="s">
        <v>340</v>
      </c>
      <c r="P255" s="2"/>
    </row>
    <row r="256" ht="18.0" hidden="1" customHeight="1">
      <c r="A256" s="1"/>
      <c r="B256" s="3">
        <v>255.0</v>
      </c>
      <c r="C256" s="13">
        <v>43232.0</v>
      </c>
      <c r="D256" s="14" t="s">
        <v>339</v>
      </c>
      <c r="E256" s="14">
        <v>6.105000549E9</v>
      </c>
      <c r="F256" s="11" t="s">
        <v>161</v>
      </c>
      <c r="G256" s="14" t="s">
        <v>171</v>
      </c>
      <c r="H256" s="14" t="s">
        <v>19</v>
      </c>
      <c r="I256" s="11">
        <v>200.0</v>
      </c>
      <c r="J256" s="11"/>
      <c r="K256" s="15">
        <v>1095.1</v>
      </c>
      <c r="L256" s="6" t="str">
        <f>IF(D256&lt;&gt;"",VLOOKUP(H256,TABLEITEM,2,FALSE),"")</f>
        <v>MAT ST</v>
      </c>
      <c r="M256" s="6" t="str">
        <f>IF(D256&lt;&gt;"",VLOOKUP(H256,TABLEITEM,3,FALSE),"")</f>
        <v>เหล็กแผ่นขาว4'x8'T1.6</v>
      </c>
      <c r="N256" s="7">
        <f>INSTOCK!$I256*INSTOCK!$K256</f>
        <v>219020</v>
      </c>
      <c r="O256" s="2" t="s">
        <v>341</v>
      </c>
      <c r="P256" s="2"/>
    </row>
    <row r="257" ht="18.0" hidden="1" customHeight="1">
      <c r="A257" s="1"/>
      <c r="B257" s="3">
        <v>256.0</v>
      </c>
      <c r="C257" s="13">
        <v>43232.0</v>
      </c>
      <c r="D257" s="14" t="s">
        <v>342</v>
      </c>
      <c r="E257" s="14">
        <v>6.105000549E9</v>
      </c>
      <c r="F257" s="11" t="s">
        <v>161</v>
      </c>
      <c r="G257" s="14" t="s">
        <v>171</v>
      </c>
      <c r="H257" s="14" t="s">
        <v>17</v>
      </c>
      <c r="I257" s="11">
        <v>100.0</v>
      </c>
      <c r="J257" s="11"/>
      <c r="K257" s="15">
        <v>658.0</v>
      </c>
      <c r="L257" s="6" t="str">
        <f>IF(D257&lt;&gt;"",VLOOKUP(H257,TABLEITEM,2,FALSE),"")</f>
        <v>MAT ST</v>
      </c>
      <c r="M257" s="6" t="str">
        <f>IF(D257&lt;&gt;"",VLOOKUP(H257,TABLEITEM,3,FALSE),"")</f>
        <v>เหล็กแผ่นขาว4'x8'T1.2</v>
      </c>
      <c r="N257" s="7">
        <f>INSTOCK!$I257*INSTOCK!$K257</f>
        <v>65800</v>
      </c>
      <c r="O257" s="2" t="s">
        <v>343</v>
      </c>
      <c r="P257" s="2"/>
    </row>
    <row r="258" ht="18.0" hidden="1" customHeight="1">
      <c r="A258" s="1"/>
      <c r="B258" s="3">
        <v>257.0</v>
      </c>
      <c r="C258" s="13">
        <v>43232.0</v>
      </c>
      <c r="D258" s="14" t="s">
        <v>342</v>
      </c>
      <c r="E258" s="14">
        <v>6.105000549E9</v>
      </c>
      <c r="F258" s="11" t="s">
        <v>161</v>
      </c>
      <c r="G258" s="14" t="s">
        <v>171</v>
      </c>
      <c r="H258" s="14" t="s">
        <v>19</v>
      </c>
      <c r="I258" s="11">
        <v>50.0</v>
      </c>
      <c r="J258" s="11"/>
      <c r="K258" s="15">
        <v>874.2</v>
      </c>
      <c r="L258" s="6" t="str">
        <f>IF(D258&lt;&gt;"",VLOOKUP(H258,TABLEITEM,2,FALSE),"")</f>
        <v>MAT ST</v>
      </c>
      <c r="M258" s="6" t="str">
        <f>IF(D258&lt;&gt;"",VLOOKUP(H258,TABLEITEM,3,FALSE),"")</f>
        <v>เหล็กแผ่นขาว4'x8'T1.6</v>
      </c>
      <c r="N258" s="7">
        <f>INSTOCK!$I258*INSTOCK!$K258</f>
        <v>43710</v>
      </c>
      <c r="O258" s="2" t="s">
        <v>344</v>
      </c>
      <c r="P258" s="2"/>
    </row>
    <row r="259" ht="18.0" hidden="1" customHeight="1">
      <c r="A259" s="1"/>
      <c r="B259" s="3">
        <v>258.0</v>
      </c>
      <c r="C259" s="13">
        <v>43232.0</v>
      </c>
      <c r="D259" s="14" t="s">
        <v>342</v>
      </c>
      <c r="E259" s="14">
        <v>6.105000549E9</v>
      </c>
      <c r="F259" s="11" t="s">
        <v>161</v>
      </c>
      <c r="G259" s="14" t="s">
        <v>171</v>
      </c>
      <c r="H259" s="14" t="s">
        <v>21</v>
      </c>
      <c r="I259" s="11">
        <v>100.0</v>
      </c>
      <c r="J259" s="11"/>
      <c r="K259" s="15">
        <v>1352.752</v>
      </c>
      <c r="L259" s="6" t="str">
        <f>IF(D259&lt;&gt;"",VLOOKUP(H259,TABLEITEM,2,FALSE),"")</f>
        <v>MAT ST</v>
      </c>
      <c r="M259" s="6" t="str">
        <f>IF(D259&lt;&gt;"",VLOOKUP(H259,TABLEITEM,3,FALSE),"")</f>
        <v>เหล็กแผ่นขาว4'x8'T2.0</v>
      </c>
      <c r="N259" s="7">
        <f>INSTOCK!$I259*INSTOCK!$K259</f>
        <v>135275.2</v>
      </c>
      <c r="O259" s="2" t="s">
        <v>345</v>
      </c>
      <c r="P259" s="2"/>
    </row>
    <row r="260" ht="18.0" hidden="1" customHeight="1">
      <c r="A260" s="1"/>
      <c r="B260" s="3">
        <v>259.0</v>
      </c>
      <c r="C260" s="13">
        <v>43234.0</v>
      </c>
      <c r="D260" s="14" t="s">
        <v>346</v>
      </c>
      <c r="E260" s="14">
        <v>6.10500055E9</v>
      </c>
      <c r="F260" s="11" t="s">
        <v>161</v>
      </c>
      <c r="G260" s="14" t="s">
        <v>202</v>
      </c>
      <c r="H260" s="14" t="s">
        <v>52</v>
      </c>
      <c r="I260" s="11">
        <v>50.0</v>
      </c>
      <c r="J260" s="11"/>
      <c r="K260" s="15">
        <v>1840.0</v>
      </c>
      <c r="L260" s="6" t="str">
        <f>IF(D260&lt;&gt;"",VLOOKUP(H260,TABLEITEM,2,FALSE),"")</f>
        <v>MAT ST</v>
      </c>
      <c r="M260" s="6" t="str">
        <f>IF(D260&lt;&gt;"",VLOOKUP(H260,TABLEITEM,3,FALSE),"")</f>
        <v>เหล็กแผ่นดำ5'x10'T2.0</v>
      </c>
      <c r="N260" s="7">
        <f>INSTOCK!$I260*INSTOCK!$K260</f>
        <v>92000</v>
      </c>
      <c r="O260" s="2"/>
      <c r="P260" s="2"/>
    </row>
    <row r="261" ht="18.0" hidden="1" customHeight="1">
      <c r="A261" s="1"/>
      <c r="B261" s="3">
        <v>260.0</v>
      </c>
      <c r="C261" s="13">
        <v>43234.0</v>
      </c>
      <c r="D261" s="14" t="s">
        <v>347</v>
      </c>
      <c r="E261" s="14">
        <v>6.105000549E9</v>
      </c>
      <c r="F261" s="11" t="s">
        <v>161</v>
      </c>
      <c r="G261" s="14" t="s">
        <v>171</v>
      </c>
      <c r="H261" s="14" t="s">
        <v>21</v>
      </c>
      <c r="I261" s="11">
        <v>100.0</v>
      </c>
      <c r="J261" s="11"/>
      <c r="K261" s="15">
        <v>1099.76</v>
      </c>
      <c r="L261" s="6" t="str">
        <f>IF(D261&lt;&gt;"",VLOOKUP(H261,TABLEITEM,2,FALSE),"")</f>
        <v>MAT ST</v>
      </c>
      <c r="M261" s="6" t="str">
        <f>IF(D261&lt;&gt;"",VLOOKUP(H261,TABLEITEM,3,FALSE),"")</f>
        <v>เหล็กแผ่นขาว4'x8'T2.0</v>
      </c>
      <c r="N261" s="7">
        <f>INSTOCK!$I261*INSTOCK!$K261</f>
        <v>109976</v>
      </c>
      <c r="O261" s="2" t="s">
        <v>348</v>
      </c>
      <c r="P261" s="2"/>
    </row>
    <row r="262" ht="18.0" hidden="1" customHeight="1">
      <c r="A262" s="1"/>
      <c r="B262" s="3">
        <v>261.0</v>
      </c>
      <c r="C262" s="13">
        <v>43235.0</v>
      </c>
      <c r="D262" s="14" t="s">
        <v>349</v>
      </c>
      <c r="E262" s="14">
        <v>6.105000572E9</v>
      </c>
      <c r="F262" s="11" t="s">
        <v>161</v>
      </c>
      <c r="G262" s="14" t="s">
        <v>192</v>
      </c>
      <c r="H262" s="14" t="s">
        <v>72</v>
      </c>
      <c r="I262" s="11">
        <v>20.0</v>
      </c>
      <c r="J262" s="11"/>
      <c r="K262" s="15">
        <v>4900.0</v>
      </c>
      <c r="L262" s="6" t="str">
        <f>IF(D262&lt;&gt;"",VLOOKUP(H262,TABLEITEM,2,FALSE),"")</f>
        <v>MAT ST</v>
      </c>
      <c r="M262" s="6" t="str">
        <f>IF(D262&lt;&gt;"",VLOOKUP(H262,TABLEITEM,3,FALSE),"")</f>
        <v>แผ่นอลูมิเนียม4'x8'T6.0</v>
      </c>
      <c r="N262" s="7">
        <f>INSTOCK!$I262*INSTOCK!$K262</f>
        <v>98000</v>
      </c>
      <c r="O262" s="2"/>
      <c r="P262" s="2"/>
    </row>
    <row r="263" ht="18.0" hidden="1" customHeight="1">
      <c r="A263" s="1"/>
      <c r="B263" s="3">
        <v>262.0</v>
      </c>
      <c r="C263" s="13">
        <v>43241.0</v>
      </c>
      <c r="D263" s="14" t="s">
        <v>350</v>
      </c>
      <c r="E263" s="14">
        <v>6.104000462E9</v>
      </c>
      <c r="F263" s="11" t="s">
        <v>161</v>
      </c>
      <c r="G263" s="14" t="s">
        <v>153</v>
      </c>
      <c r="H263" s="14" t="s">
        <v>72</v>
      </c>
      <c r="I263" s="11">
        <v>-19.0</v>
      </c>
      <c r="J263" s="11"/>
      <c r="K263" s="15">
        <v>4990.0</v>
      </c>
      <c r="L263" s="6" t="str">
        <f>IF(D263&lt;&gt;"",VLOOKUP(H263,TABLEITEM,2,FALSE),"")</f>
        <v>MAT ST</v>
      </c>
      <c r="M263" s="6" t="str">
        <f>IF(D263&lt;&gt;"",VLOOKUP(H263,TABLEITEM,3,FALSE),"")</f>
        <v>แผ่นอลูมิเนียม4'x8'T6.0</v>
      </c>
      <c r="N263" s="7">
        <f>INSTOCK!$I263*INSTOCK!$K263</f>
        <v>-94810</v>
      </c>
      <c r="O263" s="2"/>
      <c r="P263" s="2"/>
    </row>
    <row r="264" ht="18.0" hidden="1" customHeight="1">
      <c r="A264" s="1"/>
      <c r="B264" s="23">
        <v>263.0</v>
      </c>
      <c r="C264" s="24">
        <v>43242.0</v>
      </c>
      <c r="D264" s="25" t="s">
        <v>351</v>
      </c>
      <c r="E264" s="25">
        <v>6.105000612E9</v>
      </c>
      <c r="F264" s="17" t="s">
        <v>161</v>
      </c>
      <c r="G264" s="25" t="s">
        <v>171</v>
      </c>
      <c r="H264" s="25" t="s">
        <v>352</v>
      </c>
      <c r="I264" s="17">
        <v>50.0</v>
      </c>
      <c r="J264" s="17"/>
      <c r="K264" s="26">
        <v>1988.6</v>
      </c>
      <c r="L264" s="27" t="str">
        <f>IF(D264&lt;&gt;"",VLOOKUP(H264,TABLEITEM,2,FALSE),"")</f>
        <v>MAT ST</v>
      </c>
      <c r="M264" s="27" t="str">
        <f>IF(D264&lt;&gt;"",VLOOKUP(H264,TABLEITEM,3,FALSE),"")</f>
        <v>เหล็กแผ่นEG4'X3000 T2.3</v>
      </c>
      <c r="N264" s="7">
        <f>INSTOCK!$I264*INSTOCK!$K264</f>
        <v>99430</v>
      </c>
      <c r="O264" s="27" t="s">
        <v>353</v>
      </c>
      <c r="P264" s="2"/>
    </row>
    <row r="265" ht="18.0" hidden="1" customHeight="1">
      <c r="A265" s="1"/>
      <c r="B265" s="3">
        <v>264.0</v>
      </c>
      <c r="C265" s="13">
        <v>43244.0</v>
      </c>
      <c r="D265" s="14" t="s">
        <v>354</v>
      </c>
      <c r="E265" s="14">
        <v>6.105000619E9</v>
      </c>
      <c r="F265" s="11" t="s">
        <v>355</v>
      </c>
      <c r="G265" s="14" t="s">
        <v>202</v>
      </c>
      <c r="H265" s="14" t="s">
        <v>356</v>
      </c>
      <c r="I265" s="11">
        <v>48.0</v>
      </c>
      <c r="J265" s="11" t="s">
        <v>78</v>
      </c>
      <c r="K265" s="15">
        <v>227.5</v>
      </c>
      <c r="L265" s="10" t="str">
        <f>IF(D265&lt;&gt;"",VLOOKUP(H265,TABLEITEM,2,FALSE),"")</f>
        <v>MAT ST</v>
      </c>
      <c r="M265" s="10" t="str">
        <f>IF(D265&lt;&gt;"",VLOOKUP(H265,TABLEITEM,3,FALSE),"")</f>
        <v>เหล็กกล่อง 6x2 หนา 3.2 มิล</v>
      </c>
      <c r="N265" s="7">
        <f>INSTOCK!$I265*INSTOCK!$K265</f>
        <v>10920</v>
      </c>
      <c r="O265" s="2"/>
      <c r="P265" s="2"/>
    </row>
    <row r="266" ht="18.0" hidden="1" customHeight="1">
      <c r="A266" s="1"/>
      <c r="B266" s="3">
        <v>265.0</v>
      </c>
      <c r="C266" s="13">
        <v>43244.0</v>
      </c>
      <c r="D266" s="14" t="s">
        <v>354</v>
      </c>
      <c r="E266" s="14">
        <v>6.105000619E9</v>
      </c>
      <c r="F266" s="11" t="s">
        <v>355</v>
      </c>
      <c r="G266" s="14" t="s">
        <v>202</v>
      </c>
      <c r="H266" s="14" t="s">
        <v>97</v>
      </c>
      <c r="I266" s="11">
        <v>84.0</v>
      </c>
      <c r="J266" s="11" t="s">
        <v>78</v>
      </c>
      <c r="K266" s="15">
        <v>75.0</v>
      </c>
      <c r="L266" s="10" t="str">
        <f>IF(D266&lt;&gt;"",VLOOKUP(H266,TABLEITEM,2,FALSE),"")</f>
        <v>MAT ST</v>
      </c>
      <c r="M266" s="10" t="str">
        <f>IF(D266&lt;&gt;"",VLOOKUP(H266,TABLEITEM,3,FALSE),"")</f>
        <v>เหล็กกล่อง 2'' หนา2.3 มิล</v>
      </c>
      <c r="N266" s="7">
        <f>INSTOCK!$I266*INSTOCK!$K266</f>
        <v>6300</v>
      </c>
      <c r="O266" s="2"/>
      <c r="P266" s="2"/>
    </row>
    <row r="267" ht="18.0" hidden="1" customHeight="1">
      <c r="A267" s="1"/>
      <c r="B267" s="3">
        <v>266.0</v>
      </c>
      <c r="C267" s="13">
        <v>43244.0</v>
      </c>
      <c r="D267" s="14" t="s">
        <v>354</v>
      </c>
      <c r="E267" s="14">
        <v>6.105000619E9</v>
      </c>
      <c r="F267" s="11" t="s">
        <v>355</v>
      </c>
      <c r="G267" s="14" t="s">
        <v>202</v>
      </c>
      <c r="H267" s="14" t="s">
        <v>357</v>
      </c>
      <c r="I267" s="11">
        <v>12.0</v>
      </c>
      <c r="J267" s="11" t="s">
        <v>78</v>
      </c>
      <c r="K267" s="15">
        <v>105.0</v>
      </c>
      <c r="L267" s="10" t="str">
        <f>IF(D267&lt;&gt;"",VLOOKUP(H267,TABLEITEM,2,FALSE),"")</f>
        <v>MAT ST</v>
      </c>
      <c r="M267" s="10" t="str">
        <f>IF(D267&lt;&gt;"",VLOOKUP(H267,TABLEITEM,3,FALSE),"")</f>
        <v>เหล็กกล่อง 3" หนา 2.0 มิล</v>
      </c>
      <c r="N267" s="7">
        <f>INSTOCK!$I267*INSTOCK!$K267</f>
        <v>1260</v>
      </c>
      <c r="O267" s="2"/>
      <c r="P267" s="2"/>
    </row>
    <row r="268" ht="18.0" hidden="1" customHeight="1">
      <c r="A268" s="1"/>
      <c r="B268" s="3">
        <v>267.0</v>
      </c>
      <c r="C268" s="13">
        <v>43245.0</v>
      </c>
      <c r="D268" s="14" t="s">
        <v>358</v>
      </c>
      <c r="E268" s="14">
        <v>6.10500063E9</v>
      </c>
      <c r="F268" s="11" t="s">
        <v>359</v>
      </c>
      <c r="G268" s="14" t="s">
        <v>165</v>
      </c>
      <c r="H268" s="14" t="s">
        <v>360</v>
      </c>
      <c r="I268" s="11">
        <v>1.0</v>
      </c>
      <c r="J268" s="11"/>
      <c r="K268" s="15">
        <v>440.0</v>
      </c>
      <c r="L268" s="6" t="str">
        <f>IF(D268&lt;&gt;"",VLOOKUP(H268,TABLEITEM,2,FALSE),"")</f>
        <v>PART</v>
      </c>
      <c r="M268" s="6" t="str">
        <f>IF(D268&lt;&gt;"",VLOOKUP(H268,TABLEITEM,3,FALSE),"")</f>
        <v>แผ่นเบกไลท์ 140x338 T15</v>
      </c>
      <c r="N268" s="7">
        <f>INSTOCK!$I268*INSTOCK!$K268</f>
        <v>440</v>
      </c>
      <c r="O268" s="2"/>
      <c r="P268" s="2"/>
    </row>
    <row r="269" ht="18.0" hidden="1" customHeight="1">
      <c r="A269" s="1"/>
      <c r="B269" s="3">
        <v>268.0</v>
      </c>
      <c r="C269" s="13">
        <v>43246.0</v>
      </c>
      <c r="D269" s="14" t="s">
        <v>361</v>
      </c>
      <c r="E269" s="14">
        <v>6.105000639E9</v>
      </c>
      <c r="F269" s="11" t="s">
        <v>362</v>
      </c>
      <c r="G269" s="14" t="s">
        <v>240</v>
      </c>
      <c r="H269" s="14" t="s">
        <v>134</v>
      </c>
      <c r="I269" s="11">
        <v>24.0</v>
      </c>
      <c r="J269" s="11" t="s">
        <v>78</v>
      </c>
      <c r="K269" s="15">
        <v>416.67</v>
      </c>
      <c r="L269" s="10" t="str">
        <f>IF(D269&lt;&gt;"",VLOOKUP(H269,TABLEITEM,2,FALSE),"")</f>
        <v>MAT ST</v>
      </c>
      <c r="M269" s="10" t="str">
        <f>IF(D269&lt;&gt;"",VLOOKUP(H269,TABLEITEM,3,FALSE),"")</f>
        <v>ฉากสแตนเลส 2''หนา6.0</v>
      </c>
      <c r="N269" s="7">
        <f>INSTOCK!$I269*INSTOCK!$K269</f>
        <v>10000.08</v>
      </c>
      <c r="O269" s="2"/>
      <c r="P269" s="2"/>
    </row>
    <row r="270" ht="18.0" hidden="1" customHeight="1">
      <c r="A270" s="1"/>
      <c r="B270" s="3">
        <v>269.0</v>
      </c>
      <c r="C270" s="13">
        <v>43248.0</v>
      </c>
      <c r="D270" s="28">
        <v>6.1050232E7</v>
      </c>
      <c r="E270" s="14">
        <v>6.105000656E9</v>
      </c>
      <c r="F270" s="11" t="s">
        <v>363</v>
      </c>
      <c r="G270" s="14" t="s">
        <v>364</v>
      </c>
      <c r="H270" s="14" t="s">
        <v>147</v>
      </c>
      <c r="I270" s="11">
        <v>48.0</v>
      </c>
      <c r="J270" s="11" t="s">
        <v>78</v>
      </c>
      <c r="K270" s="15">
        <v>25.0</v>
      </c>
      <c r="L270" s="10" t="str">
        <f>IF(D270&lt;&gt;"",VLOOKUP(H270,TABLEITEM,2,FALSE),"")</f>
        <v>MAT ST</v>
      </c>
      <c r="M270" s="10" t="str">
        <f>IF(D270&lt;&gt;"",VLOOKUP(H270,TABLEITEM,3,FALSE),"")</f>
        <v>เหล็กกล่อง 3/4 X 3/4หนา1.2 มิล</v>
      </c>
      <c r="N270" s="7">
        <f>INSTOCK!$I270*INSTOCK!$K270</f>
        <v>1200</v>
      </c>
      <c r="O270" s="2" t="s">
        <v>365</v>
      </c>
      <c r="P270" s="2"/>
    </row>
    <row r="271" ht="18.0" hidden="1" customHeight="1">
      <c r="A271" s="1"/>
      <c r="B271" s="3">
        <v>270.0</v>
      </c>
      <c r="C271" s="13">
        <v>43252.0</v>
      </c>
      <c r="D271" s="28">
        <v>6.1060012E7</v>
      </c>
      <c r="E271" s="14">
        <v>6.106000664E9</v>
      </c>
      <c r="F271" s="11" t="s">
        <v>366</v>
      </c>
      <c r="G271" s="14" t="s">
        <v>364</v>
      </c>
      <c r="H271" s="14" t="s">
        <v>356</v>
      </c>
      <c r="I271" s="11">
        <v>6.0</v>
      </c>
      <c r="J271" s="11" t="s">
        <v>78</v>
      </c>
      <c r="K271" s="15">
        <v>233.33</v>
      </c>
      <c r="L271" s="10" t="str">
        <f>IF(D271&lt;&gt;"",VLOOKUP(H271,TABLEITEM,2,FALSE),"")</f>
        <v>MAT ST</v>
      </c>
      <c r="M271" s="10" t="str">
        <f>IF(D271&lt;&gt;"",VLOOKUP(H271,TABLEITEM,3,FALSE),"")</f>
        <v>เหล็กกล่อง 6x2 หนา 3.2 มิล</v>
      </c>
      <c r="N271" s="7">
        <f>INSTOCK!$I271*INSTOCK!$K271</f>
        <v>1399.98</v>
      </c>
      <c r="O271" s="2"/>
      <c r="P271" s="2"/>
    </row>
    <row r="272" ht="18.0" hidden="1" customHeight="1">
      <c r="A272" s="1"/>
      <c r="B272" s="3">
        <v>271.0</v>
      </c>
      <c r="C272" s="13">
        <v>43252.0</v>
      </c>
      <c r="D272" s="14" t="s">
        <v>367</v>
      </c>
      <c r="E272" s="14">
        <v>6.105000635E9</v>
      </c>
      <c r="F272" s="11" t="s">
        <v>161</v>
      </c>
      <c r="G272" s="14" t="s">
        <v>202</v>
      </c>
      <c r="H272" s="14" t="s">
        <v>79</v>
      </c>
      <c r="I272" s="11">
        <v>600.0</v>
      </c>
      <c r="J272" s="11" t="s">
        <v>78</v>
      </c>
      <c r="K272" s="15">
        <v>151.67</v>
      </c>
      <c r="L272" s="10" t="str">
        <f>IF(D272&lt;&gt;"",VLOOKUP(H272,TABLEITEM,2,FALSE),"")</f>
        <v>MAT ST</v>
      </c>
      <c r="M272" s="10" t="str">
        <f>IF(D272&lt;&gt;"",VLOOKUP(H272,TABLEITEM,3,FALSE),"")</f>
        <v>เหล็กรางน้ำ U' 3</v>
      </c>
      <c r="N272" s="7">
        <f>INSTOCK!$I272*INSTOCK!$K272</f>
        <v>91002</v>
      </c>
      <c r="O272" s="2"/>
      <c r="P272" s="2"/>
    </row>
    <row r="273" ht="18.0" hidden="1" customHeight="1">
      <c r="A273" s="1"/>
      <c r="B273" s="3">
        <v>272.0</v>
      </c>
      <c r="C273" s="13">
        <v>43252.0</v>
      </c>
      <c r="D273" s="14" t="s">
        <v>367</v>
      </c>
      <c r="E273" s="14">
        <v>6.105000635E9</v>
      </c>
      <c r="F273" s="11" t="s">
        <v>161</v>
      </c>
      <c r="G273" s="14" t="s">
        <v>202</v>
      </c>
      <c r="H273" s="14" t="s">
        <v>80</v>
      </c>
      <c r="I273" s="11">
        <v>300.0</v>
      </c>
      <c r="J273" s="11" t="s">
        <v>78</v>
      </c>
      <c r="K273" s="15">
        <v>206.67</v>
      </c>
      <c r="L273" s="10" t="str">
        <f>IF(D273&lt;&gt;"",VLOOKUP(H273,TABLEITEM,2,FALSE),"")</f>
        <v>MAT ST</v>
      </c>
      <c r="M273" s="10" t="str">
        <f>IF(D273&lt;&gt;"",VLOOKUP(H273,TABLEITEM,3,FALSE),"")</f>
        <v>เหล็กรางน้ำ U' 4</v>
      </c>
      <c r="N273" s="7">
        <f>INSTOCK!$I273*INSTOCK!$K273</f>
        <v>62001</v>
      </c>
      <c r="O273" s="2"/>
      <c r="P273" s="2"/>
    </row>
    <row r="274" ht="18.0" hidden="1" customHeight="1">
      <c r="A274" s="1"/>
      <c r="B274" s="3">
        <v>273.0</v>
      </c>
      <c r="C274" s="13">
        <v>43252.0</v>
      </c>
      <c r="D274" s="14" t="s">
        <v>367</v>
      </c>
      <c r="E274" s="14">
        <v>6.105000635E9</v>
      </c>
      <c r="F274" s="11" t="s">
        <v>161</v>
      </c>
      <c r="G274" s="14" t="s">
        <v>202</v>
      </c>
      <c r="H274" s="14" t="s">
        <v>85</v>
      </c>
      <c r="I274" s="11">
        <v>300.0</v>
      </c>
      <c r="J274" s="11" t="s">
        <v>78</v>
      </c>
      <c r="K274" s="15">
        <v>42.5</v>
      </c>
      <c r="L274" s="10" t="str">
        <f>IF(D274&lt;&gt;"",VLOOKUP(H274,TABLEITEM,2,FALSE),"")</f>
        <v>MAT ST</v>
      </c>
      <c r="M274" s="10" t="str">
        <f>IF(D274&lt;&gt;"",VLOOKUP(H274,TABLEITEM,3,FALSE),"")</f>
        <v>เหล็กฉาก 1''1/2'หนา3 มิล</v>
      </c>
      <c r="N274" s="7">
        <f>INSTOCK!$I274*INSTOCK!$K274</f>
        <v>12750</v>
      </c>
      <c r="O274" s="2"/>
      <c r="P274" s="2"/>
    </row>
    <row r="275" ht="18.0" hidden="1" customHeight="1">
      <c r="A275" s="1"/>
      <c r="B275" s="3">
        <v>274.0</v>
      </c>
      <c r="C275" s="13">
        <v>43252.0</v>
      </c>
      <c r="D275" s="14" t="s">
        <v>367</v>
      </c>
      <c r="E275" s="14">
        <v>6.105000635E9</v>
      </c>
      <c r="F275" s="11" t="s">
        <v>161</v>
      </c>
      <c r="G275" s="14" t="s">
        <v>202</v>
      </c>
      <c r="H275" s="14" t="s">
        <v>95</v>
      </c>
      <c r="I275" s="11">
        <v>6.0</v>
      </c>
      <c r="J275" s="11" t="s">
        <v>78</v>
      </c>
      <c r="K275" s="15">
        <v>63.33</v>
      </c>
      <c r="L275" s="10" t="str">
        <f>IF(D275&lt;&gt;"",VLOOKUP(H275,TABLEITEM,2,FALSE),"")</f>
        <v>MAT ST</v>
      </c>
      <c r="M275" s="10" t="str">
        <f>IF(D275&lt;&gt;"",VLOOKUP(H275,TABLEITEM,3,FALSE),"")</f>
        <v>เหล็กกล่อง 1'' 1/2 หนา2 มิล</v>
      </c>
      <c r="N275" s="7">
        <f>INSTOCK!$I275*INSTOCK!$K275</f>
        <v>379.98</v>
      </c>
      <c r="O275" s="2"/>
      <c r="P275" s="2"/>
    </row>
    <row r="276" ht="18.0" hidden="1" customHeight="1">
      <c r="A276" s="1"/>
      <c r="B276" s="3">
        <v>275.0</v>
      </c>
      <c r="C276" s="13">
        <v>43252.0</v>
      </c>
      <c r="D276" s="14" t="s">
        <v>368</v>
      </c>
      <c r="E276" s="14">
        <v>6.105000662E9</v>
      </c>
      <c r="F276" s="11" t="s">
        <v>366</v>
      </c>
      <c r="G276" s="14" t="s">
        <v>240</v>
      </c>
      <c r="H276" s="14" t="s">
        <v>356</v>
      </c>
      <c r="I276" s="11">
        <v>24.0</v>
      </c>
      <c r="J276" s="11" t="s">
        <v>78</v>
      </c>
      <c r="K276" s="15">
        <v>229.17</v>
      </c>
      <c r="L276" s="10" t="str">
        <f>IF(D276&lt;&gt;"",VLOOKUP(H276,TABLEITEM,2,FALSE),"")</f>
        <v>MAT ST</v>
      </c>
      <c r="M276" s="10" t="str">
        <f>IF(D276&lt;&gt;"",VLOOKUP(H276,TABLEITEM,3,FALSE),"")</f>
        <v>เหล็กกล่อง 6x2 หนา 3.2 มิล</v>
      </c>
      <c r="N276" s="7">
        <f>INSTOCK!$I276*INSTOCK!$K276</f>
        <v>5500.08</v>
      </c>
      <c r="O276" s="2"/>
      <c r="P276" s="2"/>
    </row>
    <row r="277" ht="18.0" hidden="1" customHeight="1">
      <c r="A277" s="1"/>
      <c r="B277" s="3">
        <v>276.0</v>
      </c>
      <c r="C277" s="13">
        <v>43252.0</v>
      </c>
      <c r="D277" s="14" t="s">
        <v>368</v>
      </c>
      <c r="E277" s="14">
        <v>6.105000662E9</v>
      </c>
      <c r="F277" s="11" t="s">
        <v>366</v>
      </c>
      <c r="G277" s="14" t="s">
        <v>240</v>
      </c>
      <c r="H277" s="14" t="s">
        <v>97</v>
      </c>
      <c r="I277" s="11">
        <v>84.0</v>
      </c>
      <c r="J277" s="11" t="s">
        <v>78</v>
      </c>
      <c r="K277" s="15">
        <v>77.5</v>
      </c>
      <c r="L277" s="10" t="str">
        <f>IF(D277&lt;&gt;"",VLOOKUP(H277,TABLEITEM,2,FALSE),"")</f>
        <v>MAT ST</v>
      </c>
      <c r="M277" s="10" t="str">
        <f>IF(D277&lt;&gt;"",VLOOKUP(H277,TABLEITEM,3,FALSE),"")</f>
        <v>เหล็กกล่อง 2'' หนา2.3 มิล</v>
      </c>
      <c r="N277" s="7">
        <f>INSTOCK!$I277*INSTOCK!$K277</f>
        <v>6510</v>
      </c>
      <c r="O277" s="2"/>
      <c r="P277" s="2"/>
    </row>
    <row r="278" ht="18.0" hidden="1" customHeight="1">
      <c r="A278" s="1"/>
      <c r="B278" s="3">
        <v>277.0</v>
      </c>
      <c r="C278" s="13">
        <v>43252.0</v>
      </c>
      <c r="D278" s="14" t="s">
        <v>368</v>
      </c>
      <c r="E278" s="14">
        <v>6.105000662E9</v>
      </c>
      <c r="F278" s="11" t="s">
        <v>366</v>
      </c>
      <c r="G278" s="14" t="s">
        <v>240</v>
      </c>
      <c r="H278" s="18" t="s">
        <v>369</v>
      </c>
      <c r="I278" s="29">
        <v>50.0</v>
      </c>
      <c r="J278" s="29"/>
      <c r="K278" s="30">
        <v>90.0</v>
      </c>
      <c r="L278" s="10" t="str">
        <f>IF(D278&lt;&gt;"",VLOOKUP(H278,TABLEITEM,2,FALSE),"")</f>
        <v>MAT ST</v>
      </c>
      <c r="M278" s="10" t="str">
        <f>IF(D278&lt;&gt;"",VLOOKUP(H278,TABLEITEM,3,FALSE),"")</f>
        <v>เหล็กเพลากลม9มิล</v>
      </c>
      <c r="N278" s="7">
        <f>INSTOCK!$I278*INSTOCK!$K278</f>
        <v>4500</v>
      </c>
      <c r="O278" s="2"/>
      <c r="P278" s="2"/>
    </row>
    <row r="279" ht="18.0" hidden="1" customHeight="1">
      <c r="A279" s="1"/>
      <c r="B279" s="3">
        <v>278.0</v>
      </c>
      <c r="C279" s="13">
        <v>43253.0</v>
      </c>
      <c r="D279" s="14" t="s">
        <v>370</v>
      </c>
      <c r="E279" s="14">
        <v>6.10600068E9</v>
      </c>
      <c r="F279" s="11" t="s">
        <v>371</v>
      </c>
      <c r="G279" s="14" t="s">
        <v>158</v>
      </c>
      <c r="H279" s="14" t="s">
        <v>372</v>
      </c>
      <c r="I279" s="11">
        <v>1.0</v>
      </c>
      <c r="J279" s="11"/>
      <c r="K279" s="15">
        <v>630.0</v>
      </c>
      <c r="L279" s="6" t="str">
        <f>IF(D279&lt;&gt;"",VLOOKUP(H279,TABLEITEM,2,FALSE),"")</f>
        <v>MAT ST</v>
      </c>
      <c r="M279" s="6" t="str">
        <f>IF(D279&lt;&gt;"",VLOOKUP(H279,TABLEITEM,3,FALSE),"")</f>
        <v>ตะแกรงเหล็กฉีก 4'x8' XS-42</v>
      </c>
      <c r="N279" s="7">
        <f>INSTOCK!$I279*INSTOCK!$K279</f>
        <v>630</v>
      </c>
      <c r="O279" s="2"/>
      <c r="P279" s="2"/>
    </row>
    <row r="280" ht="18.0" hidden="1" customHeight="1">
      <c r="A280" s="1"/>
      <c r="B280" s="3">
        <v>279.0</v>
      </c>
      <c r="C280" s="13">
        <v>43255.0</v>
      </c>
      <c r="D280" s="14" t="s">
        <v>373</v>
      </c>
      <c r="E280" s="14">
        <v>6.106000677E9</v>
      </c>
      <c r="F280" s="11" t="s">
        <v>161</v>
      </c>
      <c r="G280" s="14" t="s">
        <v>240</v>
      </c>
      <c r="H280" s="14" t="s">
        <v>124</v>
      </c>
      <c r="I280" s="11">
        <v>30.0</v>
      </c>
      <c r="J280" s="11" t="s">
        <v>78</v>
      </c>
      <c r="K280" s="15">
        <v>183.33</v>
      </c>
      <c r="L280" s="10" t="str">
        <f>IF(D280&lt;&gt;"",VLOOKUP(H280,TABLEITEM,2,FALSE),"")</f>
        <v>MAT ST</v>
      </c>
      <c r="M280" s="10" t="str">
        <f>IF(D280&lt;&gt;"",VLOOKUP(H280,TABLEITEM,3,FALSE),"")</f>
        <v>ฉากสแตนเลส 1''1/2หนา3.0</v>
      </c>
      <c r="N280" s="7">
        <f>INSTOCK!$I280*INSTOCK!$K280</f>
        <v>5499.9</v>
      </c>
      <c r="O280" s="2"/>
      <c r="P280" s="2"/>
    </row>
    <row r="281" ht="18.0" hidden="1" customHeight="1">
      <c r="A281" s="1"/>
      <c r="B281" s="3">
        <v>280.0</v>
      </c>
      <c r="C281" s="13">
        <v>43257.0</v>
      </c>
      <c r="D281" s="14" t="s">
        <v>374</v>
      </c>
      <c r="E281" s="14" t="s">
        <v>375</v>
      </c>
      <c r="F281" s="11" t="s">
        <v>161</v>
      </c>
      <c r="G281" s="14" t="s">
        <v>171</v>
      </c>
      <c r="H281" s="14" t="s">
        <v>184</v>
      </c>
      <c r="I281" s="11">
        <v>100.0</v>
      </c>
      <c r="J281" s="11"/>
      <c r="K281" s="15">
        <v>696.54</v>
      </c>
      <c r="L281" s="6" t="str">
        <f>IF(D281&lt;&gt;"",VLOOKUP(H281,TABLEITEM,2,FALSE),"")</f>
        <v>MAT ST</v>
      </c>
      <c r="M281" s="6" t="str">
        <f>IF(D281&lt;&gt;"",VLOOKUP(H281,TABLEITEM,3,FALSE),"")</f>
        <v>เหล็กแผ่นขาว1220x1942T1.6</v>
      </c>
      <c r="N281" s="7">
        <f>INSTOCK!$I281*INSTOCK!$K281</f>
        <v>69654</v>
      </c>
      <c r="O281" s="2" t="s">
        <v>376</v>
      </c>
      <c r="P281" s="2"/>
    </row>
    <row r="282" ht="18.0" hidden="1" customHeight="1">
      <c r="A282" s="1"/>
      <c r="B282" s="3">
        <v>281.0</v>
      </c>
      <c r="C282" s="13">
        <v>43257.0</v>
      </c>
      <c r="D282" s="14" t="s">
        <v>374</v>
      </c>
      <c r="E282" s="14" t="s">
        <v>375</v>
      </c>
      <c r="F282" s="11" t="s">
        <v>161</v>
      </c>
      <c r="G282" s="14" t="s">
        <v>171</v>
      </c>
      <c r="H282" s="14" t="s">
        <v>36</v>
      </c>
      <c r="I282" s="11">
        <v>100.0</v>
      </c>
      <c r="J282" s="11"/>
      <c r="K282" s="15">
        <v>769.86</v>
      </c>
      <c r="L282" s="6" t="str">
        <f>IF(D282&lt;&gt;"",VLOOKUP(H282,TABLEITEM,2,FALSE),"")</f>
        <v>MAT ST</v>
      </c>
      <c r="M282" s="6" t="str">
        <f>IF(D282&lt;&gt;"",VLOOKUP(H282,TABLEITEM,3,FALSE),"")</f>
        <v>เหล็กแผ่นขาว1220x2142T1.6</v>
      </c>
      <c r="N282" s="7">
        <f>INSTOCK!$I282*INSTOCK!$K282</f>
        <v>76986</v>
      </c>
      <c r="O282" s="2" t="s">
        <v>377</v>
      </c>
      <c r="P282" s="2"/>
    </row>
    <row r="283" ht="18.0" hidden="1" customHeight="1">
      <c r="A283" s="1"/>
      <c r="B283" s="3">
        <v>282.0</v>
      </c>
      <c r="C283" s="13">
        <v>43257.0</v>
      </c>
      <c r="D283" s="14" t="s">
        <v>378</v>
      </c>
      <c r="E283" s="14" t="s">
        <v>375</v>
      </c>
      <c r="F283" s="11" t="s">
        <v>161</v>
      </c>
      <c r="G283" s="14" t="s">
        <v>171</v>
      </c>
      <c r="H283" s="14" t="s">
        <v>39</v>
      </c>
      <c r="I283" s="11">
        <v>100.0</v>
      </c>
      <c r="J283" s="11"/>
      <c r="K283" s="15">
        <v>783.75</v>
      </c>
      <c r="L283" s="6" t="str">
        <f>IF(D283&lt;&gt;"",VLOOKUP(H283,TABLEITEM,2,FALSE),"")</f>
        <v>MAT ST</v>
      </c>
      <c r="M283" s="6" t="str">
        <f>IF(D283&lt;&gt;"",VLOOKUP(H283,TABLEITEM,3,FALSE),"")</f>
        <v>เหล็กแผ่นEG4'x8'T1.2</v>
      </c>
      <c r="N283" s="7">
        <f>INSTOCK!$I283*INSTOCK!$K283</f>
        <v>78375</v>
      </c>
      <c r="O283" s="2" t="s">
        <v>379</v>
      </c>
      <c r="P283" s="2"/>
    </row>
    <row r="284" ht="18.0" hidden="1" customHeight="1">
      <c r="A284" s="1"/>
      <c r="B284" s="3">
        <v>283.0</v>
      </c>
      <c r="C284" s="13">
        <v>43257.0</v>
      </c>
      <c r="D284" s="14" t="s">
        <v>378</v>
      </c>
      <c r="E284" s="14" t="s">
        <v>375</v>
      </c>
      <c r="F284" s="11" t="s">
        <v>161</v>
      </c>
      <c r="G284" s="14" t="s">
        <v>171</v>
      </c>
      <c r="H284" s="14" t="s">
        <v>42</v>
      </c>
      <c r="I284" s="11">
        <v>200.0</v>
      </c>
      <c r="J284" s="11"/>
      <c r="K284" s="15">
        <v>1302.45</v>
      </c>
      <c r="L284" s="6" t="str">
        <f>IF(D284&lt;&gt;"",VLOOKUP(H284,TABLEITEM,2,FALSE),"")</f>
        <v>MAT ST</v>
      </c>
      <c r="M284" s="6" t="str">
        <f>IF(D284&lt;&gt;"",VLOOKUP(H284,TABLEITEM,3,FALSE),"")</f>
        <v>เหล็กแผ่นEG4'x8'T2.0</v>
      </c>
      <c r="N284" s="7">
        <f>INSTOCK!$I284*INSTOCK!$K284</f>
        <v>260490</v>
      </c>
      <c r="O284" s="2" t="s">
        <v>380</v>
      </c>
      <c r="P284" s="2"/>
    </row>
    <row r="285" ht="18.0" hidden="1" customHeight="1">
      <c r="A285" s="1"/>
      <c r="B285" s="3">
        <v>284.0</v>
      </c>
      <c r="C285" s="13">
        <v>43257.0</v>
      </c>
      <c r="D285" s="14" t="s">
        <v>381</v>
      </c>
      <c r="E285" s="14" t="s">
        <v>375</v>
      </c>
      <c r="F285" s="11" t="s">
        <v>161</v>
      </c>
      <c r="G285" s="14" t="s">
        <v>171</v>
      </c>
      <c r="H285" s="14" t="s">
        <v>25</v>
      </c>
      <c r="I285" s="11">
        <v>200.0</v>
      </c>
      <c r="J285" s="11"/>
      <c r="K285" s="15">
        <v>1683.15</v>
      </c>
      <c r="L285" s="6" t="str">
        <f>IF(D285&lt;&gt;"",VLOOKUP(H285,TABLEITEM,2,FALSE),"")</f>
        <v>MAT ST</v>
      </c>
      <c r="M285" s="6" t="str">
        <f>IF(D285&lt;&gt;"",VLOOKUP(H285,TABLEITEM,3,FALSE),"")</f>
        <v>เหล็กแผ่นขาว4'x8'T3.0</v>
      </c>
      <c r="N285" s="7">
        <f>INSTOCK!$I285*INSTOCK!$K285</f>
        <v>336630</v>
      </c>
      <c r="O285" s="2" t="s">
        <v>382</v>
      </c>
      <c r="P285" s="2"/>
    </row>
    <row r="286" ht="18.0" hidden="1" customHeight="1">
      <c r="A286" s="1"/>
      <c r="B286" s="3">
        <v>285.0</v>
      </c>
      <c r="C286" s="13">
        <v>43257.0</v>
      </c>
      <c r="D286" s="14" t="s">
        <v>383</v>
      </c>
      <c r="E286" s="14">
        <v>6.106000675E9</v>
      </c>
      <c r="F286" s="11" t="s">
        <v>161</v>
      </c>
      <c r="G286" s="14" t="s">
        <v>162</v>
      </c>
      <c r="H286" s="14" t="s">
        <v>73</v>
      </c>
      <c r="I286" s="11">
        <v>10.0</v>
      </c>
      <c r="J286" s="11"/>
      <c r="K286" s="15">
        <v>1400.0</v>
      </c>
      <c r="L286" s="6" t="str">
        <f>IF(D286&lt;&gt;"",VLOOKUP(H286,TABLEITEM,2,FALSE),"")</f>
        <v>MAT ST</v>
      </c>
      <c r="M286" s="6" t="str">
        <f>IF(D286&lt;&gt;"",VLOOKUP(H286,TABLEITEM,3,FALSE),"")</f>
        <v>แผ่นPVC ใส4'x8'T2.0</v>
      </c>
      <c r="N286" s="7">
        <f>INSTOCK!$I286*INSTOCK!$K286</f>
        <v>14000</v>
      </c>
      <c r="O286" s="2"/>
      <c r="P286" s="2"/>
    </row>
    <row r="287" ht="18.0" hidden="1" customHeight="1">
      <c r="A287" s="1"/>
      <c r="B287" s="3">
        <v>286.0</v>
      </c>
      <c r="C287" s="13">
        <v>43258.0</v>
      </c>
      <c r="D287" s="14" t="s">
        <v>384</v>
      </c>
      <c r="E287" s="14">
        <v>6.106000697E9</v>
      </c>
      <c r="F287" s="11" t="s">
        <v>161</v>
      </c>
      <c r="G287" s="14" t="s">
        <v>240</v>
      </c>
      <c r="H287" s="14" t="s">
        <v>124</v>
      </c>
      <c r="I287" s="11">
        <v>30.0</v>
      </c>
      <c r="J287" s="11" t="s">
        <v>78</v>
      </c>
      <c r="K287" s="15">
        <v>183.33</v>
      </c>
      <c r="L287" s="10" t="str">
        <f>IF(D287&lt;&gt;"",VLOOKUP(H287,TABLEITEM,2,FALSE),"")</f>
        <v>MAT ST</v>
      </c>
      <c r="M287" s="10" t="str">
        <f>IF(D287&lt;&gt;"",VLOOKUP(H287,TABLEITEM,3,FALSE),"")</f>
        <v>ฉากสแตนเลส 1''1/2หนา3.0</v>
      </c>
      <c r="N287" s="7">
        <f>INSTOCK!$I287*INSTOCK!$K287</f>
        <v>5499.9</v>
      </c>
      <c r="O287" s="2"/>
      <c r="P287" s="2"/>
    </row>
    <row r="288" ht="18.0" hidden="1" customHeight="1">
      <c r="A288" s="1"/>
      <c r="B288" s="3">
        <v>287.0</v>
      </c>
      <c r="C288" s="13">
        <v>43258.0</v>
      </c>
      <c r="D288" s="14" t="s">
        <v>385</v>
      </c>
      <c r="E288" s="14" t="s">
        <v>375</v>
      </c>
      <c r="F288" s="11" t="s">
        <v>161</v>
      </c>
      <c r="G288" s="14" t="s">
        <v>171</v>
      </c>
      <c r="H288" s="14" t="s">
        <v>30</v>
      </c>
      <c r="I288" s="11">
        <v>100.0</v>
      </c>
      <c r="J288" s="11"/>
      <c r="K288" s="15">
        <v>432.6</v>
      </c>
      <c r="L288" s="6" t="str">
        <f>IF(D288&lt;&gt;"",VLOOKUP(H288,TABLEITEM,2,FALSE),"")</f>
        <v>MAT ST</v>
      </c>
      <c r="M288" s="6" t="str">
        <f>IF(D288&lt;&gt;"",VLOOKUP(H288,TABLEITEM,3,FALSE),"")</f>
        <v>เหล็กแผ่นขาว729x1942T1.6</v>
      </c>
      <c r="N288" s="7">
        <f>INSTOCK!$I288*INSTOCK!$K288</f>
        <v>43260</v>
      </c>
      <c r="O288" s="2" t="s">
        <v>386</v>
      </c>
      <c r="P288" s="2"/>
    </row>
    <row r="289" ht="18.0" hidden="1" customHeight="1">
      <c r="A289" s="1"/>
      <c r="B289" s="3">
        <v>288.0</v>
      </c>
      <c r="C289" s="13">
        <v>43258.0</v>
      </c>
      <c r="D289" s="14" t="s">
        <v>385</v>
      </c>
      <c r="E289" s="14" t="s">
        <v>375</v>
      </c>
      <c r="F289" s="11" t="s">
        <v>161</v>
      </c>
      <c r="G289" s="14" t="s">
        <v>171</v>
      </c>
      <c r="H289" s="14" t="s">
        <v>37</v>
      </c>
      <c r="I289" s="11">
        <v>103.0</v>
      </c>
      <c r="J289" s="11"/>
      <c r="K289" s="15">
        <v>596.5</v>
      </c>
      <c r="L289" s="6" t="str">
        <f>IF(D289&lt;&gt;"",VLOOKUP(H289,TABLEITEM,2,FALSE),"")</f>
        <v>MAT ST</v>
      </c>
      <c r="M289" s="6" t="str">
        <f>IF(D289&lt;&gt;"",VLOOKUP(H289,TABLEITEM,3,FALSE),"")</f>
        <v>เหล็กแผ่นขาว929x2142T1.6</v>
      </c>
      <c r="N289" s="7">
        <f>INSTOCK!$I289*INSTOCK!$K289</f>
        <v>61439.5</v>
      </c>
      <c r="O289" s="2" t="s">
        <v>387</v>
      </c>
      <c r="P289" s="2"/>
    </row>
    <row r="290" ht="18.0" hidden="1" customHeight="1">
      <c r="A290" s="1"/>
      <c r="B290" s="3">
        <v>289.0</v>
      </c>
      <c r="C290" s="13">
        <v>43258.0</v>
      </c>
      <c r="D290" s="14" t="s">
        <v>385</v>
      </c>
      <c r="E290" s="14" t="s">
        <v>375</v>
      </c>
      <c r="F290" s="11" t="s">
        <v>161</v>
      </c>
      <c r="G290" s="14" t="s">
        <v>171</v>
      </c>
      <c r="H290" s="14" t="s">
        <v>388</v>
      </c>
      <c r="I290" s="11">
        <v>86.0</v>
      </c>
      <c r="J290" s="11"/>
      <c r="K290" s="15">
        <v>360.0</v>
      </c>
      <c r="L290" s="6" t="str">
        <f>IF(D290&lt;&gt;"",VLOOKUP(H290,TABLEITEM,2,FALSE),"")</f>
        <v>MAT ST</v>
      </c>
      <c r="M290" s="6" t="str">
        <f>IF(D290&lt;&gt;"",VLOOKUP(H290,TABLEITEM,3,FALSE),"")</f>
        <v>เหล็กแผ่นขาว491x2440T1.6</v>
      </c>
      <c r="N290" s="7">
        <f>INSTOCK!$I290*INSTOCK!$K290</f>
        <v>30960</v>
      </c>
      <c r="O290" s="2" t="s">
        <v>389</v>
      </c>
      <c r="P290" s="2"/>
    </row>
    <row r="291" ht="18.0" hidden="1" customHeight="1">
      <c r="A291" s="1"/>
      <c r="B291" s="3">
        <v>290.0</v>
      </c>
      <c r="C291" s="13">
        <v>43258.0</v>
      </c>
      <c r="D291" s="14" t="s">
        <v>385</v>
      </c>
      <c r="E291" s="14" t="s">
        <v>375</v>
      </c>
      <c r="F291" s="11" t="s">
        <v>161</v>
      </c>
      <c r="G291" s="14" t="s">
        <v>171</v>
      </c>
      <c r="H291" s="14" t="s">
        <v>390</v>
      </c>
      <c r="I291" s="11">
        <v>91.0</v>
      </c>
      <c r="J291" s="11"/>
      <c r="K291" s="15">
        <v>212.57</v>
      </c>
      <c r="L291" s="6" t="str">
        <f>IF(D291&lt;&gt;"",VLOOKUP(H291,TABLEITEM,2,FALSE),"")</f>
        <v>MAT ST</v>
      </c>
      <c r="M291" s="6" t="str">
        <f>IF(D291&lt;&gt;"",VLOOKUP(H291,TABLEITEM,3,FALSE),"")</f>
        <v>เหล็กแผ่นขาว 290x2440xT1.6</v>
      </c>
      <c r="N291" s="7">
        <f>INSTOCK!$I291*INSTOCK!$K291</f>
        <v>19343.87</v>
      </c>
      <c r="O291" s="2" t="s">
        <v>391</v>
      </c>
      <c r="P291" s="2"/>
    </row>
    <row r="292" ht="18.0" hidden="1" customHeight="1">
      <c r="A292" s="1"/>
      <c r="B292" s="3">
        <v>291.0</v>
      </c>
      <c r="C292" s="13">
        <v>43258.0</v>
      </c>
      <c r="D292" s="14" t="s">
        <v>385</v>
      </c>
      <c r="E292" s="14" t="s">
        <v>375</v>
      </c>
      <c r="F292" s="11" t="s">
        <v>161</v>
      </c>
      <c r="G292" s="14" t="s">
        <v>171</v>
      </c>
      <c r="H292" s="14" t="s">
        <v>301</v>
      </c>
      <c r="I292" s="11">
        <v>63.0</v>
      </c>
      <c r="J292" s="11"/>
      <c r="K292" s="15">
        <v>24.0</v>
      </c>
      <c r="L292" s="6" t="str">
        <f>IF(D292&lt;&gt;"",VLOOKUP(H292,TABLEITEM,2,FALSE),"")</f>
        <v>MAT ST</v>
      </c>
      <c r="M292" s="6" t="str">
        <f>IF(D292&lt;&gt;"",VLOOKUP(H292,TABLEITEM,3,FALSE),"")</f>
        <v>เหล็กแผ่นขาวT1.6(เศษ)</v>
      </c>
      <c r="N292" s="7">
        <f>INSTOCK!$I292*INSTOCK!$K292</f>
        <v>1512</v>
      </c>
      <c r="O292" s="2" t="s">
        <v>392</v>
      </c>
      <c r="P292" s="2"/>
    </row>
    <row r="293" ht="18.0" hidden="1" customHeight="1">
      <c r="A293" s="1"/>
      <c r="B293" s="3">
        <v>292.0</v>
      </c>
      <c r="C293" s="13">
        <v>43263.0</v>
      </c>
      <c r="D293" s="14" t="s">
        <v>393</v>
      </c>
      <c r="E293" s="14">
        <v>6.105000652E9</v>
      </c>
      <c r="F293" s="11" t="s">
        <v>161</v>
      </c>
      <c r="G293" s="14" t="s">
        <v>202</v>
      </c>
      <c r="H293" s="14" t="s">
        <v>54</v>
      </c>
      <c r="I293" s="11">
        <v>100.0</v>
      </c>
      <c r="J293" s="11"/>
      <c r="K293" s="15">
        <v>2725.0</v>
      </c>
      <c r="L293" s="6" t="str">
        <f>IF(D293&lt;&gt;"",VLOOKUP(H293,TABLEITEM,2,FALSE),"")</f>
        <v>MAT ST</v>
      </c>
      <c r="M293" s="6" t="str">
        <f>IF(D293&lt;&gt;"",VLOOKUP(H293,TABLEITEM,3,FALSE),"")</f>
        <v>เหล็กแผ่นดำ5'x10'T3.0</v>
      </c>
      <c r="N293" s="7">
        <f>INSTOCK!$I293*INSTOCK!$K293</f>
        <v>272500</v>
      </c>
      <c r="O293" s="2"/>
      <c r="P293" s="2"/>
    </row>
    <row r="294" ht="18.0" hidden="1" customHeight="1">
      <c r="A294" s="1"/>
      <c r="B294" s="3">
        <v>293.0</v>
      </c>
      <c r="C294" s="13">
        <v>43265.0</v>
      </c>
      <c r="D294" s="14" t="s">
        <v>394</v>
      </c>
      <c r="E294" s="14">
        <v>6.105000549E9</v>
      </c>
      <c r="F294" s="11" t="s">
        <v>161</v>
      </c>
      <c r="G294" s="14" t="s">
        <v>171</v>
      </c>
      <c r="H294" s="14" t="s">
        <v>46</v>
      </c>
      <c r="I294" s="11">
        <v>30.0</v>
      </c>
      <c r="J294" s="11"/>
      <c r="K294" s="15">
        <v>2146.23</v>
      </c>
      <c r="L294" s="6" t="str">
        <f>IF(D294&lt;&gt;"",VLOOKUP(H294,TABLEITEM,2,FALSE),"")</f>
        <v>MAT ST</v>
      </c>
      <c r="M294" s="6" t="str">
        <f>IF(D294&lt;&gt;"",VLOOKUP(H294,TABLEITEM,3,FALSE),"")</f>
        <v>เหล็กแผ่นEG4'x8'T3.0</v>
      </c>
      <c r="N294" s="7">
        <f>INSTOCK!$I294*INSTOCK!$K294</f>
        <v>64386.9</v>
      </c>
      <c r="O294" s="2" t="s">
        <v>395</v>
      </c>
      <c r="P294" s="2"/>
    </row>
    <row r="295" ht="18.0" hidden="1" customHeight="1">
      <c r="A295" s="1"/>
      <c r="B295" s="3">
        <v>294.0</v>
      </c>
      <c r="C295" s="13">
        <v>43265.0</v>
      </c>
      <c r="D295" s="14" t="s">
        <v>394</v>
      </c>
      <c r="E295" s="14">
        <v>6.105000549E9</v>
      </c>
      <c r="F295" s="11" t="s">
        <v>161</v>
      </c>
      <c r="G295" s="14" t="s">
        <v>171</v>
      </c>
      <c r="H295" s="14" t="s">
        <v>47</v>
      </c>
      <c r="I295" s="11">
        <v>20.0</v>
      </c>
      <c r="J295" s="11"/>
      <c r="K295" s="15">
        <v>2647.4</v>
      </c>
      <c r="L295" s="6" t="str">
        <f>IF(D295&lt;&gt;"",VLOOKUP(H295,TABLEITEM,2,FALSE),"")</f>
        <v>MAT ST</v>
      </c>
      <c r="M295" s="6" t="str">
        <f>IF(D295&lt;&gt;"",VLOOKUP(H295,TABLEITEM,3,FALSE),"")</f>
        <v>เหล็กแผ่นEG4'x3000T3.0</v>
      </c>
      <c r="N295" s="7">
        <f>INSTOCK!$I295*INSTOCK!$K295</f>
        <v>52948</v>
      </c>
      <c r="O295" s="2" t="s">
        <v>396</v>
      </c>
      <c r="P295" s="2"/>
    </row>
    <row r="296" ht="18.0" hidden="1" customHeight="1">
      <c r="A296" s="1"/>
      <c r="B296" s="3">
        <v>295.0</v>
      </c>
      <c r="C296" s="13">
        <v>43270.0</v>
      </c>
      <c r="D296" s="14" t="s">
        <v>397</v>
      </c>
      <c r="E296" s="14">
        <v>6.106000741E9</v>
      </c>
      <c r="F296" s="11" t="s">
        <v>398</v>
      </c>
      <c r="G296" s="14" t="s">
        <v>153</v>
      </c>
      <c r="H296" s="18" t="s">
        <v>107</v>
      </c>
      <c r="I296" s="11">
        <v>300.0</v>
      </c>
      <c r="J296" s="11"/>
      <c r="K296" s="15">
        <v>51.0</v>
      </c>
      <c r="L296" s="6" t="str">
        <f>IF(D296&lt;&gt;"",VLOOKUP(H296,TABLEITEM,2,FALSE),"")</f>
        <v>MAT ST</v>
      </c>
      <c r="M296" s="6" t="str">
        <f>IF(D296&lt;&gt;"",VLOOKUP(H296,TABLEITEM,3,FALSE),"")</f>
        <v>เหล็กเพลากลม 8มิล</v>
      </c>
      <c r="N296" s="7">
        <f>INSTOCK!$I296*INSTOCK!$K296</f>
        <v>15300</v>
      </c>
      <c r="O296" s="2"/>
      <c r="P296" s="2"/>
    </row>
    <row r="297" ht="18.0" hidden="1" customHeight="1">
      <c r="A297" s="1"/>
      <c r="B297" s="3">
        <v>296.0</v>
      </c>
      <c r="C297" s="13">
        <v>43270.0</v>
      </c>
      <c r="D297" s="14" t="s">
        <v>397</v>
      </c>
      <c r="E297" s="14">
        <v>6.106000741E9</v>
      </c>
      <c r="F297" s="11" t="s">
        <v>398</v>
      </c>
      <c r="G297" s="14" t="s">
        <v>153</v>
      </c>
      <c r="H297" s="14" t="s">
        <v>147</v>
      </c>
      <c r="I297" s="11">
        <v>6.0</v>
      </c>
      <c r="J297" s="11" t="s">
        <v>78</v>
      </c>
      <c r="K297" s="15">
        <v>20.0</v>
      </c>
      <c r="L297" s="10" t="str">
        <f>IF(D297&lt;&gt;"",VLOOKUP(H297,TABLEITEM,2,FALSE),"")</f>
        <v>MAT ST</v>
      </c>
      <c r="M297" s="10" t="str">
        <f>IF(D297&lt;&gt;"",VLOOKUP(H297,TABLEITEM,3,FALSE),"")</f>
        <v>เหล็กกล่อง 3/4 X 3/4หนา1.2 มิล</v>
      </c>
      <c r="N297" s="7">
        <f>INSTOCK!$I297*INSTOCK!$K297</f>
        <v>120</v>
      </c>
      <c r="O297" s="2"/>
      <c r="P297" s="2"/>
    </row>
    <row r="298" ht="18.0" hidden="1" customHeight="1">
      <c r="A298" s="1"/>
      <c r="B298" s="3">
        <v>297.0</v>
      </c>
      <c r="C298" s="13">
        <v>43273.0</v>
      </c>
      <c r="D298" s="14" t="s">
        <v>399</v>
      </c>
      <c r="E298" s="14">
        <v>6.106000746E9</v>
      </c>
      <c r="F298" s="11" t="s">
        <v>161</v>
      </c>
      <c r="G298" s="14" t="s">
        <v>171</v>
      </c>
      <c r="H298" s="14" t="s">
        <v>19</v>
      </c>
      <c r="I298" s="11">
        <v>100.0</v>
      </c>
      <c r="J298" s="11"/>
      <c r="K298" s="15">
        <v>877.02</v>
      </c>
      <c r="L298" s="6" t="str">
        <f>IF(D298&lt;&gt;"",VLOOKUP(H298,TABLEITEM,2,FALSE),"")</f>
        <v>MAT ST</v>
      </c>
      <c r="M298" s="6" t="str">
        <f>IF(D298&lt;&gt;"",VLOOKUP(H298,TABLEITEM,3,FALSE),"")</f>
        <v>เหล็กแผ่นขาว4'x8'T1.6</v>
      </c>
      <c r="N298" s="7">
        <f>INSTOCK!$I298*INSTOCK!$K298</f>
        <v>87702</v>
      </c>
      <c r="O298" s="2" t="s">
        <v>400</v>
      </c>
      <c r="P298" s="2"/>
    </row>
    <row r="299" ht="18.0" hidden="1" customHeight="1">
      <c r="A299" s="1"/>
      <c r="B299" s="3">
        <v>298.0</v>
      </c>
      <c r="C299" s="13">
        <v>43273.0</v>
      </c>
      <c r="D299" s="14" t="s">
        <v>401</v>
      </c>
      <c r="E299" s="14">
        <v>6.106000746E9</v>
      </c>
      <c r="F299" s="11" t="s">
        <v>161</v>
      </c>
      <c r="G299" s="14" t="s">
        <v>171</v>
      </c>
      <c r="H299" s="14" t="s">
        <v>21</v>
      </c>
      <c r="I299" s="11">
        <v>200.0</v>
      </c>
      <c r="J299" s="11"/>
      <c r="K299" s="15">
        <v>1099.76</v>
      </c>
      <c r="L299" s="6" t="str">
        <f>IF(D299&lt;&gt;"",VLOOKUP(H299,TABLEITEM,2,FALSE),"")</f>
        <v>MAT ST</v>
      </c>
      <c r="M299" s="6" t="str">
        <f>IF(D299&lt;&gt;"",VLOOKUP(H299,TABLEITEM,3,FALSE),"")</f>
        <v>เหล็กแผ่นขาว4'x8'T2.0</v>
      </c>
      <c r="N299" s="7">
        <f>INSTOCK!$I299*INSTOCK!$K299</f>
        <v>219952</v>
      </c>
      <c r="O299" s="2" t="s">
        <v>402</v>
      </c>
      <c r="P299" s="2"/>
    </row>
    <row r="300" ht="18.0" hidden="1" customHeight="1">
      <c r="A300" s="1"/>
      <c r="B300" s="3">
        <v>299.0</v>
      </c>
      <c r="C300" s="13">
        <v>43274.0</v>
      </c>
      <c r="D300" s="14" t="s">
        <v>403</v>
      </c>
      <c r="E300" s="14">
        <v>6.106000794E9</v>
      </c>
      <c r="F300" s="11" t="s">
        <v>404</v>
      </c>
      <c r="G300" s="14" t="s">
        <v>153</v>
      </c>
      <c r="H300" s="14" t="s">
        <v>405</v>
      </c>
      <c r="I300" s="11">
        <v>24.0</v>
      </c>
      <c r="J300" s="11" t="s">
        <v>78</v>
      </c>
      <c r="K300" s="15">
        <v>246.67</v>
      </c>
      <c r="L300" s="10" t="str">
        <f>IF(D300&lt;&gt;"",VLOOKUP(H300,TABLEITEM,2,FALSE),"")</f>
        <v>MAT ST</v>
      </c>
      <c r="M300" s="10" t="str">
        <f>IF(D300&lt;&gt;"",VLOOKUP(H300,TABLEITEM,3,FALSE),"")</f>
        <v>เหล็กไวด์แฟรงค์ 100x50x5x7</v>
      </c>
      <c r="N300" s="7">
        <f>INSTOCK!$I300*INSTOCK!$K300</f>
        <v>5920.08</v>
      </c>
      <c r="O300" s="2"/>
      <c r="P300" s="2"/>
    </row>
    <row r="301" ht="18.0" hidden="1" customHeight="1">
      <c r="A301" s="1"/>
      <c r="B301" s="3">
        <v>300.0</v>
      </c>
      <c r="C301" s="13">
        <v>43283.0</v>
      </c>
      <c r="D301" s="14" t="s">
        <v>406</v>
      </c>
      <c r="E301" s="14">
        <v>6.106000754E9</v>
      </c>
      <c r="F301" s="11" t="s">
        <v>161</v>
      </c>
      <c r="G301" s="14" t="s">
        <v>171</v>
      </c>
      <c r="H301" s="14" t="s">
        <v>19</v>
      </c>
      <c r="I301" s="11">
        <v>200.0</v>
      </c>
      <c r="J301" s="11"/>
      <c r="K301" s="15">
        <v>876.55</v>
      </c>
      <c r="L301" s="6" t="str">
        <f>IF(D301&lt;&gt;"",VLOOKUP(H301,TABLEITEM,2,FALSE),"")</f>
        <v>MAT ST</v>
      </c>
      <c r="M301" s="6" t="str">
        <f>IF(D301&lt;&gt;"",VLOOKUP(H301,TABLEITEM,3,FALSE),"")</f>
        <v>เหล็กแผ่นขาว4'x8'T1.6</v>
      </c>
      <c r="N301" s="7">
        <f>INSTOCK!$I301*INSTOCK!$K301</f>
        <v>175310</v>
      </c>
      <c r="O301" s="2" t="s">
        <v>407</v>
      </c>
      <c r="P301" s="2"/>
    </row>
    <row r="302" ht="18.0" hidden="1" customHeight="1">
      <c r="A302" s="1"/>
      <c r="B302" s="3">
        <v>301.0</v>
      </c>
      <c r="C302" s="13">
        <v>43283.0</v>
      </c>
      <c r="D302" s="14" t="s">
        <v>406</v>
      </c>
      <c r="E302" s="14">
        <v>6.106000754E9</v>
      </c>
      <c r="F302" s="11" t="s">
        <v>161</v>
      </c>
      <c r="G302" s="14" t="s">
        <v>171</v>
      </c>
      <c r="H302" s="14" t="s">
        <v>23</v>
      </c>
      <c r="I302" s="11">
        <v>100.0</v>
      </c>
      <c r="J302" s="11"/>
      <c r="K302" s="15">
        <v>1294.8</v>
      </c>
      <c r="L302" s="6" t="str">
        <f>IF(D302&lt;&gt;"",VLOOKUP(H302,TABLEITEM,2,FALSE),"")</f>
        <v>MAT ST</v>
      </c>
      <c r="M302" s="6" t="str">
        <f>IF(D302&lt;&gt;"",VLOOKUP(H302,TABLEITEM,3,FALSE),"")</f>
        <v>เหล็กแผ่นขาว4'x8'T2.3</v>
      </c>
      <c r="N302" s="7">
        <f>INSTOCK!$I302*INSTOCK!$K302</f>
        <v>129480</v>
      </c>
      <c r="O302" s="2" t="s">
        <v>408</v>
      </c>
      <c r="P302" s="2"/>
    </row>
    <row r="303" ht="18.0" hidden="1" customHeight="1">
      <c r="A303" s="1"/>
      <c r="B303" s="3">
        <v>302.0</v>
      </c>
      <c r="C303" s="13">
        <v>43283.0</v>
      </c>
      <c r="D303" s="14" t="s">
        <v>409</v>
      </c>
      <c r="E303" s="14">
        <v>6.106000797E9</v>
      </c>
      <c r="F303" s="11" t="s">
        <v>410</v>
      </c>
      <c r="G303" s="14" t="s">
        <v>202</v>
      </c>
      <c r="H303" s="14" t="s">
        <v>79</v>
      </c>
      <c r="I303" s="11">
        <v>300.0</v>
      </c>
      <c r="J303" s="11" t="s">
        <v>78</v>
      </c>
      <c r="K303" s="15">
        <v>155.83</v>
      </c>
      <c r="L303" s="10" t="str">
        <f>IF(D303&lt;&gt;"",VLOOKUP(H303,TABLEITEM,2,FALSE),"")</f>
        <v>MAT ST</v>
      </c>
      <c r="M303" s="10" t="str">
        <f>IF(D303&lt;&gt;"",VLOOKUP(H303,TABLEITEM,3,FALSE),"")</f>
        <v>เหล็กรางน้ำ U' 3</v>
      </c>
      <c r="N303" s="7">
        <f>INSTOCK!$I303*INSTOCK!$K303</f>
        <v>46749</v>
      </c>
      <c r="O303" s="2" t="s">
        <v>168</v>
      </c>
      <c r="P303" s="2"/>
    </row>
    <row r="304" ht="18.0" hidden="1" customHeight="1">
      <c r="A304" s="1"/>
      <c r="B304" s="3">
        <v>303.0</v>
      </c>
      <c r="C304" s="13">
        <v>43283.0</v>
      </c>
      <c r="D304" s="14" t="s">
        <v>409</v>
      </c>
      <c r="E304" s="14">
        <v>6.106000797E9</v>
      </c>
      <c r="F304" s="11" t="s">
        <v>410</v>
      </c>
      <c r="G304" s="14" t="s">
        <v>202</v>
      </c>
      <c r="H304" s="14" t="s">
        <v>98</v>
      </c>
      <c r="I304" s="11">
        <v>60.0</v>
      </c>
      <c r="J304" s="11" t="s">
        <v>78</v>
      </c>
      <c r="K304" s="15">
        <v>125.83</v>
      </c>
      <c r="L304" s="10" t="str">
        <f>IF(D304&lt;&gt;"",VLOOKUP(H304,TABLEITEM,2,FALSE),"")</f>
        <v>MAT ST</v>
      </c>
      <c r="M304" s="10" t="str">
        <f>IF(D304&lt;&gt;"",VLOOKUP(H304,TABLEITEM,3,FALSE),"")</f>
        <v>เหล็กกล่อง 3'' หนา2.3 มิล</v>
      </c>
      <c r="N304" s="7">
        <f>INSTOCK!$I304*INSTOCK!$K304</f>
        <v>7549.8</v>
      </c>
      <c r="O304" s="2" t="s">
        <v>365</v>
      </c>
      <c r="P304" s="2"/>
    </row>
    <row r="305" ht="18.0" hidden="1" customHeight="1">
      <c r="A305" s="1"/>
      <c r="B305" s="3">
        <v>304.0</v>
      </c>
      <c r="C305" s="13">
        <v>43283.0</v>
      </c>
      <c r="D305" s="14" t="s">
        <v>409</v>
      </c>
      <c r="E305" s="14">
        <v>6.106000797E9</v>
      </c>
      <c r="F305" s="11" t="s">
        <v>410</v>
      </c>
      <c r="G305" s="14" t="s">
        <v>202</v>
      </c>
      <c r="H305" s="14" t="s">
        <v>85</v>
      </c>
      <c r="I305" s="11">
        <v>300.0</v>
      </c>
      <c r="J305" s="11" t="s">
        <v>78</v>
      </c>
      <c r="K305" s="15">
        <v>43.33</v>
      </c>
      <c r="L305" s="10" t="str">
        <f>IF(D305&lt;&gt;"",VLOOKUP(H305,TABLEITEM,2,FALSE),"")</f>
        <v>MAT ST</v>
      </c>
      <c r="M305" s="10" t="str">
        <f>IF(D305&lt;&gt;"",VLOOKUP(H305,TABLEITEM,3,FALSE),"")</f>
        <v>เหล็กฉาก 1''1/2'หนา3 มิล</v>
      </c>
      <c r="N305" s="7">
        <f>INSTOCK!$I305*INSTOCK!$K305</f>
        <v>12999</v>
      </c>
      <c r="O305" s="2" t="s">
        <v>168</v>
      </c>
      <c r="P305" s="2"/>
    </row>
    <row r="306" ht="18.0" hidden="1" customHeight="1">
      <c r="A306" s="1"/>
      <c r="B306" s="3">
        <v>305.0</v>
      </c>
      <c r="C306" s="13">
        <v>43283.0</v>
      </c>
      <c r="D306" s="14" t="s">
        <v>409</v>
      </c>
      <c r="E306" s="14">
        <v>6.106000797E9</v>
      </c>
      <c r="F306" s="11" t="s">
        <v>410</v>
      </c>
      <c r="G306" s="14" t="s">
        <v>202</v>
      </c>
      <c r="H306" s="14" t="s">
        <v>57</v>
      </c>
      <c r="I306" s="11">
        <v>3.0</v>
      </c>
      <c r="J306" s="11"/>
      <c r="K306" s="15">
        <v>5060.0</v>
      </c>
      <c r="L306" s="6" t="str">
        <f>IF(D306&lt;&gt;"",VLOOKUP(H306,TABLEITEM,2,FALSE),"")</f>
        <v>MAT ST</v>
      </c>
      <c r="M306" s="6" t="str">
        <f>IF(D306&lt;&gt;"",VLOOKUP(H306,TABLEITEM,3,FALSE),"")</f>
        <v>เหล็กแผ่นดำ4'x8'T9.0</v>
      </c>
      <c r="N306" s="7">
        <f>INSTOCK!$I306*INSTOCK!$K306</f>
        <v>15180</v>
      </c>
      <c r="O306" s="2"/>
      <c r="P306" s="2"/>
    </row>
    <row r="307" ht="18.0" hidden="1" customHeight="1">
      <c r="A307" s="1"/>
      <c r="B307" s="3">
        <v>306.0</v>
      </c>
      <c r="C307" s="13">
        <v>43283.0</v>
      </c>
      <c r="D307" s="14" t="s">
        <v>411</v>
      </c>
      <c r="E307" s="14">
        <v>6.106000747E9</v>
      </c>
      <c r="F307" s="11" t="s">
        <v>161</v>
      </c>
      <c r="G307" s="14" t="s">
        <v>202</v>
      </c>
      <c r="H307" s="14" t="s">
        <v>86</v>
      </c>
      <c r="I307" s="11">
        <v>300.0</v>
      </c>
      <c r="J307" s="11" t="s">
        <v>78</v>
      </c>
      <c r="K307" s="15">
        <v>68.33</v>
      </c>
      <c r="L307" s="10" t="str">
        <f>IF(D307&lt;&gt;"",VLOOKUP(H307,TABLEITEM,2,FALSE),"")</f>
        <v>MAT ST</v>
      </c>
      <c r="M307" s="10" t="str">
        <f>IF(D307&lt;&gt;"",VLOOKUP(H307,TABLEITEM,3,FALSE),"")</f>
        <v>เหล็กฉาก 1''1/2'หนา5 มิล</v>
      </c>
      <c r="N307" s="7">
        <f>INSTOCK!$I307*INSTOCK!$K307</f>
        <v>20499</v>
      </c>
      <c r="O307" s="2" t="s">
        <v>168</v>
      </c>
      <c r="P307" s="2"/>
    </row>
    <row r="308" ht="18.0" hidden="1" customHeight="1">
      <c r="A308" s="1"/>
      <c r="B308" s="3">
        <v>307.0</v>
      </c>
      <c r="C308" s="13">
        <v>43283.0</v>
      </c>
      <c r="D308" s="14" t="s">
        <v>411</v>
      </c>
      <c r="E308" s="14">
        <v>6.106000747E9</v>
      </c>
      <c r="F308" s="11" t="s">
        <v>161</v>
      </c>
      <c r="G308" s="14" t="s">
        <v>202</v>
      </c>
      <c r="H308" s="14" t="s">
        <v>89</v>
      </c>
      <c r="I308" s="11">
        <v>300.0</v>
      </c>
      <c r="J308" s="11" t="s">
        <v>78</v>
      </c>
      <c r="K308" s="15">
        <v>86.67</v>
      </c>
      <c r="L308" s="10" t="str">
        <f>IF(D308&lt;&gt;"",VLOOKUP(H308,TABLEITEM,2,FALSE),"")</f>
        <v>MAT ST</v>
      </c>
      <c r="M308" s="10" t="str">
        <f>IF(D308&lt;&gt;"",VLOOKUP(H308,TABLEITEM,3,FALSE),"")</f>
        <v>เหล็กฉาก 2''หนา5 มิล</v>
      </c>
      <c r="N308" s="7">
        <f>INSTOCK!$I308*INSTOCK!$K308</f>
        <v>26001</v>
      </c>
      <c r="O308" s="2" t="s">
        <v>168</v>
      </c>
      <c r="P308" s="2"/>
    </row>
    <row r="309" ht="18.0" hidden="1" customHeight="1">
      <c r="A309" s="1"/>
      <c r="B309" s="3">
        <v>308.0</v>
      </c>
      <c r="C309" s="13">
        <v>43288.0</v>
      </c>
      <c r="D309" s="14" t="s">
        <v>412</v>
      </c>
      <c r="E309" s="14">
        <v>6.107000825E9</v>
      </c>
      <c r="F309" s="11" t="s">
        <v>413</v>
      </c>
      <c r="G309" s="14" t="s">
        <v>240</v>
      </c>
      <c r="H309" s="14" t="s">
        <v>134</v>
      </c>
      <c r="I309" s="11">
        <v>18.0</v>
      </c>
      <c r="J309" s="11" t="s">
        <v>78</v>
      </c>
      <c r="K309" s="15">
        <v>475.0</v>
      </c>
      <c r="L309" s="10" t="str">
        <f>IF(D309&lt;&gt;"",VLOOKUP(H309,TABLEITEM,2,FALSE),"")</f>
        <v>MAT ST</v>
      </c>
      <c r="M309" s="10" t="str">
        <f>IF(D309&lt;&gt;"",VLOOKUP(H309,TABLEITEM,3,FALSE),"")</f>
        <v>ฉากสแตนเลส 2''หนา6.0</v>
      </c>
      <c r="N309" s="7">
        <f>INSTOCK!$I309*INSTOCK!$K309</f>
        <v>8550</v>
      </c>
      <c r="O309" s="2"/>
      <c r="P309" s="2"/>
    </row>
    <row r="310" ht="18.0" hidden="1" customHeight="1">
      <c r="A310" s="1"/>
      <c r="B310" s="3">
        <v>309.0</v>
      </c>
      <c r="C310" s="13">
        <v>43288.0</v>
      </c>
      <c r="D310" s="14" t="s">
        <v>412</v>
      </c>
      <c r="E310" s="14">
        <v>6.107000825E9</v>
      </c>
      <c r="F310" s="11" t="s">
        <v>413</v>
      </c>
      <c r="G310" s="14" t="s">
        <v>240</v>
      </c>
      <c r="H310" s="14" t="s">
        <v>124</v>
      </c>
      <c r="I310" s="11">
        <v>66.0</v>
      </c>
      <c r="J310" s="11" t="s">
        <v>78</v>
      </c>
      <c r="K310" s="15">
        <v>205.0</v>
      </c>
      <c r="L310" s="10" t="str">
        <f>IF(D310&lt;&gt;"",VLOOKUP(H310,TABLEITEM,2,FALSE),"")</f>
        <v>MAT ST</v>
      </c>
      <c r="M310" s="10" t="str">
        <f>IF(D310&lt;&gt;"",VLOOKUP(H310,TABLEITEM,3,FALSE),"")</f>
        <v>ฉากสแตนเลส 1''1/2หนา3.0</v>
      </c>
      <c r="N310" s="7">
        <f>INSTOCK!$I310*INSTOCK!$K310</f>
        <v>13530</v>
      </c>
      <c r="O310" s="2"/>
      <c r="P310" s="2"/>
    </row>
    <row r="311" ht="18.0" hidden="1" customHeight="1">
      <c r="A311" s="1"/>
      <c r="B311" s="3">
        <v>310.0</v>
      </c>
      <c r="C311" s="13">
        <v>43288.0</v>
      </c>
      <c r="D311" s="14" t="s">
        <v>412</v>
      </c>
      <c r="E311" s="14">
        <v>6.107000825E9</v>
      </c>
      <c r="F311" s="11" t="s">
        <v>413</v>
      </c>
      <c r="G311" s="14" t="s">
        <v>240</v>
      </c>
      <c r="H311" s="14" t="s">
        <v>414</v>
      </c>
      <c r="I311" s="11">
        <v>36.0</v>
      </c>
      <c r="J311" s="11" t="s">
        <v>78</v>
      </c>
      <c r="K311" s="15">
        <v>366.67</v>
      </c>
      <c r="L311" s="10" t="str">
        <f>IF(D311&lt;&gt;"",VLOOKUP(H311,TABLEITEM,2,FALSE),"")</f>
        <v>MAT ST</v>
      </c>
      <c r="M311" s="10" t="str">
        <f>IF(D311&lt;&gt;"",VLOOKUP(H311,TABLEITEM,3,FALSE),"")</f>
        <v>ฉากสแตนเลส2'หนา5.0</v>
      </c>
      <c r="N311" s="7">
        <f>INSTOCK!$I311*INSTOCK!$K311</f>
        <v>13200.12</v>
      </c>
      <c r="O311" s="2"/>
      <c r="P311" s="2"/>
    </row>
    <row r="312" ht="18.0" hidden="1" customHeight="1">
      <c r="A312" s="1"/>
      <c r="B312" s="3">
        <v>311.0</v>
      </c>
      <c r="C312" s="13">
        <v>43290.0</v>
      </c>
      <c r="D312" s="14" t="s">
        <v>415</v>
      </c>
      <c r="E312" s="14">
        <v>6.107000829E9</v>
      </c>
      <c r="F312" s="11" t="s">
        <v>416</v>
      </c>
      <c r="G312" s="14" t="s">
        <v>153</v>
      </c>
      <c r="H312" s="14" t="s">
        <v>93</v>
      </c>
      <c r="I312" s="11">
        <v>18.0</v>
      </c>
      <c r="J312" s="11" t="s">
        <v>78</v>
      </c>
      <c r="K312" s="15">
        <v>15.0</v>
      </c>
      <c r="L312" s="10" t="str">
        <f>IF(D312&lt;&gt;"",VLOOKUP(H312,TABLEITEM,2,FALSE),"")</f>
        <v>MAT ST</v>
      </c>
      <c r="M312" s="10" t="str">
        <f>IF(D312&lt;&gt;"",VLOOKUP(H312,TABLEITEM,3,FALSE),"")</f>
        <v>เหล็กกล่อง 1/2 หนา1.2 มิล</v>
      </c>
      <c r="N312" s="7">
        <f>INSTOCK!$I312*INSTOCK!$K312</f>
        <v>270</v>
      </c>
      <c r="O312" s="2"/>
      <c r="P312" s="2"/>
    </row>
    <row r="313" ht="18.0" hidden="1" customHeight="1">
      <c r="A313" s="1"/>
      <c r="B313" s="3">
        <v>312.0</v>
      </c>
      <c r="C313" s="13">
        <v>43290.0</v>
      </c>
      <c r="D313" s="14" t="s">
        <v>415</v>
      </c>
      <c r="E313" s="14">
        <v>6.107000829E9</v>
      </c>
      <c r="F313" s="11" t="s">
        <v>416</v>
      </c>
      <c r="G313" s="14" t="s">
        <v>153</v>
      </c>
      <c r="H313" s="14" t="s">
        <v>147</v>
      </c>
      <c r="I313" s="11">
        <v>66.0</v>
      </c>
      <c r="J313" s="11" t="s">
        <v>78</v>
      </c>
      <c r="K313" s="15">
        <v>20.0</v>
      </c>
      <c r="L313" s="10" t="str">
        <f>IF(D313&lt;&gt;"",VLOOKUP(H313,TABLEITEM,2,FALSE),"")</f>
        <v>MAT ST</v>
      </c>
      <c r="M313" s="10" t="str">
        <f>IF(D313&lt;&gt;"",VLOOKUP(H313,TABLEITEM,3,FALSE),"")</f>
        <v>เหล็กกล่อง 3/4 X 3/4หนา1.2 มิล</v>
      </c>
      <c r="N313" s="7">
        <f>INSTOCK!$I313*INSTOCK!$K313</f>
        <v>1320</v>
      </c>
      <c r="O313" s="2"/>
      <c r="P313" s="2"/>
    </row>
    <row r="314" ht="18.0" hidden="1" customHeight="1">
      <c r="A314" s="1"/>
      <c r="B314" s="3">
        <v>313.0</v>
      </c>
      <c r="C314" s="13">
        <v>43291.0</v>
      </c>
      <c r="D314" s="14" t="s">
        <v>417</v>
      </c>
      <c r="E314" s="14">
        <v>6.107000837E9</v>
      </c>
      <c r="F314" s="11" t="s">
        <v>413</v>
      </c>
      <c r="G314" s="14" t="s">
        <v>240</v>
      </c>
      <c r="H314" s="14" t="s">
        <v>64</v>
      </c>
      <c r="I314" s="11">
        <v>1.0</v>
      </c>
      <c r="J314" s="11"/>
      <c r="K314" s="15">
        <v>9400.0</v>
      </c>
      <c r="L314" s="6" t="str">
        <f>IF(D314&lt;&gt;"",VLOOKUP(H314,TABLEITEM,2,FALSE),"")</f>
        <v>MAT ST</v>
      </c>
      <c r="M314" s="6" t="str">
        <f>IF(D314&lt;&gt;"",VLOOKUP(H314,TABLEITEM,3,FALSE),"")</f>
        <v>สแตนเลสแผ่น4'x8'T5.0</v>
      </c>
      <c r="N314" s="7">
        <f>INSTOCK!$I314*INSTOCK!$K314</f>
        <v>9400</v>
      </c>
      <c r="O314" s="2" t="s">
        <v>193</v>
      </c>
      <c r="P314" s="2"/>
    </row>
    <row r="315" ht="18.0" hidden="1" customHeight="1">
      <c r="A315" s="1"/>
      <c r="B315" s="3">
        <v>314.0</v>
      </c>
      <c r="C315" s="13">
        <v>43291.0</v>
      </c>
      <c r="D315" s="14" t="s">
        <v>418</v>
      </c>
      <c r="E315" s="14">
        <v>6.107000835E9</v>
      </c>
      <c r="F315" s="11" t="s">
        <v>413</v>
      </c>
      <c r="G315" s="14" t="s">
        <v>240</v>
      </c>
      <c r="H315" s="14" t="s">
        <v>124</v>
      </c>
      <c r="I315" s="11">
        <v>90.0</v>
      </c>
      <c r="J315" s="11" t="s">
        <v>78</v>
      </c>
      <c r="K315" s="15">
        <v>205.0</v>
      </c>
      <c r="L315" s="10" t="str">
        <f>IF(D315&lt;&gt;"",VLOOKUP(H315,TABLEITEM,2,FALSE),"")</f>
        <v>MAT ST</v>
      </c>
      <c r="M315" s="10" t="str">
        <f>IF(D315&lt;&gt;"",VLOOKUP(H315,TABLEITEM,3,FALSE),"")</f>
        <v>ฉากสแตนเลส 1''1/2หนา3.0</v>
      </c>
      <c r="N315" s="7">
        <f>INSTOCK!$I315*INSTOCK!$K315</f>
        <v>18450</v>
      </c>
      <c r="O315" s="2"/>
      <c r="P315" s="2"/>
    </row>
    <row r="316" ht="18.0" hidden="1" customHeight="1">
      <c r="A316" s="1"/>
      <c r="B316" s="3">
        <v>315.0</v>
      </c>
      <c r="C316" s="13">
        <v>43292.0</v>
      </c>
      <c r="D316" s="14" t="s">
        <v>419</v>
      </c>
      <c r="E316" s="14">
        <v>6.107000832E9</v>
      </c>
      <c r="F316" s="11" t="s">
        <v>420</v>
      </c>
      <c r="G316" s="14" t="s">
        <v>202</v>
      </c>
      <c r="H316" s="14" t="s">
        <v>89</v>
      </c>
      <c r="I316" s="11">
        <v>600.0</v>
      </c>
      <c r="J316" s="11" t="s">
        <v>78</v>
      </c>
      <c r="K316" s="15">
        <v>86.67</v>
      </c>
      <c r="L316" s="10" t="str">
        <f>IF(D316&lt;&gt;"",VLOOKUP(H316,TABLEITEM,2,FALSE),"")</f>
        <v>MAT ST</v>
      </c>
      <c r="M316" s="10" t="str">
        <f>IF(D316&lt;&gt;"",VLOOKUP(H316,TABLEITEM,3,FALSE),"")</f>
        <v>เหล็กฉาก 2''หนา5 มิล</v>
      </c>
      <c r="N316" s="7">
        <f>INSTOCK!$I316*INSTOCK!$K316</f>
        <v>52002</v>
      </c>
      <c r="O316" s="2"/>
      <c r="P316" s="2"/>
    </row>
    <row r="317" ht="18.0" hidden="1" customHeight="1">
      <c r="A317" s="1"/>
      <c r="B317" s="3">
        <v>316.0</v>
      </c>
      <c r="C317" s="13">
        <v>43292.0</v>
      </c>
      <c r="D317" s="14" t="s">
        <v>419</v>
      </c>
      <c r="E317" s="14">
        <v>6.107000832E9</v>
      </c>
      <c r="F317" s="11" t="s">
        <v>420</v>
      </c>
      <c r="G317" s="14" t="s">
        <v>202</v>
      </c>
      <c r="H317" s="14" t="s">
        <v>77</v>
      </c>
      <c r="I317" s="11">
        <v>30.0</v>
      </c>
      <c r="J317" s="11" t="s">
        <v>78</v>
      </c>
      <c r="K317" s="15">
        <v>90.83</v>
      </c>
      <c r="L317" s="10" t="str">
        <f>IF(D317&lt;&gt;"",VLOOKUP(H317,TABLEITEM,2,FALSE),"")</f>
        <v>MAT ST</v>
      </c>
      <c r="M317" s="10" t="str">
        <f>IF(D317&lt;&gt;"",VLOOKUP(H317,TABLEITEM,3,FALSE),"")</f>
        <v>เหล็กรางน้ำ U' 2</v>
      </c>
      <c r="N317" s="7">
        <f>INSTOCK!$I317*INSTOCK!$K317</f>
        <v>2724.9</v>
      </c>
      <c r="O317" s="2"/>
      <c r="P317" s="2"/>
    </row>
    <row r="318" ht="18.0" hidden="1" customHeight="1">
      <c r="A318" s="1"/>
      <c r="B318" s="3">
        <v>317.0</v>
      </c>
      <c r="C318" s="13">
        <v>43292.0</v>
      </c>
      <c r="D318" s="14" t="s">
        <v>421</v>
      </c>
      <c r="E318" s="14">
        <v>6.107000838E9</v>
      </c>
      <c r="F318" s="11" t="s">
        <v>422</v>
      </c>
      <c r="G318" s="14" t="s">
        <v>202</v>
      </c>
      <c r="H318" s="14" t="s">
        <v>147</v>
      </c>
      <c r="I318" s="11">
        <v>6.0</v>
      </c>
      <c r="J318" s="11" t="s">
        <v>78</v>
      </c>
      <c r="K318" s="15">
        <v>20.0</v>
      </c>
      <c r="L318" s="10" t="str">
        <f>IF(D318&lt;&gt;"",VLOOKUP(H318,TABLEITEM,2,FALSE),"")</f>
        <v>MAT ST</v>
      </c>
      <c r="M318" s="10" t="str">
        <f>IF(D318&lt;&gt;"",VLOOKUP(H318,TABLEITEM,3,FALSE),"")</f>
        <v>เหล็กกล่อง 3/4 X 3/4หนา1.2 มิล</v>
      </c>
      <c r="N318" s="7">
        <f>INSTOCK!$I318*INSTOCK!$K318</f>
        <v>120</v>
      </c>
      <c r="O318" s="2"/>
      <c r="P318" s="2"/>
    </row>
    <row r="319" ht="18.0" hidden="1" customHeight="1">
      <c r="A319" s="1"/>
      <c r="B319" s="3">
        <v>318.0</v>
      </c>
      <c r="C319" s="13">
        <v>43299.0</v>
      </c>
      <c r="D319" s="14" t="s">
        <v>423</v>
      </c>
      <c r="E319" s="14">
        <v>6.107000868E9</v>
      </c>
      <c r="F319" s="11" t="s">
        <v>413</v>
      </c>
      <c r="G319" s="14" t="s">
        <v>240</v>
      </c>
      <c r="H319" s="14" t="s">
        <v>124</v>
      </c>
      <c r="I319" s="11">
        <v>60.0</v>
      </c>
      <c r="J319" s="11" t="s">
        <v>78</v>
      </c>
      <c r="K319" s="15">
        <v>205.0</v>
      </c>
      <c r="L319" s="10" t="str">
        <f>IF(D319&lt;&gt;"",VLOOKUP(H319,TABLEITEM,2,FALSE),"")</f>
        <v>MAT ST</v>
      </c>
      <c r="M319" s="10" t="str">
        <f>IF(D319&lt;&gt;"",VLOOKUP(H319,TABLEITEM,3,FALSE),"")</f>
        <v>ฉากสแตนเลส 1''1/2หนา3.0</v>
      </c>
      <c r="N319" s="7">
        <f>INSTOCK!$I319*INSTOCK!$K319</f>
        <v>12300</v>
      </c>
      <c r="O319" s="2"/>
      <c r="P319" s="2"/>
    </row>
    <row r="320" ht="18.0" hidden="1" customHeight="1">
      <c r="A320" s="1"/>
      <c r="B320" s="3">
        <v>319.0</v>
      </c>
      <c r="C320" s="13">
        <v>43299.0</v>
      </c>
      <c r="D320" s="14" t="s">
        <v>424</v>
      </c>
      <c r="E320" s="14">
        <v>6.107000867E9</v>
      </c>
      <c r="F320" s="11" t="s">
        <v>425</v>
      </c>
      <c r="G320" s="14" t="s">
        <v>240</v>
      </c>
      <c r="H320" s="14" t="s">
        <v>124</v>
      </c>
      <c r="I320" s="11">
        <v>6.0</v>
      </c>
      <c r="J320" s="11" t="s">
        <v>78</v>
      </c>
      <c r="K320" s="15">
        <v>205.0</v>
      </c>
      <c r="L320" s="10" t="str">
        <f>IF(D320&lt;&gt;"",VLOOKUP(H320,TABLEITEM,2,FALSE),"")</f>
        <v>MAT ST</v>
      </c>
      <c r="M320" s="10" t="str">
        <f>IF(D320&lt;&gt;"",VLOOKUP(H320,TABLEITEM,3,FALSE),"")</f>
        <v>ฉากสแตนเลส 1''1/2หนา3.0</v>
      </c>
      <c r="N320" s="7">
        <f>INSTOCK!$I320*INSTOCK!$K320</f>
        <v>1230</v>
      </c>
      <c r="O320" s="2"/>
      <c r="P320" s="2"/>
    </row>
    <row r="321" ht="18.0" hidden="1" customHeight="1">
      <c r="A321" s="1"/>
      <c r="B321" s="3">
        <v>320.0</v>
      </c>
      <c r="C321" s="13">
        <v>43299.0</v>
      </c>
      <c r="D321" s="14" t="s">
        <v>424</v>
      </c>
      <c r="E321" s="14">
        <v>6.107000867E9</v>
      </c>
      <c r="F321" s="11" t="s">
        <v>425</v>
      </c>
      <c r="G321" s="14" t="s">
        <v>240</v>
      </c>
      <c r="H321" s="14" t="s">
        <v>414</v>
      </c>
      <c r="I321" s="11">
        <v>12.0</v>
      </c>
      <c r="J321" s="11" t="s">
        <v>78</v>
      </c>
      <c r="K321" s="15">
        <v>366.67</v>
      </c>
      <c r="L321" s="10" t="str">
        <f>IF(D321&lt;&gt;"",VLOOKUP(H321,TABLEITEM,2,FALSE),"")</f>
        <v>MAT ST</v>
      </c>
      <c r="M321" s="10" t="str">
        <f>IF(D321&lt;&gt;"",VLOOKUP(H321,TABLEITEM,3,FALSE),"")</f>
        <v>ฉากสแตนเลส2'หนา5.0</v>
      </c>
      <c r="N321" s="7">
        <f>INSTOCK!$I321*INSTOCK!$K321</f>
        <v>4400.04</v>
      </c>
      <c r="O321" s="2"/>
      <c r="P321" s="2"/>
    </row>
    <row r="322" ht="18.0" hidden="1" customHeight="1">
      <c r="A322" s="1"/>
      <c r="B322" s="3">
        <v>321.0</v>
      </c>
      <c r="C322" s="13">
        <v>43301.0</v>
      </c>
      <c r="D322" s="14" t="s">
        <v>426</v>
      </c>
      <c r="E322" s="14">
        <v>6.106000807E9</v>
      </c>
      <c r="F322" s="11" t="s">
        <v>161</v>
      </c>
      <c r="G322" s="14" t="s">
        <v>171</v>
      </c>
      <c r="H322" s="14" t="s">
        <v>19</v>
      </c>
      <c r="I322" s="11">
        <v>400.0</v>
      </c>
      <c r="J322" s="11"/>
      <c r="K322" s="15">
        <v>874.7875</v>
      </c>
      <c r="L322" s="6" t="str">
        <f>IF(D322&lt;&gt;"",VLOOKUP(H322,TABLEITEM,2,FALSE),"")</f>
        <v>MAT ST</v>
      </c>
      <c r="M322" s="6" t="str">
        <f>IF(D322&lt;&gt;"",VLOOKUP(H322,TABLEITEM,3,FALSE),"")</f>
        <v>เหล็กแผ่นขาว4'x8'T1.6</v>
      </c>
      <c r="N322" s="7">
        <f>INSTOCK!$I322*INSTOCK!$K322</f>
        <v>349915</v>
      </c>
      <c r="O322" s="2" t="s">
        <v>427</v>
      </c>
      <c r="P322" s="2"/>
    </row>
    <row r="323" ht="18.0" hidden="1" customHeight="1">
      <c r="A323" s="1"/>
      <c r="B323" s="3">
        <v>322.0</v>
      </c>
      <c r="C323" s="13">
        <v>43301.0</v>
      </c>
      <c r="D323" s="14" t="s">
        <v>428</v>
      </c>
      <c r="E323" s="14">
        <v>6.106000807E9</v>
      </c>
      <c r="F323" s="11" t="s">
        <v>161</v>
      </c>
      <c r="G323" s="14" t="s">
        <v>171</v>
      </c>
      <c r="H323" s="14" t="s">
        <v>21</v>
      </c>
      <c r="I323" s="11">
        <v>100.0</v>
      </c>
      <c r="J323" s="11"/>
      <c r="K323" s="15">
        <v>1103.064</v>
      </c>
      <c r="L323" s="6" t="str">
        <f>IF(D323&lt;&gt;"",VLOOKUP(H323,TABLEITEM,2,FALSE),"")</f>
        <v>MAT ST</v>
      </c>
      <c r="M323" s="6" t="str">
        <f>IF(D323&lt;&gt;"",VLOOKUP(H323,TABLEITEM,3,FALSE),"")</f>
        <v>เหล็กแผ่นขาว4'x8'T2.0</v>
      </c>
      <c r="N323" s="7">
        <f>INSTOCK!$I323*INSTOCK!$K323</f>
        <v>110306.4</v>
      </c>
      <c r="O323" s="2" t="s">
        <v>429</v>
      </c>
      <c r="P323" s="2"/>
    </row>
    <row r="324" ht="18.0" hidden="1" customHeight="1">
      <c r="A324" s="1"/>
      <c r="B324" s="3">
        <v>323.0</v>
      </c>
      <c r="C324" s="13">
        <v>43301.0</v>
      </c>
      <c r="D324" s="14" t="s">
        <v>430</v>
      </c>
      <c r="E324" s="14">
        <v>6.106000807E9</v>
      </c>
      <c r="F324" s="11" t="s">
        <v>161</v>
      </c>
      <c r="G324" s="14" t="s">
        <v>171</v>
      </c>
      <c r="H324" s="14" t="s">
        <v>21</v>
      </c>
      <c r="I324" s="31">
        <v>300.0</v>
      </c>
      <c r="J324" s="31"/>
      <c r="K324" s="32">
        <v>1100.5466</v>
      </c>
      <c r="L324" s="6" t="str">
        <f>IF(D324&lt;&gt;"",VLOOKUP(H324,TABLEITEM,2,FALSE),"")</f>
        <v>MAT ST</v>
      </c>
      <c r="M324" s="6" t="str">
        <f>IF(D324&lt;&gt;"",VLOOKUP(H324,TABLEITEM,3,FALSE),"")</f>
        <v>เหล็กแผ่นขาว4'x8'T2.0</v>
      </c>
      <c r="N324" s="7">
        <f>INSTOCK!$I324*INSTOCK!$K324</f>
        <v>330163.98</v>
      </c>
      <c r="O324" s="2" t="s">
        <v>431</v>
      </c>
      <c r="P324" s="2"/>
    </row>
    <row r="325" ht="18.0" hidden="1" customHeight="1">
      <c r="A325" s="1"/>
      <c r="B325" s="3">
        <v>324.0</v>
      </c>
      <c r="C325" s="4">
        <v>43313.0</v>
      </c>
      <c r="D325" s="2" t="s">
        <v>432</v>
      </c>
      <c r="E325" s="2">
        <v>6.108000906E9</v>
      </c>
      <c r="F325" s="3" t="s">
        <v>161</v>
      </c>
      <c r="G325" s="2" t="s">
        <v>158</v>
      </c>
      <c r="H325" s="2" t="s">
        <v>76</v>
      </c>
      <c r="I325" s="3">
        <v>490.0</v>
      </c>
      <c r="J325" s="3"/>
      <c r="K325" s="5">
        <v>30.0</v>
      </c>
      <c r="L325" s="6" t="str">
        <f>IF(D325&lt;&gt;"",VLOOKUP(H325,TABLEITEM,2,FALSE),"")</f>
        <v>MAT ST</v>
      </c>
      <c r="M325" s="6" t="str">
        <f>IF(D325&lt;&gt;"",VLOOKUP(H325,TABLEITEM,3,FALSE),"")</f>
        <v>แผ่นตระแกรงระบาย 4x8รู 3มิลT0.6</v>
      </c>
      <c r="N325" s="7">
        <f>INSTOCK!$I325*INSTOCK!$K325</f>
        <v>14700</v>
      </c>
      <c r="O325" s="2"/>
      <c r="P325" s="2"/>
    </row>
    <row r="326" ht="18.0" hidden="1" customHeight="1">
      <c r="A326" s="1"/>
      <c r="B326" s="3">
        <v>325.0</v>
      </c>
      <c r="C326" s="4">
        <v>43313.0</v>
      </c>
      <c r="D326" s="2" t="s">
        <v>433</v>
      </c>
      <c r="E326" s="2">
        <v>6.107000902E9</v>
      </c>
      <c r="F326" s="3" t="s">
        <v>425</v>
      </c>
      <c r="G326" s="2" t="s">
        <v>240</v>
      </c>
      <c r="H326" s="2" t="s">
        <v>88</v>
      </c>
      <c r="I326" s="3">
        <v>2490.0</v>
      </c>
      <c r="J326" s="11" t="s">
        <v>78</v>
      </c>
      <c r="K326" s="5">
        <v>30.0</v>
      </c>
      <c r="L326" s="10" t="str">
        <f>IF(D326&lt;&gt;"",VLOOKUP(H326,TABLEITEM,2,FALSE),"")</f>
        <v>MAT ST</v>
      </c>
      <c r="M326" s="10" t="str">
        <f>IF(D326&lt;&gt;"",VLOOKUP(H326,TABLEITEM,3,FALSE),"")</f>
        <v>เหล็กฉาก 2''หนา4 มิล</v>
      </c>
      <c r="N326" s="7">
        <f>INSTOCK!$I326*INSTOCK!$K326</f>
        <v>74700</v>
      </c>
      <c r="O326" s="2"/>
      <c r="P326" s="2"/>
    </row>
    <row r="327" ht="18.0" hidden="1" customHeight="1">
      <c r="A327" s="1"/>
      <c r="B327" s="3">
        <v>326.0</v>
      </c>
      <c r="C327" s="4">
        <v>43314.0</v>
      </c>
      <c r="D327" s="2" t="s">
        <v>434</v>
      </c>
      <c r="E327" s="2">
        <v>6.108000907E9</v>
      </c>
      <c r="F327" s="3" t="s">
        <v>161</v>
      </c>
      <c r="G327" s="2" t="s">
        <v>192</v>
      </c>
      <c r="H327" s="2" t="s">
        <v>62</v>
      </c>
      <c r="I327" s="3">
        <v>30.0</v>
      </c>
      <c r="J327" s="3"/>
      <c r="K327" s="5">
        <v>2840.0</v>
      </c>
      <c r="L327" s="6" t="str">
        <f>IF(D327&lt;&gt;"",VLOOKUP(H327,TABLEITEM,2,FALSE),"")</f>
        <v>MAT ST</v>
      </c>
      <c r="M327" s="6" t="str">
        <f>IF(D327&lt;&gt;"",VLOOKUP(H327,TABLEITEM,3,FALSE),"")</f>
        <v>สแตนเลสแผ่น4'x8'T1.5</v>
      </c>
      <c r="N327" s="7">
        <f>INSTOCK!$I327*INSTOCK!$K327</f>
        <v>85200</v>
      </c>
      <c r="O327" s="2"/>
      <c r="P327" s="2"/>
    </row>
    <row r="328" ht="18.0" hidden="1" customHeight="1">
      <c r="A328" s="1"/>
      <c r="B328" s="3">
        <v>327.0</v>
      </c>
      <c r="C328" s="4">
        <v>43314.0</v>
      </c>
      <c r="D328" s="2" t="s">
        <v>435</v>
      </c>
      <c r="E328" s="2">
        <v>6.10800091E9</v>
      </c>
      <c r="F328" s="3" t="s">
        <v>436</v>
      </c>
      <c r="G328" s="2" t="s">
        <v>192</v>
      </c>
      <c r="H328" s="2" t="s">
        <v>66</v>
      </c>
      <c r="I328" s="3">
        <v>4.0</v>
      </c>
      <c r="J328" s="3"/>
      <c r="K328" s="5">
        <v>5585.0</v>
      </c>
      <c r="L328" s="6" t="str">
        <f>IF(D328&lt;&gt;"",VLOOKUP(H328,TABLEITEM,2,FALSE),"")</f>
        <v>MAT ST</v>
      </c>
      <c r="M328" s="6" t="str">
        <f>IF(D328&lt;&gt;"",VLOOKUP(H328,TABLEITEM,3,FALSE),"")</f>
        <v>สแตนเลสแผ่น4'x8'T3.0</v>
      </c>
      <c r="N328" s="7">
        <f>INSTOCK!$I328*INSTOCK!$K328</f>
        <v>22340</v>
      </c>
      <c r="O328" s="2"/>
      <c r="P328" s="2"/>
    </row>
    <row r="329" ht="18.0" hidden="1" customHeight="1">
      <c r="A329" s="1"/>
      <c r="B329" s="3">
        <v>328.0</v>
      </c>
      <c r="C329" s="4">
        <v>43315.0</v>
      </c>
      <c r="D329" s="2" t="s">
        <v>437</v>
      </c>
      <c r="E329" s="2">
        <v>6.108000905E9</v>
      </c>
      <c r="F329" s="3" t="s">
        <v>161</v>
      </c>
      <c r="G329" s="2" t="s">
        <v>202</v>
      </c>
      <c r="H329" s="2" t="s">
        <v>79</v>
      </c>
      <c r="I329" s="3">
        <v>5820.0</v>
      </c>
      <c r="J329" s="11" t="s">
        <v>78</v>
      </c>
      <c r="K329" s="5">
        <v>16.67</v>
      </c>
      <c r="L329" s="10" t="str">
        <f>IF(D329&lt;&gt;"",VLOOKUP(H329,TABLEITEM,2,FALSE),"")</f>
        <v>MAT ST</v>
      </c>
      <c r="M329" s="10" t="str">
        <f>IF(D329&lt;&gt;"",VLOOKUP(H329,TABLEITEM,3,FALSE),"")</f>
        <v>เหล็กรางน้ำ U' 3</v>
      </c>
      <c r="N329" s="7">
        <f>INSTOCK!$I329*INSTOCK!$K329</f>
        <v>97019.4</v>
      </c>
      <c r="O329" s="2"/>
      <c r="P329" s="2"/>
    </row>
    <row r="330" ht="18.0" hidden="1" customHeight="1">
      <c r="A330" s="1"/>
      <c r="B330" s="3">
        <v>329.0</v>
      </c>
      <c r="C330" s="4">
        <v>43316.0</v>
      </c>
      <c r="D330" s="2" t="s">
        <v>438</v>
      </c>
      <c r="E330" s="2">
        <v>6.108000908E9</v>
      </c>
      <c r="F330" s="3" t="s">
        <v>161</v>
      </c>
      <c r="G330" s="2" t="s">
        <v>171</v>
      </c>
      <c r="H330" s="2" t="s">
        <v>23</v>
      </c>
      <c r="I330" s="3">
        <v>200.0</v>
      </c>
      <c r="J330" s="3"/>
      <c r="K330" s="5">
        <v>1309.44</v>
      </c>
      <c r="L330" s="6" t="str">
        <f>IF(D330&lt;&gt;"",VLOOKUP(H330,TABLEITEM,2,FALSE),"")</f>
        <v>MAT ST</v>
      </c>
      <c r="M330" s="6" t="str">
        <f>IF(D330&lt;&gt;"",VLOOKUP(H330,TABLEITEM,3,FALSE),"")</f>
        <v>เหล็กแผ่นขาว4'x8'T2.3</v>
      </c>
      <c r="N330" s="7">
        <f>INSTOCK!$I330*INSTOCK!$K330</f>
        <v>261888</v>
      </c>
      <c r="O330" s="2" t="s">
        <v>439</v>
      </c>
      <c r="P330" s="2"/>
    </row>
    <row r="331" ht="18.0" hidden="1" customHeight="1">
      <c r="A331" s="1"/>
      <c r="B331" s="3">
        <v>330.0</v>
      </c>
      <c r="C331" s="4">
        <v>43316.0</v>
      </c>
      <c r="D331" s="2" t="s">
        <v>440</v>
      </c>
      <c r="E331" s="2">
        <v>6.108000908E9</v>
      </c>
      <c r="F331" s="3" t="s">
        <v>161</v>
      </c>
      <c r="G331" s="2" t="s">
        <v>171</v>
      </c>
      <c r="H331" s="2" t="s">
        <v>25</v>
      </c>
      <c r="I331" s="3">
        <v>200.0</v>
      </c>
      <c r="J331" s="3"/>
      <c r="K331" s="5">
        <v>1792.505</v>
      </c>
      <c r="L331" s="6" t="str">
        <f>IF(D331&lt;&gt;"",VLOOKUP(H331,TABLEITEM,2,FALSE),"")</f>
        <v>MAT ST</v>
      </c>
      <c r="M331" s="6" t="str">
        <f>IF(D331&lt;&gt;"",VLOOKUP(H331,TABLEITEM,3,FALSE),"")</f>
        <v>เหล็กแผ่นขาว4'x8'T3.0</v>
      </c>
      <c r="N331" s="7">
        <f>INSTOCK!$I331*INSTOCK!$K331</f>
        <v>358501</v>
      </c>
      <c r="O331" s="2" t="s">
        <v>441</v>
      </c>
      <c r="P331" s="2"/>
    </row>
    <row r="332" ht="18.0" hidden="1" customHeight="1">
      <c r="A332" s="1"/>
      <c r="B332" s="3">
        <v>331.0</v>
      </c>
      <c r="C332" s="4">
        <v>43318.0</v>
      </c>
      <c r="D332" s="2" t="s">
        <v>442</v>
      </c>
      <c r="E332" s="2">
        <v>6.10800092E9</v>
      </c>
      <c r="F332" s="3" t="s">
        <v>443</v>
      </c>
      <c r="G332" s="2" t="s">
        <v>165</v>
      </c>
      <c r="H332" s="2" t="s">
        <v>444</v>
      </c>
      <c r="I332" s="3">
        <v>1.0</v>
      </c>
      <c r="J332" s="3"/>
      <c r="K332" s="5">
        <v>3300.0</v>
      </c>
      <c r="L332" s="6" t="str">
        <f>IF(D332&lt;&gt;"",VLOOKUP(H332,TABLEITEM,2,FALSE),"")</f>
        <v>MAT ST</v>
      </c>
      <c r="M332" s="6" t="str">
        <f>IF(D332&lt;&gt;"",VLOOKUP(H332,TABLEITEM,3,FALSE),"")</f>
        <v>แผ่นเบกไลท์ 100x100T10</v>
      </c>
      <c r="N332" s="7">
        <f>INSTOCK!$I332*INSTOCK!$K332</f>
        <v>3300</v>
      </c>
      <c r="O332" s="2"/>
      <c r="P332" s="2"/>
    </row>
    <row r="333" ht="18.0" hidden="1" customHeight="1">
      <c r="A333" s="1"/>
      <c r="B333" s="3">
        <v>332.0</v>
      </c>
      <c r="C333" s="4">
        <v>43318.0</v>
      </c>
      <c r="D333" s="2" t="s">
        <v>445</v>
      </c>
      <c r="E333" s="2">
        <v>6.108000917E9</v>
      </c>
      <c r="F333" s="3" t="s">
        <v>161</v>
      </c>
      <c r="G333" s="2" t="s">
        <v>165</v>
      </c>
      <c r="H333" s="2" t="s">
        <v>75</v>
      </c>
      <c r="I333" s="3">
        <v>20.0</v>
      </c>
      <c r="J333" s="3"/>
      <c r="K333" s="5">
        <v>3450.0</v>
      </c>
      <c r="L333" s="6" t="str">
        <f>IF(D333&lt;&gt;"",VLOOKUP(H333,TABLEITEM,2,FALSE),"")</f>
        <v>PART</v>
      </c>
      <c r="M333" s="6" t="str">
        <f>IF(D333&lt;&gt;"",VLOOKUP(H333,TABLEITEM,3,FALSE),"")</f>
        <v>แผ่นเบกไลท์ 1220x2440T5.0</v>
      </c>
      <c r="N333" s="7">
        <f>INSTOCK!$I333*INSTOCK!$K333</f>
        <v>69000</v>
      </c>
      <c r="O333" s="2"/>
      <c r="P333" s="2"/>
    </row>
    <row r="334" ht="18.0" hidden="1" customHeight="1">
      <c r="A334" s="1"/>
      <c r="B334" s="3">
        <v>333.0</v>
      </c>
      <c r="C334" s="4">
        <v>43318.0</v>
      </c>
      <c r="D334" s="2" t="s">
        <v>446</v>
      </c>
      <c r="E334" s="2">
        <v>6.108000921E9</v>
      </c>
      <c r="F334" s="3" t="s">
        <v>447</v>
      </c>
      <c r="G334" s="2" t="s">
        <v>202</v>
      </c>
      <c r="H334" s="2" t="s">
        <v>448</v>
      </c>
      <c r="I334" s="3">
        <v>36.0</v>
      </c>
      <c r="J334" s="11" t="s">
        <v>78</v>
      </c>
      <c r="K334" s="5">
        <v>169.17</v>
      </c>
      <c r="L334" s="10" t="str">
        <f>IF(D334&lt;&gt;"",VLOOKUP(H334,TABLEITEM,2,FALSE),"")</f>
        <v>MAT ST</v>
      </c>
      <c r="M334" s="10" t="str">
        <f>IF(D334&lt;&gt;"",VLOOKUP(H334,TABLEITEM,3,FALSE),"")</f>
        <v>เหล็กกล่อง 4x2 หนา3.2 มิล</v>
      </c>
      <c r="N334" s="7">
        <f>INSTOCK!$I334*INSTOCK!$K334</f>
        <v>6090.12</v>
      </c>
      <c r="O334" s="2"/>
      <c r="P334" s="2"/>
    </row>
    <row r="335" ht="18.0" hidden="1" customHeight="1">
      <c r="A335" s="1"/>
      <c r="B335" s="3">
        <v>334.0</v>
      </c>
      <c r="C335" s="4">
        <v>43318.0</v>
      </c>
      <c r="D335" s="2" t="s">
        <v>446</v>
      </c>
      <c r="E335" s="2">
        <v>6.108000921E9</v>
      </c>
      <c r="F335" s="3" t="s">
        <v>447</v>
      </c>
      <c r="G335" s="2" t="s">
        <v>202</v>
      </c>
      <c r="H335" s="2" t="s">
        <v>449</v>
      </c>
      <c r="I335" s="3">
        <v>24.0</v>
      </c>
      <c r="J335" s="11" t="s">
        <v>78</v>
      </c>
      <c r="K335" s="5">
        <v>366.67</v>
      </c>
      <c r="L335" s="10" t="str">
        <f>IF(D335&lt;&gt;"",VLOOKUP(H335,TABLEITEM,2,FALSE),"")</f>
        <v>MAT ST</v>
      </c>
      <c r="M335" s="10" t="str">
        <f>IF(D335&lt;&gt;"",VLOOKUP(H335,TABLEITEM,3,FALSE),"")</f>
        <v>เหล็กกล่อง 6x6 หนา 3.2 มิล</v>
      </c>
      <c r="N335" s="7">
        <f>INSTOCK!$I335*INSTOCK!$K335</f>
        <v>8800.08</v>
      </c>
      <c r="O335" s="2"/>
      <c r="P335" s="2"/>
    </row>
    <row r="336" ht="18.0" hidden="1" customHeight="1">
      <c r="A336" s="1"/>
      <c r="B336" s="3">
        <v>335.0</v>
      </c>
      <c r="C336" s="4">
        <v>43318.0</v>
      </c>
      <c r="D336" s="2" t="s">
        <v>446</v>
      </c>
      <c r="E336" s="2">
        <v>6.108000921E9</v>
      </c>
      <c r="F336" s="3" t="s">
        <v>447</v>
      </c>
      <c r="G336" s="2" t="s">
        <v>202</v>
      </c>
      <c r="H336" s="2" t="s">
        <v>356</v>
      </c>
      <c r="I336" s="3">
        <v>72.0</v>
      </c>
      <c r="J336" s="11" t="s">
        <v>78</v>
      </c>
      <c r="K336" s="5">
        <v>231.67</v>
      </c>
      <c r="L336" s="10" t="str">
        <f>IF(D336&lt;&gt;"",VLOOKUP(H336,TABLEITEM,2,FALSE),"")</f>
        <v>MAT ST</v>
      </c>
      <c r="M336" s="10" t="str">
        <f>IF(D336&lt;&gt;"",VLOOKUP(H336,TABLEITEM,3,FALSE),"")</f>
        <v>เหล็กกล่อง 6x2 หนา 3.2 มิล</v>
      </c>
      <c r="N336" s="7">
        <f>INSTOCK!$I336*INSTOCK!$K336</f>
        <v>16680.24</v>
      </c>
      <c r="O336" s="2"/>
      <c r="P336" s="2"/>
    </row>
    <row r="337" ht="18.0" hidden="1" customHeight="1">
      <c r="A337" s="1"/>
      <c r="B337" s="3">
        <v>336.0</v>
      </c>
      <c r="C337" s="4">
        <v>43322.0</v>
      </c>
      <c r="D337" s="2" t="s">
        <v>450</v>
      </c>
      <c r="E337" s="2">
        <v>6.108000939E9</v>
      </c>
      <c r="F337" s="3" t="s">
        <v>161</v>
      </c>
      <c r="G337" s="2" t="s">
        <v>219</v>
      </c>
      <c r="H337" s="2" t="s">
        <v>71</v>
      </c>
      <c r="I337" s="3">
        <v>30.0</v>
      </c>
      <c r="J337" s="3"/>
      <c r="K337" s="5">
        <v>2120.0</v>
      </c>
      <c r="L337" s="6" t="str">
        <f>IF(D337&lt;&gt;"",VLOOKUP(H337,TABLEITEM,2,FALSE),"")</f>
        <v>MAT ST</v>
      </c>
      <c r="M337" s="6" t="str">
        <f>IF(D337&lt;&gt;"",VLOOKUP(H337,TABLEITEM,3,FALSE),"")</f>
        <v>แผ่นอลูมิเนียม4'x8'T3.0</v>
      </c>
      <c r="N337" s="7">
        <f>INSTOCK!$I337*INSTOCK!$K337</f>
        <v>63600</v>
      </c>
      <c r="O337" s="2"/>
      <c r="P337" s="2"/>
    </row>
    <row r="338" ht="18.0" hidden="1" customHeight="1">
      <c r="A338" s="1"/>
      <c r="B338" s="3">
        <v>337.0</v>
      </c>
      <c r="C338" s="4">
        <v>43326.0</v>
      </c>
      <c r="D338" s="2" t="s">
        <v>451</v>
      </c>
      <c r="E338" s="2">
        <v>6.108000962E9</v>
      </c>
      <c r="F338" s="3" t="s">
        <v>452</v>
      </c>
      <c r="G338" s="2" t="s">
        <v>240</v>
      </c>
      <c r="H338" s="2" t="s">
        <v>453</v>
      </c>
      <c r="I338" s="3">
        <v>6.0</v>
      </c>
      <c r="J338" s="11" t="s">
        <v>78</v>
      </c>
      <c r="K338" s="5">
        <v>236.67</v>
      </c>
      <c r="L338" s="10" t="str">
        <f>IF(D338&lt;&gt;"",VLOOKUP(H338,TABLEITEM,2,FALSE),"")</f>
        <v>MAT ST</v>
      </c>
      <c r="M338" s="10" t="str">
        <f>IF(D338&lt;&gt;"",VLOOKUP(H338,TABLEITEM,3,FALSE),"")</f>
        <v>ท่อสแตนเลส 2" หนา 1.2</v>
      </c>
      <c r="N338" s="7">
        <f>INSTOCK!$I338*INSTOCK!$K338</f>
        <v>1420.02</v>
      </c>
      <c r="O338" s="2"/>
      <c r="P338" s="2"/>
    </row>
    <row r="339" ht="18.0" hidden="1" customHeight="1">
      <c r="A339" s="1"/>
      <c r="B339" s="3">
        <v>338.0</v>
      </c>
      <c r="C339" s="4">
        <v>43330.0</v>
      </c>
      <c r="D339" s="2" t="s">
        <v>454</v>
      </c>
      <c r="E339" s="2">
        <v>6.108000942E9</v>
      </c>
      <c r="F339" s="3" t="s">
        <v>161</v>
      </c>
      <c r="G339" s="2" t="s">
        <v>202</v>
      </c>
      <c r="H339" s="2" t="s">
        <v>54</v>
      </c>
      <c r="I339" s="3">
        <v>100.0</v>
      </c>
      <c r="J339" s="3"/>
      <c r="K339" s="5">
        <v>2725.0</v>
      </c>
      <c r="L339" s="6" t="str">
        <f>IF(D339&lt;&gt;"",VLOOKUP(H339,TABLEITEM,2,FALSE),"")</f>
        <v>MAT ST</v>
      </c>
      <c r="M339" s="6" t="str">
        <f>IF(D339&lt;&gt;"",VLOOKUP(H339,TABLEITEM,3,FALSE),"")</f>
        <v>เหล็กแผ่นดำ5'x10'T3.0</v>
      </c>
      <c r="N339" s="7">
        <f>INSTOCK!$I339*INSTOCK!$K339</f>
        <v>272500</v>
      </c>
      <c r="O339" s="2"/>
      <c r="P339" s="2"/>
    </row>
    <row r="340" ht="18.0" hidden="1" customHeight="1">
      <c r="A340" s="1"/>
      <c r="B340" s="3">
        <v>339.0</v>
      </c>
      <c r="C340" s="4">
        <v>43330.0</v>
      </c>
      <c r="D340" s="2" t="s">
        <v>454</v>
      </c>
      <c r="E340" s="2">
        <v>6.108000942E9</v>
      </c>
      <c r="F340" s="3" t="s">
        <v>161</v>
      </c>
      <c r="G340" s="2" t="s">
        <v>202</v>
      </c>
      <c r="H340" s="2" t="s">
        <v>55</v>
      </c>
      <c r="I340" s="3">
        <v>10.0</v>
      </c>
      <c r="J340" s="3"/>
      <c r="K340" s="5">
        <v>3995.0</v>
      </c>
      <c r="L340" s="6" t="str">
        <f>IF(D340&lt;&gt;"",VLOOKUP(H340,TABLEITEM,2,FALSE),"")</f>
        <v>MAT ST</v>
      </c>
      <c r="M340" s="6" t="str">
        <f>IF(D340&lt;&gt;"",VLOOKUP(H340,TABLEITEM,3,FALSE),"")</f>
        <v>เหล็กแผ่นดำ5'x10'T4.5</v>
      </c>
      <c r="N340" s="7">
        <f>INSTOCK!$I340*INSTOCK!$K340</f>
        <v>39950</v>
      </c>
      <c r="O340" s="2"/>
      <c r="P340" s="2"/>
    </row>
    <row r="341" ht="18.0" hidden="1" customHeight="1">
      <c r="A341" s="1"/>
      <c r="B341" s="3">
        <v>340.0</v>
      </c>
      <c r="C341" s="4">
        <v>43330.0</v>
      </c>
      <c r="D341" s="2" t="s">
        <v>454</v>
      </c>
      <c r="E341" s="2">
        <v>6.108000942E9</v>
      </c>
      <c r="F341" s="3" t="s">
        <v>161</v>
      </c>
      <c r="G341" s="2" t="s">
        <v>202</v>
      </c>
      <c r="H341" s="2" t="s">
        <v>85</v>
      </c>
      <c r="I341" s="3">
        <v>300.0</v>
      </c>
      <c r="J341" s="11" t="s">
        <v>78</v>
      </c>
      <c r="K341" s="5">
        <v>45.83</v>
      </c>
      <c r="L341" s="10" t="str">
        <f>IF(D341&lt;&gt;"",VLOOKUP(H341,TABLEITEM,2,FALSE),"")</f>
        <v>MAT ST</v>
      </c>
      <c r="M341" s="10" t="str">
        <f>IF(D341&lt;&gt;"",VLOOKUP(H341,TABLEITEM,3,FALSE),"")</f>
        <v>เหล็กฉาก 1''1/2'หนา3 มิล</v>
      </c>
      <c r="N341" s="7">
        <f>INSTOCK!$I341*INSTOCK!$K341</f>
        <v>13749</v>
      </c>
      <c r="O341" s="2"/>
      <c r="P341" s="2"/>
    </row>
    <row r="342" ht="18.0" hidden="1" customHeight="1">
      <c r="A342" s="1"/>
      <c r="B342" s="33">
        <v>341.0</v>
      </c>
      <c r="C342" s="34">
        <v>43277.0</v>
      </c>
      <c r="D342" s="35" t="s">
        <v>455</v>
      </c>
      <c r="E342" s="35"/>
      <c r="F342" s="33" t="s">
        <v>161</v>
      </c>
      <c r="G342" s="35" t="s">
        <v>456</v>
      </c>
      <c r="H342" s="35" t="s">
        <v>457</v>
      </c>
      <c r="I342" s="33">
        <v>50.0</v>
      </c>
      <c r="J342" s="33"/>
      <c r="K342" s="36"/>
      <c r="L342" s="6" t="str">
        <f>IF(D342&lt;&gt;"",VLOOKUP(H342,TABLEITEM,2,FALSE),"")</f>
        <v>PART</v>
      </c>
      <c r="M342" s="6" t="str">
        <f>IF(D342&lt;&gt;"",VLOOKUP(H342,TABLEITEM,3,FALSE),"")</f>
        <v>แผ่นสไลค์ 280x125</v>
      </c>
      <c r="N342" s="7">
        <f>INSTOCK!$I342*INSTOCK!$K342</f>
        <v>0</v>
      </c>
      <c r="O342" s="2"/>
      <c r="P342" s="2"/>
    </row>
    <row r="343" ht="18.0" hidden="1" customHeight="1">
      <c r="A343" s="1"/>
      <c r="B343" s="3">
        <v>342.0</v>
      </c>
      <c r="C343" s="4">
        <v>43252.0</v>
      </c>
      <c r="D343" s="2" t="s">
        <v>458</v>
      </c>
      <c r="E343" s="2"/>
      <c r="F343" s="3" t="s">
        <v>161</v>
      </c>
      <c r="G343" s="2" t="s">
        <v>456</v>
      </c>
      <c r="H343" s="2" t="s">
        <v>459</v>
      </c>
      <c r="I343" s="3">
        <v>197.0</v>
      </c>
      <c r="J343" s="3"/>
      <c r="K343" s="5"/>
      <c r="L343" s="6" t="str">
        <f>IF(D343&lt;&gt;"",VLOOKUP(H343,TABLEITEM,2,FALSE),"")</f>
        <v>PART</v>
      </c>
      <c r="M343" s="6" t="str">
        <f>IF(D343&lt;&gt;"",VLOOKUP(H343,TABLEITEM,3,FALSE),"")</f>
        <v>คานต่อโครง3mm 68x45x520</v>
      </c>
      <c r="N343" s="7">
        <f>INSTOCK!$I343*INSTOCK!$K343</f>
        <v>0</v>
      </c>
      <c r="O343" s="2"/>
      <c r="P343" s="2"/>
    </row>
    <row r="344" ht="18.0" hidden="1" customHeight="1">
      <c r="A344" s="1"/>
      <c r="B344" s="3">
        <v>343.0</v>
      </c>
      <c r="C344" s="4">
        <v>43258.0</v>
      </c>
      <c r="D344" s="2" t="s">
        <v>460</v>
      </c>
      <c r="E344" s="2"/>
      <c r="F344" s="3" t="s">
        <v>161</v>
      </c>
      <c r="G344" s="2" t="s">
        <v>456</v>
      </c>
      <c r="H344" s="2" t="s">
        <v>461</v>
      </c>
      <c r="I344" s="3">
        <v>21.0</v>
      </c>
      <c r="J344" s="3"/>
      <c r="K344" s="5"/>
      <c r="L344" s="6" t="str">
        <f>IF(D344&lt;&gt;"",VLOOKUP(H344,TABLEITEM,2,FALSE),"")</f>
        <v>PART</v>
      </c>
      <c r="M344" s="6" t="str">
        <f>IF(D344&lt;&gt;"",VLOOKUP(H344,TABLEITEM,3,FALSE),"")</f>
        <v>ฝารูเปเปอร์ 2101x797เกล็ด</v>
      </c>
      <c r="N344" s="7">
        <f>INSTOCK!$I344*INSTOCK!$K344</f>
        <v>0</v>
      </c>
      <c r="O344" s="2"/>
      <c r="P344" s="2"/>
    </row>
    <row r="345" ht="18.0" hidden="1" customHeight="1">
      <c r="A345" s="1"/>
      <c r="B345" s="3">
        <v>344.0</v>
      </c>
      <c r="C345" s="4">
        <v>43258.0</v>
      </c>
      <c r="D345" s="2" t="s">
        <v>460</v>
      </c>
      <c r="E345" s="2"/>
      <c r="F345" s="3" t="s">
        <v>161</v>
      </c>
      <c r="G345" s="2" t="s">
        <v>456</v>
      </c>
      <c r="H345" s="2" t="s">
        <v>462</v>
      </c>
      <c r="I345" s="3">
        <v>20.0</v>
      </c>
      <c r="J345" s="3"/>
      <c r="K345" s="5"/>
      <c r="L345" s="6" t="str">
        <f>IF(D345&lt;&gt;"",VLOOKUP(H345,TABLEITEM,2,FALSE),"")</f>
        <v>PART</v>
      </c>
      <c r="M345" s="6" t="str">
        <f>IF(D345&lt;&gt;"",VLOOKUP(H345,TABLEITEM,3,FALSE),"")</f>
        <v>ฝารูเปเปอร์ 2101x797เรียบ</v>
      </c>
      <c r="N345" s="7">
        <f>INSTOCK!$I345*INSTOCK!$K345</f>
        <v>0</v>
      </c>
      <c r="O345" s="2"/>
      <c r="P345" s="2"/>
    </row>
    <row r="346" ht="18.0" hidden="1" customHeight="1">
      <c r="A346" s="1"/>
      <c r="B346" s="3">
        <v>345.0</v>
      </c>
      <c r="C346" s="4">
        <v>43252.0</v>
      </c>
      <c r="D346" s="2" t="s">
        <v>463</v>
      </c>
      <c r="E346" s="2"/>
      <c r="F346" s="3" t="s">
        <v>161</v>
      </c>
      <c r="G346" s="2" t="s">
        <v>456</v>
      </c>
      <c r="H346" s="2" t="s">
        <v>464</v>
      </c>
      <c r="I346" s="3">
        <v>106.0</v>
      </c>
      <c r="J346" s="3"/>
      <c r="K346" s="5"/>
      <c r="L346" s="6" t="str">
        <f>IF(D346&lt;&gt;"",VLOOKUP(H346,TABLEITEM,2,FALSE),"")</f>
        <v>PART</v>
      </c>
      <c r="M346" s="6" t="str">
        <f>IF(D346&lt;&gt;"",VLOOKUP(H346,TABLEITEM,3,FALSE),"")</f>
        <v>คานต่อโครง 80x45x3mmx420</v>
      </c>
      <c r="N346" s="7">
        <f>INSTOCK!$I346*INSTOCK!$K346</f>
        <v>0</v>
      </c>
      <c r="O346" s="2"/>
      <c r="P346" s="2"/>
    </row>
    <row r="347" ht="18.0" hidden="1" customHeight="1">
      <c r="A347" s="1"/>
      <c r="B347" s="3">
        <v>346.0</v>
      </c>
      <c r="C347" s="4">
        <v>43287.0</v>
      </c>
      <c r="D347" s="2" t="s">
        <v>463</v>
      </c>
      <c r="E347" s="2"/>
      <c r="F347" s="3" t="s">
        <v>161</v>
      </c>
      <c r="G347" s="2" t="s">
        <v>456</v>
      </c>
      <c r="H347" s="2" t="s">
        <v>464</v>
      </c>
      <c r="I347" s="3">
        <v>96.0</v>
      </c>
      <c r="J347" s="3"/>
      <c r="K347" s="5"/>
      <c r="L347" s="6" t="str">
        <f>IF(D347&lt;&gt;"",VLOOKUP(H347,TABLEITEM,2,FALSE),"")</f>
        <v>PART</v>
      </c>
      <c r="M347" s="6" t="str">
        <f>IF(D347&lt;&gt;"",VLOOKUP(H347,TABLEITEM,3,FALSE),"")</f>
        <v>คานต่อโครง 80x45x3mmx420</v>
      </c>
      <c r="N347" s="7">
        <f>INSTOCK!$I347*INSTOCK!$K347</f>
        <v>0</v>
      </c>
      <c r="O347" s="2"/>
      <c r="P347" s="2"/>
    </row>
    <row r="348" ht="18.0" hidden="1" customHeight="1">
      <c r="A348" s="1"/>
      <c r="B348" s="3">
        <v>347.0</v>
      </c>
      <c r="C348" s="4">
        <v>43234.0</v>
      </c>
      <c r="D348" s="2" t="s">
        <v>465</v>
      </c>
      <c r="E348" s="2"/>
      <c r="F348" s="3" t="s">
        <v>161</v>
      </c>
      <c r="G348" s="2" t="s">
        <v>456</v>
      </c>
      <c r="H348" s="2" t="s">
        <v>466</v>
      </c>
      <c r="I348" s="3">
        <v>214.0</v>
      </c>
      <c r="J348" s="3"/>
      <c r="K348" s="5"/>
      <c r="L348" s="6" t="str">
        <f>IF(D348&lt;&gt;"",VLOOKUP(H348,TABLEITEM,2,FALSE),"")</f>
        <v>PART</v>
      </c>
      <c r="M348" s="6" t="str">
        <f>IF(D348&lt;&gt;"",VLOOKUP(H348,TABLEITEM,3,FALSE),"")</f>
        <v>คานเจปรับระดับ754x68x35T3.0</v>
      </c>
      <c r="N348" s="7">
        <f>INSTOCK!$I348*INSTOCK!$K348</f>
        <v>0</v>
      </c>
      <c r="O348" s="2"/>
      <c r="P348" s="2"/>
    </row>
    <row r="349" ht="18.0" hidden="1" customHeight="1">
      <c r="A349" s="1"/>
      <c r="B349" s="3">
        <v>348.0</v>
      </c>
      <c r="C349" s="4">
        <v>43281.0</v>
      </c>
      <c r="D349" s="2" t="s">
        <v>465</v>
      </c>
      <c r="E349" s="2"/>
      <c r="F349" s="3" t="s">
        <v>161</v>
      </c>
      <c r="G349" s="2" t="s">
        <v>456</v>
      </c>
      <c r="H349" s="2" t="s">
        <v>466</v>
      </c>
      <c r="I349" s="3">
        <v>149.0</v>
      </c>
      <c r="J349" s="3"/>
      <c r="K349" s="5"/>
      <c r="L349" s="6" t="str">
        <f>IF(D349&lt;&gt;"",VLOOKUP(H349,TABLEITEM,2,FALSE),"")</f>
        <v>PART</v>
      </c>
      <c r="M349" s="6" t="str">
        <f>IF(D349&lt;&gt;"",VLOOKUP(H349,TABLEITEM,3,FALSE),"")</f>
        <v>คานเจปรับระดับ754x68x35T3.0</v>
      </c>
      <c r="N349" s="7">
        <f>INSTOCK!$I349*INSTOCK!$K349</f>
        <v>0</v>
      </c>
      <c r="O349" s="2"/>
      <c r="P349" s="2"/>
    </row>
    <row r="350" ht="18.0" hidden="1" customHeight="1">
      <c r="A350" s="1"/>
      <c r="B350" s="3">
        <v>349.0</v>
      </c>
      <c r="C350" s="4">
        <v>43269.0</v>
      </c>
      <c r="D350" s="2" t="s">
        <v>467</v>
      </c>
      <c r="E350" s="2"/>
      <c r="F350" s="3" t="s">
        <v>161</v>
      </c>
      <c r="G350" s="2" t="s">
        <v>456</v>
      </c>
      <c r="H350" s="2" t="s">
        <v>468</v>
      </c>
      <c r="I350" s="3">
        <v>100.0</v>
      </c>
      <c r="J350" s="3"/>
      <c r="K350" s="5"/>
      <c r="L350" s="6" t="str">
        <f>IF(D350&lt;&gt;"",VLOOKUP(H350,TABLEITEM,2,FALSE),"")</f>
        <v>PART</v>
      </c>
      <c r="M350" s="6" t="str">
        <f>IF(D350&lt;&gt;"",VLOOKUP(H350,TABLEITEM,3,FALSE),"")</f>
        <v>คานเจยึดเสาใน754x50x35T2.0</v>
      </c>
      <c r="N350" s="7">
        <f>INSTOCK!$I350*INSTOCK!$K350</f>
        <v>0</v>
      </c>
      <c r="O350" s="2"/>
      <c r="P350" s="2"/>
    </row>
    <row r="351" ht="18.0" hidden="1" customHeight="1">
      <c r="A351" s="1"/>
      <c r="B351" s="3">
        <v>350.0</v>
      </c>
      <c r="C351" s="4">
        <v>43243.0</v>
      </c>
      <c r="D351" s="2" t="s">
        <v>469</v>
      </c>
      <c r="E351" s="2"/>
      <c r="F351" s="3" t="s">
        <v>161</v>
      </c>
      <c r="G351" s="2" t="s">
        <v>456</v>
      </c>
      <c r="H351" s="2" t="s">
        <v>470</v>
      </c>
      <c r="I351" s="3">
        <v>140.0</v>
      </c>
      <c r="J351" s="3"/>
      <c r="K351" s="5"/>
      <c r="L351" s="6" t="str">
        <f>IF(D351&lt;&gt;"",VLOOKUP(H351,TABLEITEM,2,FALSE),"")</f>
        <v>PART</v>
      </c>
      <c r="M351" s="6" t="str">
        <f>IF(D351&lt;&gt;"",VLOOKUP(H351,TABLEITEM,3,FALSE),"")</f>
        <v>ฉากรับลูกถ้วย 190x45</v>
      </c>
      <c r="N351" s="7">
        <f>INSTOCK!$I351*INSTOCK!$K351</f>
        <v>0</v>
      </c>
      <c r="O351" s="2"/>
      <c r="P351" s="2"/>
    </row>
    <row r="352" ht="18.0" hidden="1" customHeight="1">
      <c r="A352" s="1"/>
      <c r="B352" s="3">
        <v>351.0</v>
      </c>
      <c r="C352" s="4">
        <v>43252.0</v>
      </c>
      <c r="D352" s="2" t="s">
        <v>471</v>
      </c>
      <c r="E352" s="2"/>
      <c r="F352" s="3" t="s">
        <v>161</v>
      </c>
      <c r="G352" s="2" t="s">
        <v>456</v>
      </c>
      <c r="H352" s="2" t="s">
        <v>472</v>
      </c>
      <c r="I352" s="3">
        <v>100.0</v>
      </c>
      <c r="J352" s="3"/>
      <c r="K352" s="5"/>
      <c r="L352" s="6" t="str">
        <f>IF(D352&lt;&gt;"",VLOOKUP(H352,TABLEITEM,2,FALSE),"")</f>
        <v>PART</v>
      </c>
      <c r="M352" s="6" t="str">
        <f>IF(D352&lt;&gt;"",VLOOKUP(H352,TABLEITEM,3,FALSE),"")</f>
        <v>คานต่อโครง3mm 68x45x420</v>
      </c>
      <c r="N352" s="7">
        <f>INSTOCK!$I352*INSTOCK!$K352</f>
        <v>0</v>
      </c>
      <c r="O352" s="2"/>
      <c r="P352" s="2"/>
    </row>
    <row r="353" ht="18.0" hidden="1" customHeight="1">
      <c r="A353" s="1"/>
      <c r="B353" s="3">
        <v>352.0</v>
      </c>
      <c r="C353" s="4">
        <v>43287.0</v>
      </c>
      <c r="D353" s="2" t="s">
        <v>471</v>
      </c>
      <c r="E353" s="2"/>
      <c r="F353" s="3" t="s">
        <v>161</v>
      </c>
      <c r="G353" s="2" t="s">
        <v>456</v>
      </c>
      <c r="H353" s="2" t="s">
        <v>472</v>
      </c>
      <c r="I353" s="3">
        <v>108.0</v>
      </c>
      <c r="J353" s="3"/>
      <c r="K353" s="5"/>
      <c r="L353" s="6" t="str">
        <f>IF(D353&lt;&gt;"",VLOOKUP(H353,TABLEITEM,2,FALSE),"")</f>
        <v>PART</v>
      </c>
      <c r="M353" s="6" t="str">
        <f>IF(D353&lt;&gt;"",VLOOKUP(H353,TABLEITEM,3,FALSE),"")</f>
        <v>คานต่อโครง3mm 68x45x420</v>
      </c>
      <c r="N353" s="7">
        <f>INSTOCK!$I353*INSTOCK!$K353</f>
        <v>0</v>
      </c>
      <c r="O353" s="2"/>
      <c r="P353" s="2"/>
    </row>
    <row r="354" ht="18.0" hidden="1" customHeight="1">
      <c r="A354" s="1"/>
      <c r="B354" s="3">
        <v>353.0</v>
      </c>
      <c r="C354" s="4">
        <v>43292.0</v>
      </c>
      <c r="D354" s="2" t="s">
        <v>473</v>
      </c>
      <c r="E354" s="2"/>
      <c r="F354" s="3" t="s">
        <v>161</v>
      </c>
      <c r="G354" s="2" t="s">
        <v>456</v>
      </c>
      <c r="H354" s="2" t="s">
        <v>474</v>
      </c>
      <c r="I354" s="3">
        <v>18.0</v>
      </c>
      <c r="J354" s="3"/>
      <c r="K354" s="5"/>
      <c r="L354" s="6" t="str">
        <f>IF(D354&lt;&gt;"",VLOOKUP(H354,TABLEITEM,2,FALSE),"")</f>
        <v>PART</v>
      </c>
      <c r="M354" s="6" t="str">
        <f>IF(D354&lt;&gt;"",VLOOKUP(H354,TABLEITEM,3,FALSE),"")</f>
        <v>เพลทเบกเกอร์ 625x280</v>
      </c>
      <c r="N354" s="7">
        <f>INSTOCK!$I354*INSTOCK!$K354</f>
        <v>0</v>
      </c>
      <c r="O354" s="2"/>
      <c r="P354" s="2"/>
    </row>
    <row r="355" ht="18.0" hidden="1" customHeight="1">
      <c r="A355" s="1"/>
      <c r="B355" s="3">
        <v>354.0</v>
      </c>
      <c r="C355" s="4">
        <v>43292.0</v>
      </c>
      <c r="D355" s="2" t="s">
        <v>473</v>
      </c>
      <c r="E355" s="2"/>
      <c r="F355" s="3" t="s">
        <v>161</v>
      </c>
      <c r="G355" s="2" t="s">
        <v>456</v>
      </c>
      <c r="H355" s="2" t="s">
        <v>475</v>
      </c>
      <c r="I355" s="3">
        <v>9.0</v>
      </c>
      <c r="J355" s="3"/>
      <c r="K355" s="5"/>
      <c r="L355" s="6" t="str">
        <f>IF(D355&lt;&gt;"",VLOOKUP(H355,TABLEITEM,2,FALSE),"")</f>
        <v>PART</v>
      </c>
      <c r="M355" s="6" t="str">
        <f>IF(D355&lt;&gt;"",VLOOKUP(H355,TABLEITEM,3,FALSE),"")</f>
        <v>เพลทเบกเกอร์ 825x280</v>
      </c>
      <c r="N355" s="7">
        <f>INSTOCK!$I355*INSTOCK!$K355</f>
        <v>0</v>
      </c>
      <c r="O355" s="2"/>
      <c r="P355" s="2"/>
    </row>
    <row r="356" ht="18.0" hidden="1" customHeight="1">
      <c r="A356" s="1"/>
      <c r="B356" s="3">
        <v>355.0</v>
      </c>
      <c r="C356" s="4">
        <v>43272.0</v>
      </c>
      <c r="D356" s="2" t="s">
        <v>476</v>
      </c>
      <c r="E356" s="2"/>
      <c r="F356" s="3" t="s">
        <v>161</v>
      </c>
      <c r="G356" s="2" t="s">
        <v>456</v>
      </c>
      <c r="H356" s="2" t="s">
        <v>477</v>
      </c>
      <c r="I356" s="3">
        <v>168.0</v>
      </c>
      <c r="J356" s="3"/>
      <c r="K356" s="5"/>
      <c r="L356" s="6" t="str">
        <f>IF(D356&lt;&gt;"",VLOOKUP(H356,TABLEITEM,2,FALSE),"")</f>
        <v>PART</v>
      </c>
      <c r="M356" s="6" t="str">
        <f>IF(D356&lt;&gt;"",VLOOKUP(H356,TABLEITEM,3,FALSE),"")</f>
        <v>คานเจ 2รู 65x32x654</v>
      </c>
      <c r="N356" s="7">
        <f>INSTOCK!$I356*INSTOCK!$K356</f>
        <v>0</v>
      </c>
      <c r="O356" s="2"/>
      <c r="P356" s="2"/>
    </row>
    <row r="357" ht="18.0" hidden="1" customHeight="1">
      <c r="A357" s="1"/>
      <c r="B357" s="3">
        <v>356.0</v>
      </c>
      <c r="C357" s="4">
        <v>43274.0</v>
      </c>
      <c r="D357" s="2" t="s">
        <v>478</v>
      </c>
      <c r="E357" s="2"/>
      <c r="F357" s="3" t="s">
        <v>161</v>
      </c>
      <c r="G357" s="2" t="s">
        <v>456</v>
      </c>
      <c r="H357" s="2" t="s">
        <v>479</v>
      </c>
      <c r="I357" s="3">
        <v>30.0</v>
      </c>
      <c r="J357" s="3"/>
      <c r="K357" s="5"/>
      <c r="L357" s="6" t="str">
        <f>IF(D357&lt;&gt;"",VLOOKUP(H357,TABLEITEM,2,FALSE),"")</f>
        <v>PART</v>
      </c>
      <c r="M357" s="6" t="str">
        <f>IF(D357&lt;&gt;"",VLOOKUP(H357,TABLEITEM,3,FALSE),"")</f>
        <v>ฝาข้าง-ฝาหลัง 2075x570</v>
      </c>
      <c r="N357" s="7">
        <f>INSTOCK!$I357*INSTOCK!$K357</f>
        <v>0</v>
      </c>
      <c r="O357" s="2"/>
      <c r="P357" s="2"/>
    </row>
    <row r="358" ht="18.0" hidden="1" customHeight="1">
      <c r="A358" s="1"/>
      <c r="B358" s="3">
        <v>357.0</v>
      </c>
      <c r="C358" s="4">
        <v>43274.0</v>
      </c>
      <c r="D358" s="2" t="s">
        <v>478</v>
      </c>
      <c r="E358" s="2"/>
      <c r="F358" s="3" t="s">
        <v>161</v>
      </c>
      <c r="G358" s="2" t="s">
        <v>456</v>
      </c>
      <c r="H358" s="2" t="s">
        <v>480</v>
      </c>
      <c r="I358" s="3">
        <v>20.0</v>
      </c>
      <c r="J358" s="3"/>
      <c r="K358" s="5"/>
      <c r="L358" s="6" t="str">
        <f>IF(D358&lt;&gt;"",VLOOKUP(H358,TABLEITEM,2,FALSE),"")</f>
        <v>PART</v>
      </c>
      <c r="M358" s="6" t="str">
        <f>IF(D358&lt;&gt;"",VLOOKUP(H358,TABLEITEM,3,FALSE),"")</f>
        <v>ฝาข้าง-ฝาหลัง 1875x670</v>
      </c>
      <c r="N358" s="7">
        <f>INSTOCK!$I358*INSTOCK!$K358</f>
        <v>0</v>
      </c>
      <c r="O358" s="2"/>
      <c r="P358" s="2"/>
    </row>
    <row r="359" ht="18.0" hidden="1" customHeight="1">
      <c r="A359" s="1"/>
      <c r="B359" s="3">
        <v>358.0</v>
      </c>
      <c r="C359" s="4">
        <v>43274.0</v>
      </c>
      <c r="D359" s="2" t="s">
        <v>478</v>
      </c>
      <c r="E359" s="2"/>
      <c r="F359" s="3" t="s">
        <v>161</v>
      </c>
      <c r="G359" s="2" t="s">
        <v>456</v>
      </c>
      <c r="H359" s="2" t="s">
        <v>481</v>
      </c>
      <c r="I359" s="3">
        <v>20.0</v>
      </c>
      <c r="J359" s="3"/>
      <c r="K359" s="5"/>
      <c r="L359" s="6" t="str">
        <f>IF(D359&lt;&gt;"",VLOOKUP(H359,TABLEITEM,2,FALSE),"")</f>
        <v>PART</v>
      </c>
      <c r="M359" s="6" t="str">
        <f>IF(D359&lt;&gt;"",VLOOKUP(H359,TABLEITEM,3,FALSE),"")</f>
        <v>ฝาข้าง-ฝาหลัง 2075x870</v>
      </c>
      <c r="N359" s="7">
        <f>INSTOCK!$I359*INSTOCK!$K359</f>
        <v>0</v>
      </c>
      <c r="O359" s="2"/>
      <c r="P359" s="2"/>
    </row>
    <row r="360" ht="18.0" hidden="1" customHeight="1">
      <c r="A360" s="1"/>
      <c r="B360" s="3">
        <v>359.0</v>
      </c>
      <c r="C360" s="4">
        <v>43239.0</v>
      </c>
      <c r="D360" s="2" t="s">
        <v>482</v>
      </c>
      <c r="E360" s="2"/>
      <c r="F360" s="3" t="s">
        <v>161</v>
      </c>
      <c r="G360" s="2" t="s">
        <v>456</v>
      </c>
      <c r="H360" s="2" t="s">
        <v>483</v>
      </c>
      <c r="I360" s="3">
        <v>340.0</v>
      </c>
      <c r="J360" s="3"/>
      <c r="K360" s="5"/>
      <c r="L360" s="6" t="str">
        <f>IF(D360&lt;&gt;"",VLOOKUP(H360,TABLEITEM,2,FALSE),"")</f>
        <v>PART</v>
      </c>
      <c r="M360" s="6" t="str">
        <f>IF(D360&lt;&gt;"",VLOOKUP(H360,TABLEITEM,3,FALSE),"")</f>
        <v>คานต่อโครง4รู 68x45x3mmx720</v>
      </c>
      <c r="N360" s="7">
        <f>INSTOCK!$I360*INSTOCK!$K360</f>
        <v>0</v>
      </c>
      <c r="O360" s="2"/>
      <c r="P360" s="2"/>
    </row>
    <row r="361" ht="18.0" hidden="1" customHeight="1">
      <c r="A361" s="1"/>
      <c r="B361" s="3">
        <v>360.0</v>
      </c>
      <c r="C361" s="4">
        <v>43227.0</v>
      </c>
      <c r="D361" s="2" t="s">
        <v>482</v>
      </c>
      <c r="E361" s="2"/>
      <c r="F361" s="3" t="s">
        <v>161</v>
      </c>
      <c r="G361" s="2" t="s">
        <v>456</v>
      </c>
      <c r="H361" s="2" t="s">
        <v>484</v>
      </c>
      <c r="I361" s="3">
        <v>280.0</v>
      </c>
      <c r="J361" s="3"/>
      <c r="K361" s="5"/>
      <c r="L361" s="6" t="str">
        <f>IF(D361&lt;&gt;"",VLOOKUP(H361,TABLEITEM,2,FALSE),"")</f>
        <v>PART</v>
      </c>
      <c r="M361" s="6" t="str">
        <f>IF(D361&lt;&gt;"",VLOOKUP(H361,TABLEITEM,3,FALSE),"")</f>
        <v>คานต่อโครง3mm 68x45x720</v>
      </c>
      <c r="N361" s="7">
        <f>INSTOCK!$I361*INSTOCK!$K361</f>
        <v>0</v>
      </c>
      <c r="O361" s="2"/>
      <c r="P361" s="2"/>
    </row>
    <row r="362" ht="18.0" hidden="1" customHeight="1">
      <c r="A362" s="1"/>
      <c r="B362" s="3">
        <v>361.0</v>
      </c>
      <c r="C362" s="4">
        <v>43216.0</v>
      </c>
      <c r="D362" s="2" t="s">
        <v>485</v>
      </c>
      <c r="E362" s="2"/>
      <c r="F362" s="3" t="s">
        <v>161</v>
      </c>
      <c r="G362" s="2" t="s">
        <v>456</v>
      </c>
      <c r="H362" s="2" t="s">
        <v>486</v>
      </c>
      <c r="I362" s="3">
        <v>57.0</v>
      </c>
      <c r="J362" s="3"/>
      <c r="K362" s="5"/>
      <c r="L362" s="6" t="str">
        <f>IF(D362&lt;&gt;"",VLOOKUP(H362,TABLEITEM,2,FALSE),"")</f>
        <v>PART</v>
      </c>
      <c r="M362" s="6" t="str">
        <f>IF(D362&lt;&gt;"",VLOOKUP(H362,TABLEITEM,3,FALSE),"")</f>
        <v>กระเป๋าเอกสารรุ่น 316x45</v>
      </c>
      <c r="N362" s="7">
        <f>INSTOCK!$I362*INSTOCK!$K362</f>
        <v>0</v>
      </c>
      <c r="O362" s="2"/>
      <c r="P362" s="2"/>
    </row>
    <row r="363" ht="18.0" hidden="1" customHeight="1">
      <c r="A363" s="1"/>
      <c r="B363" s="3">
        <v>362.0</v>
      </c>
      <c r="C363" s="4">
        <v>43216.0</v>
      </c>
      <c r="D363" s="2" t="s">
        <v>485</v>
      </c>
      <c r="E363" s="2"/>
      <c r="F363" s="3" t="s">
        <v>161</v>
      </c>
      <c r="G363" s="2" t="s">
        <v>456</v>
      </c>
      <c r="H363" s="2" t="s">
        <v>487</v>
      </c>
      <c r="I363" s="3">
        <v>47.0</v>
      </c>
      <c r="J363" s="3"/>
      <c r="K363" s="5"/>
      <c r="L363" s="6" t="str">
        <f>IF(D363&lt;&gt;"",VLOOKUP(H363,TABLEITEM,2,FALSE),"")</f>
        <v>PART</v>
      </c>
      <c r="M363" s="6" t="str">
        <f>IF(D363&lt;&gt;"",VLOOKUP(H363,TABLEITEM,3,FALSE),"")</f>
        <v>กระเป๋าเอกสารรุ่น 316x224</v>
      </c>
      <c r="N363" s="7">
        <f>INSTOCK!$I363*INSTOCK!$K363</f>
        <v>0</v>
      </c>
      <c r="O363" s="2"/>
      <c r="P363" s="2"/>
    </row>
    <row r="364" ht="18.0" hidden="1" customHeight="1">
      <c r="A364" s="1"/>
      <c r="B364" s="3">
        <v>363.0</v>
      </c>
      <c r="C364" s="4">
        <v>43220.0</v>
      </c>
      <c r="D364" s="2" t="s">
        <v>485</v>
      </c>
      <c r="E364" s="2"/>
      <c r="F364" s="3" t="s">
        <v>161</v>
      </c>
      <c r="G364" s="2" t="s">
        <v>456</v>
      </c>
      <c r="H364" s="2" t="s">
        <v>487</v>
      </c>
      <c r="I364" s="3">
        <v>52.0</v>
      </c>
      <c r="J364" s="3"/>
      <c r="K364" s="5"/>
      <c r="L364" s="6" t="str">
        <f>IF(D364&lt;&gt;"",VLOOKUP(H364,TABLEITEM,2,FALSE),"")</f>
        <v>PART</v>
      </c>
      <c r="M364" s="6" t="str">
        <f>IF(D364&lt;&gt;"",VLOOKUP(H364,TABLEITEM,3,FALSE),"")</f>
        <v>กระเป๋าเอกสารรุ่น 316x224</v>
      </c>
      <c r="N364" s="7">
        <f>INSTOCK!$I364*INSTOCK!$K364</f>
        <v>0</v>
      </c>
      <c r="O364" s="2"/>
      <c r="P364" s="2"/>
    </row>
    <row r="365" ht="18.0" hidden="1" customHeight="1">
      <c r="A365" s="1"/>
      <c r="B365" s="3">
        <v>364.0</v>
      </c>
      <c r="C365" s="4">
        <v>43248.0</v>
      </c>
      <c r="D365" s="2" t="s">
        <v>488</v>
      </c>
      <c r="E365" s="2"/>
      <c r="F365" s="3" t="s">
        <v>161</v>
      </c>
      <c r="G365" s="2" t="s">
        <v>456</v>
      </c>
      <c r="H365" s="2" t="s">
        <v>489</v>
      </c>
      <c r="I365" s="3">
        <v>50.0</v>
      </c>
      <c r="J365" s="3"/>
      <c r="K365" s="5"/>
      <c r="L365" s="6" t="str">
        <f>IF(D365&lt;&gt;"",VLOOKUP(H365,TABLEITEM,2,FALSE),"")</f>
        <v>PART</v>
      </c>
      <c r="M365" s="6" t="str">
        <f>IF(D365&lt;&gt;"",VLOOKUP(H365,TABLEITEM,3,FALSE),"")</f>
        <v>คานตัวC 70x25T3.0x520</v>
      </c>
      <c r="N365" s="7">
        <f>INSTOCK!$I365*INSTOCK!$K365</f>
        <v>0</v>
      </c>
      <c r="O365" s="2"/>
      <c r="P365" s="2"/>
    </row>
    <row r="366" ht="18.0" hidden="1" customHeight="1">
      <c r="A366" s="1"/>
      <c r="B366" s="3">
        <v>365.0</v>
      </c>
      <c r="C366" s="4">
        <v>43217.0</v>
      </c>
      <c r="D366" s="2" t="s">
        <v>490</v>
      </c>
      <c r="E366" s="2"/>
      <c r="F366" s="3" t="s">
        <v>161</v>
      </c>
      <c r="G366" s="2" t="s">
        <v>456</v>
      </c>
      <c r="H366" s="2" t="s">
        <v>491</v>
      </c>
      <c r="I366" s="3">
        <v>90.0</v>
      </c>
      <c r="J366" s="3"/>
      <c r="K366" s="5"/>
      <c r="L366" s="6" t="str">
        <f>IF(D366&lt;&gt;"",VLOOKUP(H366,TABLEITEM,2,FALSE),"")</f>
        <v>PART</v>
      </c>
      <c r="M366" s="6" t="str">
        <f>IF(D366&lt;&gt;"",VLOOKUP(H366,TABLEITEM,3,FALSE),"")</f>
        <v>เสาเสริม 40x50x1988</v>
      </c>
      <c r="N366" s="7">
        <f>INSTOCK!$I366*INSTOCK!$K366</f>
        <v>0</v>
      </c>
      <c r="O366" s="2"/>
      <c r="P366" s="2"/>
    </row>
    <row r="367" ht="18.0" hidden="1" customHeight="1">
      <c r="A367" s="1"/>
      <c r="B367" s="3">
        <v>366.0</v>
      </c>
      <c r="C367" s="4">
        <v>43239.0</v>
      </c>
      <c r="D367" s="2" t="s">
        <v>492</v>
      </c>
      <c r="E367" s="2"/>
      <c r="F367" s="3" t="s">
        <v>161</v>
      </c>
      <c r="G367" s="2" t="s">
        <v>456</v>
      </c>
      <c r="H367" s="2" t="s">
        <v>493</v>
      </c>
      <c r="I367" s="3">
        <v>173.0</v>
      </c>
      <c r="J367" s="3"/>
      <c r="K367" s="5"/>
      <c r="L367" s="6" t="str">
        <f>IF(D367&lt;&gt;"",VLOOKUP(H367,TABLEITEM,2,FALSE),"")</f>
        <v>PART</v>
      </c>
      <c r="M367" s="6" t="str">
        <f>IF(D367&lt;&gt;"",VLOOKUP(H367,TABLEITEM,3,FALSE),"")</f>
        <v>เสาเชื่อม2125x40x50</v>
      </c>
      <c r="N367" s="7">
        <f>INSTOCK!$I367*INSTOCK!$K367</f>
        <v>0</v>
      </c>
      <c r="O367" s="2"/>
      <c r="P367" s="2"/>
    </row>
    <row r="368" ht="18.0" hidden="1" customHeight="1">
      <c r="A368" s="1"/>
      <c r="B368" s="3">
        <v>367.0</v>
      </c>
      <c r="C368" s="4">
        <v>43189.0</v>
      </c>
      <c r="D368" s="2" t="s">
        <v>494</v>
      </c>
      <c r="E368" s="2"/>
      <c r="F368" s="3" t="s">
        <v>161</v>
      </c>
      <c r="G368" s="2" t="s">
        <v>456</v>
      </c>
      <c r="H368" s="2" t="s">
        <v>495</v>
      </c>
      <c r="I368" s="3">
        <v>300.0</v>
      </c>
      <c r="J368" s="3"/>
      <c r="K368" s="5"/>
      <c r="L368" s="6" t="str">
        <f>IF(D368&lt;&gt;"",VLOOKUP(H368,TABLEITEM,2,FALSE),"")</f>
        <v>PART</v>
      </c>
      <c r="M368" s="6" t="str">
        <f>IF(D368&lt;&gt;"",VLOOKUP(H368,TABLEITEM,3,FALSE),"")</f>
        <v>คานเชื่อม800</v>
      </c>
      <c r="N368" s="7">
        <f>INSTOCK!$I368*INSTOCK!$K368</f>
        <v>0</v>
      </c>
      <c r="O368" s="2"/>
      <c r="P368" s="2"/>
    </row>
    <row r="369" ht="18.0" hidden="1" customHeight="1">
      <c r="A369" s="1"/>
      <c r="B369" s="3">
        <v>368.0</v>
      </c>
      <c r="C369" s="4">
        <v>43227.0</v>
      </c>
      <c r="D369" s="2" t="s">
        <v>494</v>
      </c>
      <c r="E369" s="2"/>
      <c r="F369" s="3" t="s">
        <v>161</v>
      </c>
      <c r="G369" s="2" t="s">
        <v>456</v>
      </c>
      <c r="H369" s="2" t="s">
        <v>495</v>
      </c>
      <c r="I369" s="3">
        <v>116.0</v>
      </c>
      <c r="J369" s="3"/>
      <c r="K369" s="5"/>
      <c r="L369" s="6" t="str">
        <f>IF(D369&lt;&gt;"",VLOOKUP(H369,TABLEITEM,2,FALSE),"")</f>
        <v>PART</v>
      </c>
      <c r="M369" s="6" t="str">
        <f>IF(D369&lt;&gt;"",VLOOKUP(H369,TABLEITEM,3,FALSE),"")</f>
        <v>คานเชื่อม800</v>
      </c>
      <c r="N369" s="7">
        <f>INSTOCK!$I369*INSTOCK!$K369</f>
        <v>0</v>
      </c>
      <c r="O369" s="2"/>
      <c r="P369" s="2"/>
    </row>
    <row r="370" ht="18.0" hidden="1" customHeight="1">
      <c r="A370" s="1"/>
      <c r="B370" s="3">
        <v>369.0</v>
      </c>
      <c r="C370" s="4">
        <v>43239.0</v>
      </c>
      <c r="D370" s="2" t="s">
        <v>494</v>
      </c>
      <c r="E370" s="2"/>
      <c r="F370" s="3" t="s">
        <v>161</v>
      </c>
      <c r="G370" s="2" t="s">
        <v>456</v>
      </c>
      <c r="H370" s="2" t="s">
        <v>495</v>
      </c>
      <c r="I370" s="3">
        <v>268.0</v>
      </c>
      <c r="J370" s="3"/>
      <c r="K370" s="5"/>
      <c r="L370" s="6" t="str">
        <f>IF(D370&lt;&gt;"",VLOOKUP(H370,TABLEITEM,2,FALSE),"")</f>
        <v>PART</v>
      </c>
      <c r="M370" s="6" t="str">
        <f>IF(D370&lt;&gt;"",VLOOKUP(H370,TABLEITEM,3,FALSE),"")</f>
        <v>คานเชื่อม800</v>
      </c>
      <c r="N370" s="7">
        <f>INSTOCK!$I370*INSTOCK!$K370</f>
        <v>0</v>
      </c>
      <c r="O370" s="2"/>
      <c r="P370" s="2"/>
    </row>
    <row r="371" ht="18.0" hidden="1" customHeight="1">
      <c r="A371" s="1"/>
      <c r="B371" s="3">
        <v>370.0</v>
      </c>
      <c r="C371" s="4">
        <v>43248.0</v>
      </c>
      <c r="D371" s="2" t="s">
        <v>496</v>
      </c>
      <c r="E371" s="2"/>
      <c r="F371" s="3" t="s">
        <v>161</v>
      </c>
      <c r="G371" s="2" t="s">
        <v>456</v>
      </c>
      <c r="H371" s="2" t="s">
        <v>497</v>
      </c>
      <c r="I371" s="3">
        <v>55.0</v>
      </c>
      <c r="J371" s="3"/>
      <c r="K371" s="5"/>
      <c r="L371" s="6" t="str">
        <f>IF(D371&lt;&gt;"",VLOOKUP(H371,TABLEITEM,2,FALSE),"")</f>
        <v>PART</v>
      </c>
      <c r="M371" s="6" t="str">
        <f>IF(D371&lt;&gt;"",VLOOKUP(H371,TABLEITEM,3,FALSE),"")</f>
        <v>หมวกตู้ 60x775</v>
      </c>
      <c r="N371" s="7">
        <f>INSTOCK!$I371*INSTOCK!$K371</f>
        <v>0</v>
      </c>
      <c r="O371" s="2"/>
      <c r="P371" s="2"/>
    </row>
    <row r="372" ht="18.0" hidden="1" customHeight="1">
      <c r="A372" s="1"/>
      <c r="B372" s="3">
        <v>371.0</v>
      </c>
      <c r="C372" s="4">
        <v>43248.0</v>
      </c>
      <c r="D372" s="2" t="s">
        <v>496</v>
      </c>
      <c r="E372" s="2"/>
      <c r="F372" s="3" t="s">
        <v>161</v>
      </c>
      <c r="G372" s="2" t="s">
        <v>456</v>
      </c>
      <c r="H372" s="2" t="s">
        <v>498</v>
      </c>
      <c r="I372" s="3">
        <v>96.0</v>
      </c>
      <c r="J372" s="3"/>
      <c r="K372" s="5"/>
      <c r="L372" s="6" t="str">
        <f>IF(D372&lt;&gt;"",VLOOKUP(H372,TABLEITEM,2,FALSE),"")</f>
        <v>PART</v>
      </c>
      <c r="M372" s="6" t="str">
        <f>IF(D372&lt;&gt;"",VLOOKUP(H372,TABLEITEM,3,FALSE),"")</f>
        <v>หมวกตู้ 40x325</v>
      </c>
      <c r="N372" s="7">
        <f>INSTOCK!$I372*INSTOCK!$K372</f>
        <v>0</v>
      </c>
      <c r="O372" s="2"/>
      <c r="P372" s="2"/>
    </row>
    <row r="373" ht="18.0" hidden="1" customHeight="1">
      <c r="A373" s="1"/>
      <c r="B373" s="3">
        <v>372.0</v>
      </c>
      <c r="C373" s="4">
        <v>43248.0</v>
      </c>
      <c r="D373" s="2" t="s">
        <v>496</v>
      </c>
      <c r="E373" s="2"/>
      <c r="F373" s="3" t="s">
        <v>161</v>
      </c>
      <c r="G373" s="2" t="s">
        <v>456</v>
      </c>
      <c r="H373" s="2" t="s">
        <v>499</v>
      </c>
      <c r="I373" s="3">
        <v>97.0</v>
      </c>
      <c r="J373" s="3"/>
      <c r="K373" s="5"/>
      <c r="L373" s="6" t="str">
        <f>IF(D373&lt;&gt;"",VLOOKUP(H373,TABLEITEM,2,FALSE),"")</f>
        <v>PART</v>
      </c>
      <c r="M373" s="6" t="str">
        <f>IF(D373&lt;&gt;"",VLOOKUP(H373,TABLEITEM,3,FALSE),"")</f>
        <v>หมวกตู้ 40x675</v>
      </c>
      <c r="N373" s="7">
        <f>INSTOCK!$I373*INSTOCK!$K373</f>
        <v>0</v>
      </c>
      <c r="O373" s="2"/>
      <c r="P373" s="2"/>
    </row>
    <row r="374" ht="18.0" hidden="1" customHeight="1">
      <c r="A374" s="1"/>
      <c r="B374" s="3">
        <v>373.0</v>
      </c>
      <c r="C374" s="4">
        <v>43207.0</v>
      </c>
      <c r="D374" s="2" t="s">
        <v>500</v>
      </c>
      <c r="E374" s="2"/>
      <c r="F374" s="3" t="s">
        <v>161</v>
      </c>
      <c r="G374" s="2" t="s">
        <v>456</v>
      </c>
      <c r="H374" s="2" t="s">
        <v>501</v>
      </c>
      <c r="I374" s="3">
        <v>221.0</v>
      </c>
      <c r="J374" s="3"/>
      <c r="K374" s="5"/>
      <c r="L374" s="6" t="str">
        <f>IF(D374&lt;&gt;"",VLOOKUP(H374,TABLEITEM,2,FALSE),"")</f>
        <v>PART</v>
      </c>
      <c r="M374" s="6" t="str">
        <f>IF(D374&lt;&gt;"",VLOOKUP(H374,TABLEITEM,3,FALSE),"")</f>
        <v>คานฝาหน้า 50x22x270</v>
      </c>
      <c r="N374" s="7">
        <f>INSTOCK!$I374*INSTOCK!$K374</f>
        <v>0</v>
      </c>
      <c r="O374" s="2"/>
      <c r="P374" s="2"/>
    </row>
    <row r="375" ht="18.0" hidden="1" customHeight="1">
      <c r="A375" s="1"/>
      <c r="B375" s="3">
        <v>374.0</v>
      </c>
      <c r="C375" s="4">
        <v>43279.0</v>
      </c>
      <c r="D375" s="2" t="s">
        <v>502</v>
      </c>
      <c r="E375" s="2"/>
      <c r="F375" s="3" t="s">
        <v>161</v>
      </c>
      <c r="G375" s="2" t="s">
        <v>456</v>
      </c>
      <c r="H375" s="2" t="s">
        <v>503</v>
      </c>
      <c r="I375" s="3">
        <v>20.0</v>
      </c>
      <c r="J375" s="3"/>
      <c r="K375" s="5"/>
      <c r="L375" s="6" t="str">
        <f>IF(D375&lt;&gt;"",VLOOKUP(H375,TABLEITEM,2,FALSE),"")</f>
        <v>PART</v>
      </c>
      <c r="M375" s="6" t="str">
        <f>IF(D375&lt;&gt;"",VLOOKUP(H375,TABLEITEM,3,FALSE),"")</f>
        <v>แพลทยึดอุปกรณ์220x700</v>
      </c>
      <c r="N375" s="7">
        <f>INSTOCK!$I375*INSTOCK!$K375</f>
        <v>0</v>
      </c>
      <c r="O375" s="2"/>
      <c r="P375" s="2"/>
    </row>
    <row r="376" ht="18.0" hidden="1" customHeight="1">
      <c r="A376" s="1"/>
      <c r="B376" s="3">
        <v>375.0</v>
      </c>
      <c r="C376" s="4">
        <v>43186.0</v>
      </c>
      <c r="D376" s="2" t="s">
        <v>502</v>
      </c>
      <c r="E376" s="2"/>
      <c r="F376" s="3" t="s">
        <v>161</v>
      </c>
      <c r="G376" s="2" t="s">
        <v>456</v>
      </c>
      <c r="H376" s="2" t="s">
        <v>503</v>
      </c>
      <c r="I376" s="3">
        <v>20.0</v>
      </c>
      <c r="J376" s="3"/>
      <c r="K376" s="5"/>
      <c r="L376" s="6" t="str">
        <f>IF(D376&lt;&gt;"",VLOOKUP(H376,TABLEITEM,2,FALSE),"")</f>
        <v>PART</v>
      </c>
      <c r="M376" s="6" t="str">
        <f>IF(D376&lt;&gt;"",VLOOKUP(H376,TABLEITEM,3,FALSE),"")</f>
        <v>แพลทยึดอุปกรณ์220x700</v>
      </c>
      <c r="N376" s="7">
        <f>INSTOCK!$I376*INSTOCK!$K376</f>
        <v>0</v>
      </c>
      <c r="O376" s="2"/>
      <c r="P376" s="2"/>
    </row>
    <row r="377" ht="18.0" hidden="1" customHeight="1">
      <c r="A377" s="1"/>
      <c r="B377" s="3">
        <v>376.0</v>
      </c>
      <c r="C377" s="4">
        <v>43216.0</v>
      </c>
      <c r="D377" s="2" t="s">
        <v>502</v>
      </c>
      <c r="E377" s="2"/>
      <c r="F377" s="3" t="s">
        <v>161</v>
      </c>
      <c r="G377" s="2" t="s">
        <v>456</v>
      </c>
      <c r="H377" s="2" t="s">
        <v>504</v>
      </c>
      <c r="I377" s="3">
        <v>12.0</v>
      </c>
      <c r="J377" s="3"/>
      <c r="K377" s="5"/>
      <c r="L377" s="6" t="str">
        <f>IF(D377&lt;&gt;"",VLOOKUP(H377,TABLEITEM,2,FALSE),"")</f>
        <v>PART</v>
      </c>
      <c r="M377" s="6" t="str">
        <f>IF(D377&lt;&gt;"",VLOOKUP(H377,TABLEITEM,3,FALSE),"")</f>
        <v>แพลทยึดอุปกรณ์595x300</v>
      </c>
      <c r="N377" s="7">
        <f>INSTOCK!$I377*INSTOCK!$K377</f>
        <v>0</v>
      </c>
      <c r="O377" s="2"/>
      <c r="P377" s="2"/>
    </row>
    <row r="378" ht="18.0" hidden="1" customHeight="1">
      <c r="A378" s="1"/>
      <c r="B378" s="3">
        <v>377.0</v>
      </c>
      <c r="C378" s="4">
        <v>43292.0</v>
      </c>
      <c r="D378" s="2" t="s">
        <v>502</v>
      </c>
      <c r="E378" s="2"/>
      <c r="F378" s="3" t="s">
        <v>161</v>
      </c>
      <c r="G378" s="2" t="s">
        <v>456</v>
      </c>
      <c r="H378" s="2" t="s">
        <v>504</v>
      </c>
      <c r="I378" s="3">
        <v>28.0</v>
      </c>
      <c r="J378" s="3"/>
      <c r="K378" s="5"/>
      <c r="L378" s="6" t="str">
        <f>IF(D378&lt;&gt;"",VLOOKUP(H378,TABLEITEM,2,FALSE),"")</f>
        <v>PART</v>
      </c>
      <c r="M378" s="6" t="str">
        <f>IF(D378&lt;&gt;"",VLOOKUP(H378,TABLEITEM,3,FALSE),"")</f>
        <v>แพลทยึดอุปกรณ์595x300</v>
      </c>
      <c r="N378" s="7">
        <f>INSTOCK!$I378*INSTOCK!$K378</f>
        <v>0</v>
      </c>
      <c r="O378" s="2"/>
      <c r="P378" s="2"/>
    </row>
    <row r="379" ht="18.0" hidden="1" customHeight="1">
      <c r="A379" s="1"/>
      <c r="B379" s="3">
        <v>378.0</v>
      </c>
      <c r="C379" s="4">
        <v>43179.0</v>
      </c>
      <c r="D379" s="2" t="s">
        <v>502</v>
      </c>
      <c r="E379" s="2"/>
      <c r="F379" s="3" t="s">
        <v>161</v>
      </c>
      <c r="G379" s="2" t="s">
        <v>456</v>
      </c>
      <c r="H379" s="2" t="s">
        <v>505</v>
      </c>
      <c r="I379" s="3">
        <v>15.0</v>
      </c>
      <c r="J379" s="3"/>
      <c r="K379" s="5"/>
      <c r="L379" s="6" t="str">
        <f>IF(D379&lt;&gt;"",VLOOKUP(H379,TABLEITEM,2,FALSE),"")</f>
        <v>PART</v>
      </c>
      <c r="M379" s="6" t="str">
        <f>IF(D379&lt;&gt;"",VLOOKUP(H379,TABLEITEM,3,FALSE),"")</f>
        <v>แพลทยึดอุปกรณ์695x450</v>
      </c>
      <c r="N379" s="7">
        <f>INSTOCK!$I379*INSTOCK!$K379</f>
        <v>0</v>
      </c>
      <c r="O379" s="2"/>
      <c r="P379" s="2"/>
    </row>
    <row r="380" ht="18.0" hidden="1" customHeight="1">
      <c r="A380" s="1"/>
      <c r="B380" s="3">
        <v>379.0</v>
      </c>
      <c r="C380" s="4">
        <v>43292.0</v>
      </c>
      <c r="D380" s="2" t="s">
        <v>506</v>
      </c>
      <c r="E380" s="2"/>
      <c r="F380" s="3" t="s">
        <v>161</v>
      </c>
      <c r="G380" s="2" t="s">
        <v>456</v>
      </c>
      <c r="H380" s="2" t="s">
        <v>507</v>
      </c>
      <c r="I380" s="3">
        <v>42.0</v>
      </c>
      <c r="J380" s="3"/>
      <c r="K380" s="5"/>
      <c r="L380" s="6" t="str">
        <f>IF(D380&lt;&gt;"",VLOOKUP(H380,TABLEITEM,2,FALSE),"")</f>
        <v>PART</v>
      </c>
      <c r="M380" s="6" t="str">
        <f>IF(D380&lt;&gt;"",VLOOKUP(H380,TABLEITEM,3,FALSE),"")</f>
        <v>แพลทยึดอุปกรณ์345x300</v>
      </c>
      <c r="N380" s="7">
        <f>INSTOCK!$I380*INSTOCK!$K380</f>
        <v>0</v>
      </c>
      <c r="O380" s="2"/>
      <c r="P380" s="2"/>
    </row>
    <row r="381" ht="18.0" hidden="1" customHeight="1">
      <c r="A381" s="1"/>
      <c r="B381" s="3">
        <v>380.0</v>
      </c>
      <c r="C381" s="4">
        <v>43272.0</v>
      </c>
      <c r="D381" s="2" t="s">
        <v>508</v>
      </c>
      <c r="E381" s="2"/>
      <c r="F381" s="3" t="s">
        <v>161</v>
      </c>
      <c r="G381" s="2" t="s">
        <v>456</v>
      </c>
      <c r="H381" s="2" t="s">
        <v>509</v>
      </c>
      <c r="I381" s="3">
        <v>133.0</v>
      </c>
      <c r="J381" s="3"/>
      <c r="K381" s="5"/>
      <c r="L381" s="6" t="str">
        <f>IF(D381&lt;&gt;"",VLOOKUP(H381,TABLEITEM,2,FALSE),"")</f>
        <v>PART</v>
      </c>
      <c r="M381" s="6" t="str">
        <f>IF(D381&lt;&gt;"",VLOOKUP(H381,TABLEITEM,3,FALSE),"")</f>
        <v>คานเจ2รู65x32x754</v>
      </c>
      <c r="N381" s="7">
        <f>INSTOCK!$I381*INSTOCK!$K381</f>
        <v>0</v>
      </c>
      <c r="O381" s="2"/>
      <c r="P381" s="2"/>
    </row>
    <row r="382" ht="18.0" hidden="1" customHeight="1">
      <c r="A382" s="1"/>
      <c r="B382" s="3">
        <v>381.0</v>
      </c>
      <c r="C382" s="4">
        <v>43187.0</v>
      </c>
      <c r="D382" s="2" t="s">
        <v>510</v>
      </c>
      <c r="E382" s="2"/>
      <c r="F382" s="3" t="s">
        <v>161</v>
      </c>
      <c r="G382" s="2" t="s">
        <v>456</v>
      </c>
      <c r="H382" s="2" t="s">
        <v>511</v>
      </c>
      <c r="I382" s="3">
        <v>90.0</v>
      </c>
      <c r="J382" s="3"/>
      <c r="K382" s="5"/>
      <c r="L382" s="6" t="str">
        <f>IF(D382&lt;&gt;"",VLOOKUP(H382,TABLEITEM,2,FALSE),"")</f>
        <v>PART</v>
      </c>
      <c r="M382" s="6" t="str">
        <f>IF(D382&lt;&gt;"",VLOOKUP(H382,TABLEITEM,3,FALSE),"")</f>
        <v>เสาเสริม 40x50x1788</v>
      </c>
      <c r="N382" s="7">
        <f>INSTOCK!$I382*INSTOCK!$K382</f>
        <v>0</v>
      </c>
      <c r="O382" s="2"/>
      <c r="P382" s="2"/>
    </row>
    <row r="383" ht="18.0" hidden="1" customHeight="1">
      <c r="A383" s="1"/>
      <c r="B383" s="3">
        <v>382.0</v>
      </c>
      <c r="C383" s="4">
        <v>43239.0</v>
      </c>
      <c r="D383" s="2" t="s">
        <v>510</v>
      </c>
      <c r="E383" s="2"/>
      <c r="F383" s="3" t="s">
        <v>161</v>
      </c>
      <c r="G383" s="2" t="s">
        <v>456</v>
      </c>
      <c r="H383" s="2" t="s">
        <v>511</v>
      </c>
      <c r="I383" s="3">
        <v>90.0</v>
      </c>
      <c r="J383" s="3"/>
      <c r="K383" s="5"/>
      <c r="L383" s="6" t="str">
        <f>IF(D383&lt;&gt;"",VLOOKUP(H383,TABLEITEM,2,FALSE),"")</f>
        <v>PART</v>
      </c>
      <c r="M383" s="6" t="str">
        <f>IF(D383&lt;&gt;"",VLOOKUP(H383,TABLEITEM,3,FALSE),"")</f>
        <v>เสาเสริม 40x50x1788</v>
      </c>
      <c r="N383" s="7">
        <f>INSTOCK!$I383*INSTOCK!$K383</f>
        <v>0</v>
      </c>
      <c r="O383" s="2"/>
      <c r="P383" s="2"/>
    </row>
    <row r="384" ht="18.0" hidden="1" customHeight="1">
      <c r="A384" s="1"/>
      <c r="B384" s="3">
        <v>383.0</v>
      </c>
      <c r="C384" s="4">
        <v>43167.0</v>
      </c>
      <c r="D384" s="2" t="s">
        <v>512</v>
      </c>
      <c r="E384" s="2"/>
      <c r="F384" s="3" t="s">
        <v>161</v>
      </c>
      <c r="G384" s="2" t="s">
        <v>456</v>
      </c>
      <c r="H384" s="2" t="s">
        <v>513</v>
      </c>
      <c r="I384" s="3">
        <v>45.0</v>
      </c>
      <c r="J384" s="3"/>
      <c r="K384" s="5"/>
      <c r="L384" s="6" t="str">
        <f>IF(D384&lt;&gt;"",VLOOKUP(H384,TABLEITEM,2,FALSE),"")</f>
        <v>PART</v>
      </c>
      <c r="M384" s="6" t="str">
        <f>IF(D384&lt;&gt;"",VLOOKUP(H384,TABLEITEM,3,FALSE),"")</f>
        <v>เสาเชื่อม1925x40x50</v>
      </c>
      <c r="N384" s="7">
        <f>INSTOCK!$I384*INSTOCK!$K384</f>
        <v>0</v>
      </c>
      <c r="O384" s="2"/>
      <c r="P384" s="2"/>
    </row>
    <row r="385" ht="18.0" hidden="1" customHeight="1">
      <c r="A385" s="1"/>
      <c r="B385" s="3">
        <v>384.0</v>
      </c>
      <c r="C385" s="4">
        <v>43176.0</v>
      </c>
      <c r="D385" s="2" t="s">
        <v>512</v>
      </c>
      <c r="E385" s="2"/>
      <c r="F385" s="3" t="s">
        <v>161</v>
      </c>
      <c r="G385" s="2" t="s">
        <v>456</v>
      </c>
      <c r="H385" s="2" t="s">
        <v>513</v>
      </c>
      <c r="I385" s="3">
        <v>180.0</v>
      </c>
      <c r="J385" s="3"/>
      <c r="K385" s="5"/>
      <c r="L385" s="6" t="str">
        <f>IF(D385&lt;&gt;"",VLOOKUP(H385,TABLEITEM,2,FALSE),"")</f>
        <v>PART</v>
      </c>
      <c r="M385" s="6" t="str">
        <f>IF(D385&lt;&gt;"",VLOOKUP(H385,TABLEITEM,3,FALSE),"")</f>
        <v>เสาเชื่อม1925x40x50</v>
      </c>
      <c r="N385" s="7">
        <f>INSTOCK!$I385*INSTOCK!$K385</f>
        <v>0</v>
      </c>
      <c r="O385" s="2"/>
      <c r="P385" s="2"/>
    </row>
    <row r="386" ht="18.0" hidden="1" customHeight="1">
      <c r="A386" s="1"/>
      <c r="B386" s="3">
        <v>385.0</v>
      </c>
      <c r="C386" s="4">
        <v>43217.0</v>
      </c>
      <c r="D386" s="2" t="s">
        <v>514</v>
      </c>
      <c r="E386" s="2"/>
      <c r="F386" s="3" t="s">
        <v>161</v>
      </c>
      <c r="G386" s="2" t="s">
        <v>456</v>
      </c>
      <c r="H386" s="2" t="s">
        <v>515</v>
      </c>
      <c r="I386" s="3">
        <v>71.0</v>
      </c>
      <c r="J386" s="3"/>
      <c r="K386" s="5"/>
      <c r="L386" s="6" t="str">
        <f>IF(D386&lt;&gt;"",VLOOKUP(H386,TABLEITEM,2,FALSE),"")</f>
        <v>PART</v>
      </c>
      <c r="M386" s="6" t="str">
        <f>IF(D386&lt;&gt;"",VLOOKUP(H386,TABLEITEM,3,FALSE),"")</f>
        <v>ชุดฝากันระเบิด 600x500</v>
      </c>
      <c r="N386" s="7">
        <f>INSTOCK!$I386*INSTOCK!$K386</f>
        <v>0</v>
      </c>
      <c r="O386" s="2"/>
      <c r="P386" s="2"/>
    </row>
    <row r="387" ht="18.0" hidden="1" customHeight="1">
      <c r="A387" s="1"/>
      <c r="B387" s="3">
        <v>386.0</v>
      </c>
      <c r="C387" s="4">
        <v>43239.0</v>
      </c>
      <c r="D387" s="2" t="s">
        <v>514</v>
      </c>
      <c r="E387" s="2"/>
      <c r="F387" s="3" t="s">
        <v>161</v>
      </c>
      <c r="G387" s="2" t="s">
        <v>456</v>
      </c>
      <c r="H387" s="2" t="s">
        <v>515</v>
      </c>
      <c r="I387" s="3">
        <v>30.0</v>
      </c>
      <c r="J387" s="3"/>
      <c r="K387" s="5"/>
      <c r="L387" s="6" t="str">
        <f>IF(D387&lt;&gt;"",VLOOKUP(H387,TABLEITEM,2,FALSE),"")</f>
        <v>PART</v>
      </c>
      <c r="M387" s="6" t="str">
        <f>IF(D387&lt;&gt;"",VLOOKUP(H387,TABLEITEM,3,FALSE),"")</f>
        <v>ชุดฝากันระเบิด 600x500</v>
      </c>
      <c r="N387" s="7">
        <f>INSTOCK!$I387*INSTOCK!$K387</f>
        <v>0</v>
      </c>
      <c r="O387" s="2"/>
      <c r="P387" s="2"/>
    </row>
    <row r="388" ht="18.0" hidden="1" customHeight="1">
      <c r="A388" s="1"/>
      <c r="B388" s="3">
        <v>387.0</v>
      </c>
      <c r="C388" s="4">
        <v>43216.0</v>
      </c>
      <c r="D388" s="2" t="s">
        <v>516</v>
      </c>
      <c r="E388" s="2"/>
      <c r="F388" s="3" t="s">
        <v>161</v>
      </c>
      <c r="G388" s="2" t="s">
        <v>456</v>
      </c>
      <c r="H388" s="2" t="s">
        <v>517</v>
      </c>
      <c r="I388" s="3">
        <v>220.0</v>
      </c>
      <c r="J388" s="3"/>
      <c r="K388" s="5"/>
      <c r="L388" s="6" t="str">
        <f>IF(D388&lt;&gt;"",VLOOKUP(H388,TABLEITEM,2,FALSE),"")</f>
        <v>PART</v>
      </c>
      <c r="M388" s="6" t="str">
        <f>IF(D388&lt;&gt;"",VLOOKUP(H388,TABLEITEM,3,FALSE),"")</f>
        <v>คานเจปรับระดับ954x68x35T3.0</v>
      </c>
      <c r="N388" s="7">
        <f>INSTOCK!$I388*INSTOCK!$K388</f>
        <v>0</v>
      </c>
      <c r="O388" s="2"/>
      <c r="P388" s="2"/>
    </row>
    <row r="389" ht="18.0" hidden="1" customHeight="1">
      <c r="A389" s="1"/>
      <c r="B389" s="3">
        <v>388.0</v>
      </c>
      <c r="C389" s="4">
        <v>43223.0</v>
      </c>
      <c r="D389" s="2" t="s">
        <v>518</v>
      </c>
      <c r="E389" s="2"/>
      <c r="F389" s="3" t="s">
        <v>161</v>
      </c>
      <c r="G389" s="2" t="s">
        <v>456</v>
      </c>
      <c r="H389" s="2" t="s">
        <v>519</v>
      </c>
      <c r="I389" s="3">
        <v>58.0</v>
      </c>
      <c r="J389" s="3"/>
      <c r="K389" s="5"/>
      <c r="L389" s="6" t="str">
        <f>IF(D389&lt;&gt;"",VLOOKUP(H389,TABLEITEM,2,FALSE),"")</f>
        <v>PART</v>
      </c>
      <c r="M389" s="6" t="str">
        <f>IF(D389&lt;&gt;"",VLOOKUP(H389,TABLEITEM,3,FALSE),"")</f>
        <v>คานต่อโครง3mm 68x45x1020</v>
      </c>
      <c r="N389" s="7">
        <f>INSTOCK!$I389*INSTOCK!$K389</f>
        <v>0</v>
      </c>
      <c r="O389" s="2"/>
      <c r="P389" s="2"/>
    </row>
    <row r="390" ht="18.0" hidden="1" customHeight="1">
      <c r="A390" s="1"/>
      <c r="B390" s="3">
        <v>389.0</v>
      </c>
      <c r="C390" s="4">
        <v>43272.0</v>
      </c>
      <c r="D390" s="2" t="s">
        <v>518</v>
      </c>
      <c r="E390" s="2"/>
      <c r="F390" s="3" t="s">
        <v>161</v>
      </c>
      <c r="G390" s="2" t="s">
        <v>456</v>
      </c>
      <c r="H390" s="2" t="s">
        <v>519</v>
      </c>
      <c r="I390" s="3">
        <v>97.0</v>
      </c>
      <c r="J390" s="3"/>
      <c r="K390" s="5"/>
      <c r="L390" s="6" t="str">
        <f>IF(D390&lt;&gt;"",VLOOKUP(H390,TABLEITEM,2,FALSE),"")</f>
        <v>PART</v>
      </c>
      <c r="M390" s="6" t="str">
        <f>IF(D390&lt;&gt;"",VLOOKUP(H390,TABLEITEM,3,FALSE),"")</f>
        <v>คานต่อโครง3mm 68x45x1020</v>
      </c>
      <c r="N390" s="7">
        <f>INSTOCK!$I390*INSTOCK!$K390</f>
        <v>0</v>
      </c>
      <c r="O390" s="2"/>
      <c r="P390" s="2"/>
    </row>
    <row r="391" ht="18.0" hidden="1" customHeight="1">
      <c r="A391" s="1"/>
      <c r="B391" s="3">
        <v>390.0</v>
      </c>
      <c r="C391" s="4">
        <v>43248.0</v>
      </c>
      <c r="D391" s="2" t="s">
        <v>520</v>
      </c>
      <c r="E391" s="2"/>
      <c r="F391" s="3" t="s">
        <v>161</v>
      </c>
      <c r="G391" s="2" t="s">
        <v>456</v>
      </c>
      <c r="H391" s="2" t="s">
        <v>521</v>
      </c>
      <c r="I391" s="3">
        <v>123.0</v>
      </c>
      <c r="J391" s="3"/>
      <c r="K391" s="5"/>
      <c r="L391" s="6" t="str">
        <f>IF(D391&lt;&gt;"",VLOOKUP(H391,TABLEITEM,2,FALSE),"")</f>
        <v>PART</v>
      </c>
      <c r="M391" s="6" t="str">
        <f>IF(D391&lt;&gt;"",VLOOKUP(H391,TABLEITEM,3,FALSE),"")</f>
        <v>คานเจ 45x32x754</v>
      </c>
      <c r="N391" s="7">
        <f>INSTOCK!$I391*INSTOCK!$K391</f>
        <v>0</v>
      </c>
      <c r="O391" s="2"/>
      <c r="P391" s="2"/>
    </row>
    <row r="392" ht="18.0" hidden="1" customHeight="1">
      <c r="A392" s="1"/>
      <c r="B392" s="3">
        <v>391.0</v>
      </c>
      <c r="C392" s="4">
        <v>43178.0</v>
      </c>
      <c r="D392" s="2" t="s">
        <v>522</v>
      </c>
      <c r="E392" s="2"/>
      <c r="F392" s="3" t="s">
        <v>161</v>
      </c>
      <c r="G392" s="2" t="s">
        <v>456</v>
      </c>
      <c r="H392" s="2" t="s">
        <v>495</v>
      </c>
      <c r="I392" s="3">
        <v>126.0</v>
      </c>
      <c r="J392" s="3"/>
      <c r="K392" s="5"/>
      <c r="L392" s="6" t="str">
        <f>IF(D392&lt;&gt;"",VLOOKUP(H392,TABLEITEM,2,FALSE),"")</f>
        <v>PART</v>
      </c>
      <c r="M392" s="6" t="str">
        <f>IF(D392&lt;&gt;"",VLOOKUP(H392,TABLEITEM,3,FALSE),"")</f>
        <v>คานเชื่อม800</v>
      </c>
      <c r="N392" s="7">
        <f>INSTOCK!$I392*INSTOCK!$K392</f>
        <v>0</v>
      </c>
      <c r="O392" s="2"/>
      <c r="P392" s="2"/>
    </row>
    <row r="393" ht="18.0" hidden="1" customHeight="1">
      <c r="A393" s="1"/>
      <c r="B393" s="3">
        <v>392.0</v>
      </c>
      <c r="C393" s="4">
        <v>43210.0</v>
      </c>
      <c r="D393" s="2" t="s">
        <v>522</v>
      </c>
      <c r="E393" s="2"/>
      <c r="F393" s="3" t="s">
        <v>161</v>
      </c>
      <c r="G393" s="2" t="s">
        <v>456</v>
      </c>
      <c r="H393" s="2" t="s">
        <v>523</v>
      </c>
      <c r="I393" s="3">
        <v>200.0</v>
      </c>
      <c r="J393" s="3"/>
      <c r="K393" s="5"/>
      <c r="L393" s="6" t="str">
        <f>IF(D393&lt;&gt;"",VLOOKUP(H393,TABLEITEM,2,FALSE),"")</f>
        <v>PART</v>
      </c>
      <c r="M393" s="6" t="str">
        <f>IF(D393&lt;&gt;"",VLOOKUP(H393,TABLEITEM,3,FALSE),"")</f>
        <v>คานเชื่อม1000</v>
      </c>
      <c r="N393" s="7">
        <f>INSTOCK!$I393*INSTOCK!$K393</f>
        <v>0</v>
      </c>
      <c r="O393" s="2"/>
      <c r="P393" s="2"/>
    </row>
    <row r="394" ht="18.0" hidden="1" customHeight="1">
      <c r="A394" s="1"/>
      <c r="B394" s="3">
        <v>393.0</v>
      </c>
      <c r="C394" s="4">
        <v>43167.0</v>
      </c>
      <c r="D394" s="2" t="s">
        <v>524</v>
      </c>
      <c r="E394" s="2"/>
      <c r="F394" s="3" t="s">
        <v>161</v>
      </c>
      <c r="G394" s="2" t="s">
        <v>456</v>
      </c>
      <c r="H394" s="2" t="s">
        <v>525</v>
      </c>
      <c r="I394" s="3">
        <v>81.0</v>
      </c>
      <c r="J394" s="3"/>
      <c r="K394" s="5"/>
      <c r="L394" s="6" t="str">
        <f>IF(D394&lt;&gt;"",VLOOKUP(H394,TABLEITEM,2,FALSE),"")</f>
        <v>PART</v>
      </c>
      <c r="M394" s="6" t="str">
        <f>IF(D394&lt;&gt;"",VLOOKUP(H394,TABLEITEM,3,FALSE),"")</f>
        <v>เสาเชื่อม2275x40x50</v>
      </c>
      <c r="N394" s="7">
        <f>INSTOCK!$I394*INSTOCK!$K394</f>
        <v>0</v>
      </c>
      <c r="O394" s="2"/>
      <c r="P394" s="2"/>
    </row>
    <row r="395" ht="18.0" hidden="1" customHeight="1">
      <c r="A395" s="1"/>
      <c r="B395" s="3">
        <v>394.0</v>
      </c>
      <c r="C395" s="4">
        <v>43187.0</v>
      </c>
      <c r="D395" s="2" t="s">
        <v>524</v>
      </c>
      <c r="E395" s="2"/>
      <c r="F395" s="3" t="s">
        <v>161</v>
      </c>
      <c r="G395" s="2" t="s">
        <v>456</v>
      </c>
      <c r="H395" s="2" t="s">
        <v>525</v>
      </c>
      <c r="I395" s="3">
        <v>180.0</v>
      </c>
      <c r="J395" s="3"/>
      <c r="K395" s="5"/>
      <c r="L395" s="6" t="str">
        <f>IF(D395&lt;&gt;"",VLOOKUP(H395,TABLEITEM,2,FALSE),"")</f>
        <v>PART</v>
      </c>
      <c r="M395" s="6" t="str">
        <f>IF(D395&lt;&gt;"",VLOOKUP(H395,TABLEITEM,3,FALSE),"")</f>
        <v>เสาเชื่อม2275x40x50</v>
      </c>
      <c r="N395" s="7">
        <f>INSTOCK!$I395*INSTOCK!$K395</f>
        <v>0</v>
      </c>
      <c r="O395" s="2"/>
      <c r="P395" s="2"/>
    </row>
    <row r="396" ht="18.0" hidden="1" customHeight="1">
      <c r="A396" s="1"/>
      <c r="B396" s="3">
        <v>395.0</v>
      </c>
      <c r="C396" s="4">
        <v>43148.0</v>
      </c>
      <c r="D396" s="2" t="s">
        <v>526</v>
      </c>
      <c r="E396" s="2"/>
      <c r="F396" s="3" t="s">
        <v>161</v>
      </c>
      <c r="G396" s="2" t="s">
        <v>456</v>
      </c>
      <c r="H396" s="2" t="s">
        <v>527</v>
      </c>
      <c r="I396" s="3">
        <v>45.0</v>
      </c>
      <c r="J396" s="3"/>
      <c r="K396" s="5"/>
      <c r="L396" s="6" t="str">
        <f>IF(D396&lt;&gt;"",VLOOKUP(H396,TABLEITEM,2,FALSE),"")</f>
        <v>PART</v>
      </c>
      <c r="M396" s="6" t="str">
        <f>IF(D396&lt;&gt;"",VLOOKUP(H396,TABLEITEM,3,FALSE),"")</f>
        <v>คานตัวC 70x25T2.0x595</v>
      </c>
      <c r="N396" s="7">
        <f>INSTOCK!$I396*INSTOCK!$K396</f>
        <v>0</v>
      </c>
      <c r="O396" s="2"/>
      <c r="P396" s="2"/>
    </row>
    <row r="397" ht="18.0" hidden="1" customHeight="1">
      <c r="A397" s="1"/>
      <c r="B397" s="3">
        <v>396.0</v>
      </c>
      <c r="C397" s="4">
        <v>43148.0</v>
      </c>
      <c r="D397" s="2" t="s">
        <v>526</v>
      </c>
      <c r="E397" s="2"/>
      <c r="F397" s="3" t="s">
        <v>161</v>
      </c>
      <c r="G397" s="2" t="s">
        <v>456</v>
      </c>
      <c r="H397" s="2" t="s">
        <v>528</v>
      </c>
      <c r="I397" s="3">
        <v>25.0</v>
      </c>
      <c r="J397" s="3"/>
      <c r="K397" s="5"/>
      <c r="L397" s="6" t="str">
        <f>IF(D397&lt;&gt;"",VLOOKUP(H397,TABLEITEM,2,FALSE),"")</f>
        <v>PART</v>
      </c>
      <c r="M397" s="6" t="str">
        <f>IF(D397&lt;&gt;"",VLOOKUP(H397,TABLEITEM,3,FALSE),"")</f>
        <v>คานตัวC70x25T.2.0X795</v>
      </c>
      <c r="N397" s="7">
        <f>INSTOCK!$I397*INSTOCK!$K397</f>
        <v>0</v>
      </c>
      <c r="O397" s="2"/>
      <c r="P397" s="2"/>
    </row>
    <row r="398" ht="18.0" hidden="1" customHeight="1">
      <c r="A398" s="1"/>
      <c r="B398" s="3">
        <v>397.0</v>
      </c>
      <c r="C398" s="4">
        <v>43171.0</v>
      </c>
      <c r="D398" s="2" t="s">
        <v>529</v>
      </c>
      <c r="E398" s="2"/>
      <c r="F398" s="3" t="s">
        <v>161</v>
      </c>
      <c r="G398" s="2" t="s">
        <v>456</v>
      </c>
      <c r="H398" s="2" t="s">
        <v>530</v>
      </c>
      <c r="I398" s="3">
        <v>20.0</v>
      </c>
      <c r="J398" s="3"/>
      <c r="K398" s="5"/>
      <c r="L398" s="6" t="str">
        <f>IF(D398&lt;&gt;"",VLOOKUP(H398,TABLEITEM,2,FALSE),"")</f>
        <v>PART</v>
      </c>
      <c r="M398" s="6" t="str">
        <f>IF(D398&lt;&gt;"",VLOOKUP(H398,TABLEITEM,3,FALSE),"")</f>
        <v>ฉากสามเหลี่ยม70x70x45</v>
      </c>
      <c r="N398" s="7">
        <f>INSTOCK!$I398*INSTOCK!$K398</f>
        <v>0</v>
      </c>
      <c r="O398" s="2"/>
      <c r="P398" s="2"/>
    </row>
    <row r="399" ht="18.0" hidden="1" customHeight="1">
      <c r="A399" s="1"/>
      <c r="B399" s="3">
        <v>398.0</v>
      </c>
      <c r="C399" s="4">
        <v>43225.0</v>
      </c>
      <c r="D399" s="2" t="s">
        <v>529</v>
      </c>
      <c r="E399" s="2"/>
      <c r="F399" s="3" t="s">
        <v>161</v>
      </c>
      <c r="G399" s="2" t="s">
        <v>456</v>
      </c>
      <c r="H399" s="2" t="s">
        <v>530</v>
      </c>
      <c r="I399" s="3">
        <v>60.0</v>
      </c>
      <c r="J399" s="3"/>
      <c r="K399" s="5"/>
      <c r="L399" s="6" t="str">
        <f>IF(D399&lt;&gt;"",VLOOKUP(H399,TABLEITEM,2,FALSE),"")</f>
        <v>PART</v>
      </c>
      <c r="M399" s="6" t="str">
        <f>IF(D399&lt;&gt;"",VLOOKUP(H399,TABLEITEM,3,FALSE),"")</f>
        <v>ฉากสามเหลี่ยม70x70x45</v>
      </c>
      <c r="N399" s="7">
        <f>INSTOCK!$I399*INSTOCK!$K399</f>
        <v>0</v>
      </c>
      <c r="O399" s="2"/>
      <c r="P399" s="2"/>
    </row>
    <row r="400" ht="18.0" hidden="1" customHeight="1">
      <c r="A400" s="1"/>
      <c r="B400" s="3">
        <v>399.0</v>
      </c>
      <c r="C400" s="4">
        <v>43171.0</v>
      </c>
      <c r="D400" s="2" t="s">
        <v>529</v>
      </c>
      <c r="E400" s="2"/>
      <c r="F400" s="3" t="s">
        <v>161</v>
      </c>
      <c r="G400" s="2" t="s">
        <v>456</v>
      </c>
      <c r="H400" s="2" t="s">
        <v>531</v>
      </c>
      <c r="I400" s="3">
        <v>45.0</v>
      </c>
      <c r="J400" s="3"/>
      <c r="K400" s="5"/>
      <c r="L400" s="6" t="str">
        <f>IF(D400&lt;&gt;"",VLOOKUP(H400,TABLEITEM,2,FALSE),"")</f>
        <v>PART</v>
      </c>
      <c r="M400" s="6" t="str">
        <f>IF(D400&lt;&gt;"",VLOOKUP(H400,TABLEITEM,3,FALSE),"")</f>
        <v>ฉากสามเหลี่ยม95x70x45</v>
      </c>
      <c r="N400" s="7">
        <f>INSTOCK!$I400*INSTOCK!$K400</f>
        <v>0</v>
      </c>
      <c r="O400" s="2"/>
      <c r="P400" s="2"/>
    </row>
    <row r="401" ht="18.0" hidden="1" customHeight="1">
      <c r="A401" s="1"/>
      <c r="B401" s="3">
        <v>400.0</v>
      </c>
      <c r="C401" s="4">
        <v>43150.0</v>
      </c>
      <c r="D401" s="2" t="s">
        <v>532</v>
      </c>
      <c r="E401" s="2"/>
      <c r="F401" s="3" t="s">
        <v>161</v>
      </c>
      <c r="G401" s="2" t="s">
        <v>456</v>
      </c>
      <c r="H401" s="2" t="s">
        <v>533</v>
      </c>
      <c r="I401" s="3">
        <v>101.0</v>
      </c>
      <c r="J401" s="3"/>
      <c r="K401" s="5"/>
      <c r="L401" s="6" t="str">
        <f>IF(D401&lt;&gt;"",VLOOKUP(H401,TABLEITEM,2,FALSE),"")</f>
        <v>PART</v>
      </c>
      <c r="M401" s="6" t="str">
        <f>IF(D401&lt;&gt;"",VLOOKUP(H401,TABLEITEM,3,FALSE),"")</f>
        <v>ตัวแซดยึดแผ่นพื้น 60x495</v>
      </c>
      <c r="N401" s="7">
        <f>INSTOCK!$I401*INSTOCK!$K401</f>
        <v>0</v>
      </c>
      <c r="O401" s="2"/>
      <c r="P401" s="2"/>
    </row>
    <row r="402" ht="18.0" hidden="1" customHeight="1">
      <c r="A402" s="1"/>
      <c r="B402" s="3">
        <v>401.0</v>
      </c>
      <c r="C402" s="4">
        <v>43150.0</v>
      </c>
      <c r="D402" s="2" t="s">
        <v>532</v>
      </c>
      <c r="E402" s="2"/>
      <c r="F402" s="3" t="s">
        <v>161</v>
      </c>
      <c r="G402" s="2" t="s">
        <v>456</v>
      </c>
      <c r="H402" s="2" t="s">
        <v>534</v>
      </c>
      <c r="I402" s="3">
        <v>212.0</v>
      </c>
      <c r="J402" s="3"/>
      <c r="K402" s="5"/>
      <c r="L402" s="6" t="str">
        <f>IF(D402&lt;&gt;"",VLOOKUP(H402,TABLEITEM,2,FALSE),"")</f>
        <v>PART</v>
      </c>
      <c r="M402" s="6" t="str">
        <f>IF(D402&lt;&gt;"",VLOOKUP(H402,TABLEITEM,3,FALSE),"")</f>
        <v>ตัวแซดยึดแผ่นพื้น 60x695</v>
      </c>
      <c r="N402" s="7">
        <f>INSTOCK!$I402*INSTOCK!$K402</f>
        <v>0</v>
      </c>
      <c r="O402" s="2"/>
      <c r="P402" s="2"/>
    </row>
    <row r="403" ht="18.0" hidden="1" customHeight="1">
      <c r="A403" s="1"/>
      <c r="B403" s="3">
        <v>402.0</v>
      </c>
      <c r="C403" s="4">
        <v>43150.0</v>
      </c>
      <c r="D403" s="2" t="s">
        <v>535</v>
      </c>
      <c r="E403" s="2"/>
      <c r="F403" s="3" t="s">
        <v>161</v>
      </c>
      <c r="G403" s="2" t="s">
        <v>456</v>
      </c>
      <c r="H403" s="2" t="s">
        <v>468</v>
      </c>
      <c r="I403" s="3">
        <v>105.0</v>
      </c>
      <c r="J403" s="3"/>
      <c r="K403" s="5"/>
      <c r="L403" s="6" t="str">
        <f>IF(D403&lt;&gt;"",VLOOKUP(H403,TABLEITEM,2,FALSE),"")</f>
        <v>PART</v>
      </c>
      <c r="M403" s="6" t="str">
        <f>IF(D403&lt;&gt;"",VLOOKUP(H403,TABLEITEM,3,FALSE),"")</f>
        <v>คานเจยึดเสาใน754x50x35T2.0</v>
      </c>
      <c r="N403" s="7">
        <f>INSTOCK!$I403*INSTOCK!$K403</f>
        <v>0</v>
      </c>
      <c r="O403" s="2"/>
      <c r="P403" s="2"/>
    </row>
    <row r="404" ht="18.0" hidden="1" customHeight="1">
      <c r="A404" s="1"/>
      <c r="B404" s="3">
        <v>403.0</v>
      </c>
      <c r="C404" s="4">
        <v>43152.0</v>
      </c>
      <c r="D404" s="2" t="s">
        <v>536</v>
      </c>
      <c r="E404" s="2"/>
      <c r="F404" s="3" t="s">
        <v>161</v>
      </c>
      <c r="G404" s="2" t="s">
        <v>456</v>
      </c>
      <c r="H404" s="2" t="s">
        <v>499</v>
      </c>
      <c r="I404" s="3">
        <v>87.0</v>
      </c>
      <c r="J404" s="3"/>
      <c r="K404" s="5"/>
      <c r="L404" s="6" t="str">
        <f>IF(D404&lt;&gt;"",VLOOKUP(H404,TABLEITEM,2,FALSE),"")</f>
        <v>PART</v>
      </c>
      <c r="M404" s="6" t="str">
        <f>IF(D404&lt;&gt;"",VLOOKUP(H404,TABLEITEM,3,FALSE),"")</f>
        <v>หมวกตู้ 40x675</v>
      </c>
      <c r="N404" s="7">
        <f>INSTOCK!$I404*INSTOCK!$K404</f>
        <v>0</v>
      </c>
      <c r="O404" s="2"/>
      <c r="P404" s="2"/>
    </row>
    <row r="405" ht="18.0" hidden="1" customHeight="1">
      <c r="A405" s="1"/>
      <c r="B405" s="3">
        <v>404.0</v>
      </c>
      <c r="C405" s="4">
        <v>43141.0</v>
      </c>
      <c r="D405" s="2" t="s">
        <v>536</v>
      </c>
      <c r="E405" s="2"/>
      <c r="F405" s="3" t="s">
        <v>161</v>
      </c>
      <c r="G405" s="2" t="s">
        <v>456</v>
      </c>
      <c r="H405" s="2" t="s">
        <v>537</v>
      </c>
      <c r="I405" s="3">
        <v>67.0</v>
      </c>
      <c r="J405" s="3"/>
      <c r="K405" s="5"/>
      <c r="L405" s="6" t="str">
        <f>IF(D405&lt;&gt;"",VLOOKUP(H405,TABLEITEM,2,FALSE),"")</f>
        <v>PART</v>
      </c>
      <c r="M405" s="6" t="str">
        <f>IF(D405&lt;&gt;"",VLOOKUP(H405,TABLEITEM,3,FALSE),"")</f>
        <v>หมวกตู้ 60x975</v>
      </c>
      <c r="N405" s="7">
        <f>INSTOCK!$I405*INSTOCK!$K405</f>
        <v>0</v>
      </c>
      <c r="O405" s="2"/>
      <c r="P405" s="2"/>
    </row>
    <row r="406" ht="18.0" hidden="1" customHeight="1">
      <c r="A406" s="1"/>
      <c r="B406" s="3">
        <v>405.0</v>
      </c>
      <c r="C406" s="4">
        <v>43140.0</v>
      </c>
      <c r="D406" s="2" t="s">
        <v>538</v>
      </c>
      <c r="E406" s="2"/>
      <c r="F406" s="3" t="s">
        <v>161</v>
      </c>
      <c r="G406" s="2" t="s">
        <v>456</v>
      </c>
      <c r="H406" s="2" t="s">
        <v>507</v>
      </c>
      <c r="I406" s="3">
        <v>29.0</v>
      </c>
      <c r="J406" s="3"/>
      <c r="K406" s="5"/>
      <c r="L406" s="6" t="str">
        <f>IF(D406&lt;&gt;"",VLOOKUP(H406,TABLEITEM,2,FALSE),"")</f>
        <v>PART</v>
      </c>
      <c r="M406" s="6" t="str">
        <f>IF(D406&lt;&gt;"",VLOOKUP(H406,TABLEITEM,3,FALSE),"")</f>
        <v>แพลทยึดอุปกรณ์345x300</v>
      </c>
      <c r="N406" s="7">
        <f>INSTOCK!$I406*INSTOCK!$K406</f>
        <v>0</v>
      </c>
      <c r="O406" s="2"/>
      <c r="P406" s="2"/>
    </row>
    <row r="407" ht="18.0" hidden="1" customHeight="1">
      <c r="A407" s="1"/>
      <c r="B407" s="3">
        <v>406.0</v>
      </c>
      <c r="C407" s="4">
        <v>43140.0</v>
      </c>
      <c r="D407" s="2" t="s">
        <v>538</v>
      </c>
      <c r="E407" s="2"/>
      <c r="F407" s="3" t="s">
        <v>161</v>
      </c>
      <c r="G407" s="2" t="s">
        <v>456</v>
      </c>
      <c r="H407" s="2" t="s">
        <v>539</v>
      </c>
      <c r="I407" s="3">
        <v>57.0</v>
      </c>
      <c r="J407" s="3"/>
      <c r="K407" s="5"/>
      <c r="L407" s="6" t="str">
        <f>IF(D407&lt;&gt;"",VLOOKUP(H407,TABLEITEM,2,FALSE),"")</f>
        <v>PART</v>
      </c>
      <c r="M407" s="6" t="str">
        <f>IF(D407&lt;&gt;"",VLOOKUP(H407,TABLEITEM,3,FALSE),"")</f>
        <v>แพลทยึดอุปกรณ์595x250</v>
      </c>
      <c r="N407" s="7">
        <f>INSTOCK!$I407*INSTOCK!$K407</f>
        <v>0</v>
      </c>
      <c r="O407" s="2"/>
      <c r="P407" s="2"/>
    </row>
    <row r="408" ht="18.0" hidden="1" customHeight="1">
      <c r="A408" s="1"/>
      <c r="B408" s="3">
        <v>407.0</v>
      </c>
      <c r="C408" s="4">
        <v>43141.0</v>
      </c>
      <c r="D408" s="2" t="s">
        <v>538</v>
      </c>
      <c r="E408" s="2"/>
      <c r="F408" s="3" t="s">
        <v>161</v>
      </c>
      <c r="G408" s="2" t="s">
        <v>456</v>
      </c>
      <c r="H408" s="2" t="s">
        <v>540</v>
      </c>
      <c r="I408" s="3">
        <v>21.0</v>
      </c>
      <c r="J408" s="3"/>
      <c r="K408" s="5"/>
      <c r="L408" s="6" t="str">
        <f>IF(D408&lt;&gt;"",VLOOKUP(H408,TABLEITEM,2,FALSE),"")</f>
        <v>PART</v>
      </c>
      <c r="M408" s="6" t="str">
        <f>IF(D408&lt;&gt;"",VLOOKUP(H408,TABLEITEM,3,FALSE),"")</f>
        <v>แพลทยึดอุปกรณ์595x690</v>
      </c>
      <c r="N408" s="7">
        <f>INSTOCK!$I408*INSTOCK!$K408</f>
        <v>0</v>
      </c>
      <c r="O408" s="2"/>
      <c r="P408" s="2"/>
    </row>
    <row r="409" ht="18.0" hidden="1" customHeight="1">
      <c r="A409" s="1"/>
      <c r="B409" s="3">
        <v>408.0</v>
      </c>
      <c r="C409" s="4">
        <v>43148.0</v>
      </c>
      <c r="D409" s="2" t="s">
        <v>541</v>
      </c>
      <c r="E409" s="2"/>
      <c r="F409" s="3" t="s">
        <v>161</v>
      </c>
      <c r="G409" s="2" t="s">
        <v>456</v>
      </c>
      <c r="H409" s="2" t="s">
        <v>542</v>
      </c>
      <c r="I409" s="3">
        <v>30.0</v>
      </c>
      <c r="J409" s="3"/>
      <c r="K409" s="5"/>
      <c r="L409" s="6" t="str">
        <f>IF(D409&lt;&gt;"",VLOOKUP(H409,TABLEITEM,2,FALSE),"")</f>
        <v>PART</v>
      </c>
      <c r="M409" s="6" t="str">
        <f>IF(D409&lt;&gt;"",VLOOKUP(H409,TABLEITEM,3,FALSE),"")</f>
        <v>ฝาข้าง-ฝาหลัง 1875x770</v>
      </c>
      <c r="N409" s="7">
        <f>INSTOCK!$I409*INSTOCK!$K409</f>
        <v>0</v>
      </c>
      <c r="O409" s="2"/>
      <c r="P409" s="2"/>
    </row>
    <row r="410" ht="18.0" hidden="1" customHeight="1">
      <c r="A410" s="1"/>
      <c r="B410" s="3">
        <v>409.0</v>
      </c>
      <c r="C410" s="4">
        <v>43146.0</v>
      </c>
      <c r="D410" s="2" t="s">
        <v>543</v>
      </c>
      <c r="E410" s="2"/>
      <c r="F410" s="3" t="s">
        <v>161</v>
      </c>
      <c r="G410" s="2" t="s">
        <v>456</v>
      </c>
      <c r="H410" s="2" t="s">
        <v>511</v>
      </c>
      <c r="I410" s="3">
        <v>142.0</v>
      </c>
      <c r="J410" s="3"/>
      <c r="K410" s="5"/>
      <c r="L410" s="6" t="str">
        <f>IF(D410&lt;&gt;"",VLOOKUP(H410,TABLEITEM,2,FALSE),"")</f>
        <v>PART</v>
      </c>
      <c r="M410" s="6" t="str">
        <f>IF(D410&lt;&gt;"",VLOOKUP(H410,TABLEITEM,3,FALSE),"")</f>
        <v>เสาเสริม 40x50x1788</v>
      </c>
      <c r="N410" s="7">
        <f>INSTOCK!$I410*INSTOCK!$K410</f>
        <v>0</v>
      </c>
      <c r="O410" s="2"/>
      <c r="P410" s="2"/>
    </row>
    <row r="411" ht="18.0" hidden="1" customHeight="1">
      <c r="A411" s="1"/>
      <c r="B411" s="3">
        <v>410.0</v>
      </c>
      <c r="C411" s="4">
        <v>43139.0</v>
      </c>
      <c r="D411" s="2" t="s">
        <v>544</v>
      </c>
      <c r="E411" s="2"/>
      <c r="F411" s="3" t="s">
        <v>161</v>
      </c>
      <c r="G411" s="2" t="s">
        <v>456</v>
      </c>
      <c r="H411" s="2" t="s">
        <v>493</v>
      </c>
      <c r="I411" s="3">
        <v>217.0</v>
      </c>
      <c r="J411" s="3"/>
      <c r="K411" s="5"/>
      <c r="L411" s="6" t="str">
        <f>IF(D411&lt;&gt;"",VLOOKUP(H411,TABLEITEM,2,FALSE),"")</f>
        <v>PART</v>
      </c>
      <c r="M411" s="6" t="str">
        <f>IF(D411&lt;&gt;"",VLOOKUP(H411,TABLEITEM,3,FALSE),"")</f>
        <v>เสาเชื่อม2125x40x50</v>
      </c>
      <c r="N411" s="7">
        <f>INSTOCK!$I411*INSTOCK!$K411</f>
        <v>0</v>
      </c>
      <c r="O411" s="2"/>
      <c r="P411" s="2"/>
    </row>
    <row r="412" ht="18.0" hidden="1" customHeight="1">
      <c r="A412" s="1"/>
      <c r="B412" s="3">
        <v>411.0</v>
      </c>
      <c r="C412" s="4">
        <v>43155.0</v>
      </c>
      <c r="D412" s="2" t="s">
        <v>545</v>
      </c>
      <c r="E412" s="2"/>
      <c r="F412" s="3" t="s">
        <v>161</v>
      </c>
      <c r="G412" s="2" t="s">
        <v>456</v>
      </c>
      <c r="H412" s="2" t="s">
        <v>523</v>
      </c>
      <c r="I412" s="3">
        <v>146.0</v>
      </c>
      <c r="J412" s="3"/>
      <c r="K412" s="5"/>
      <c r="L412" s="6" t="str">
        <f>IF(D412&lt;&gt;"",VLOOKUP(H412,TABLEITEM,2,FALSE),"")</f>
        <v>PART</v>
      </c>
      <c r="M412" s="6" t="str">
        <f>IF(D412&lt;&gt;"",VLOOKUP(H412,TABLEITEM,3,FALSE),"")</f>
        <v>คานเชื่อม1000</v>
      </c>
      <c r="N412" s="7">
        <f>INSTOCK!$I412*INSTOCK!$K412</f>
        <v>0</v>
      </c>
      <c r="O412" s="2"/>
      <c r="P412" s="2"/>
    </row>
    <row r="413" ht="18.0" hidden="1" customHeight="1">
      <c r="A413" s="1"/>
      <c r="B413" s="3">
        <v>412.0</v>
      </c>
      <c r="C413" s="4">
        <v>43155.0</v>
      </c>
      <c r="D413" s="2" t="s">
        <v>545</v>
      </c>
      <c r="E413" s="2"/>
      <c r="F413" s="3" t="s">
        <v>161</v>
      </c>
      <c r="G413" s="2" t="s">
        <v>456</v>
      </c>
      <c r="H413" s="2" t="s">
        <v>495</v>
      </c>
      <c r="I413" s="3">
        <v>131.0</v>
      </c>
      <c r="J413" s="3"/>
      <c r="K413" s="5"/>
      <c r="L413" s="6" t="str">
        <f>IF(D413&lt;&gt;"",VLOOKUP(H413,TABLEITEM,2,FALSE),"")</f>
        <v>PART</v>
      </c>
      <c r="M413" s="6" t="str">
        <f>IF(D413&lt;&gt;"",VLOOKUP(H413,TABLEITEM,3,FALSE),"")</f>
        <v>คานเชื่อม800</v>
      </c>
      <c r="N413" s="7">
        <f>INSTOCK!$I413*INSTOCK!$K413</f>
        <v>0</v>
      </c>
      <c r="O413" s="2"/>
      <c r="P413" s="2"/>
    </row>
    <row r="414" ht="18.0" hidden="1" customHeight="1">
      <c r="A414" s="1"/>
      <c r="B414" s="3">
        <v>413.0</v>
      </c>
      <c r="C414" s="4">
        <v>43168.0</v>
      </c>
      <c r="D414" s="2" t="s">
        <v>546</v>
      </c>
      <c r="E414" s="2"/>
      <c r="F414" s="3" t="s">
        <v>161</v>
      </c>
      <c r="G414" s="2" t="s">
        <v>456</v>
      </c>
      <c r="H414" s="2" t="s">
        <v>547</v>
      </c>
      <c r="I414" s="3">
        <v>186.0</v>
      </c>
      <c r="J414" s="3"/>
      <c r="K414" s="5"/>
      <c r="L414" s="6" t="str">
        <f>IF(D414&lt;&gt;"",VLOOKUP(H414,TABLEITEM,2,FALSE),"")</f>
        <v>PART</v>
      </c>
      <c r="M414" s="6" t="str">
        <f>IF(D414&lt;&gt;"",VLOOKUP(H414,TABLEITEM,3,FALSE),"")</f>
        <v>คานต่อโครง3mm 68x45x270</v>
      </c>
      <c r="N414" s="7">
        <f>INSTOCK!$I414*INSTOCK!$K414</f>
        <v>0</v>
      </c>
      <c r="O414" s="2"/>
      <c r="P414" s="2"/>
    </row>
    <row r="415" ht="18.0" hidden="1" customHeight="1">
      <c r="A415" s="1"/>
      <c r="B415" s="3">
        <v>414.0</v>
      </c>
      <c r="C415" s="4">
        <v>43148.0</v>
      </c>
      <c r="D415" s="2" t="s">
        <v>546</v>
      </c>
      <c r="E415" s="2"/>
      <c r="F415" s="3" t="s">
        <v>161</v>
      </c>
      <c r="G415" s="2" t="s">
        <v>456</v>
      </c>
      <c r="H415" s="2" t="s">
        <v>464</v>
      </c>
      <c r="I415" s="3">
        <v>100.0</v>
      </c>
      <c r="J415" s="3"/>
      <c r="K415" s="5"/>
      <c r="L415" s="6" t="str">
        <f>IF(D415&lt;&gt;"",VLOOKUP(H415,TABLEITEM,2,FALSE),"")</f>
        <v>PART</v>
      </c>
      <c r="M415" s="6" t="str">
        <f>IF(D415&lt;&gt;"",VLOOKUP(H415,TABLEITEM,3,FALSE),"")</f>
        <v>คานต่อโครง 80x45x3mmx420</v>
      </c>
      <c r="N415" s="7">
        <f>INSTOCK!$I415*INSTOCK!$K415</f>
        <v>0</v>
      </c>
      <c r="O415" s="2"/>
      <c r="P415" s="2"/>
    </row>
    <row r="416" ht="18.0" hidden="1" customHeight="1">
      <c r="A416" s="1"/>
      <c r="B416" s="3">
        <v>415.0</v>
      </c>
      <c r="C416" s="4">
        <v>43143.0</v>
      </c>
      <c r="D416" s="2" t="s">
        <v>546</v>
      </c>
      <c r="E416" s="2"/>
      <c r="F416" s="3" t="s">
        <v>161</v>
      </c>
      <c r="G416" s="2" t="s">
        <v>456</v>
      </c>
      <c r="H416" s="2" t="s">
        <v>548</v>
      </c>
      <c r="I416" s="3">
        <v>165.0</v>
      </c>
      <c r="J416" s="3"/>
      <c r="K416" s="5"/>
      <c r="L416" s="6" t="str">
        <f>IF(D416&lt;&gt;"",VLOOKUP(H416,TABLEITEM,2,FALSE),"")</f>
        <v>PART</v>
      </c>
      <c r="M416" s="6" t="str">
        <f>IF(D416&lt;&gt;"",VLOOKUP(H416,TABLEITEM,3,FALSE),"")</f>
        <v>คานต่อโครง 80x45x3mmx520</v>
      </c>
      <c r="N416" s="7">
        <f>INSTOCK!$I416*INSTOCK!$K416</f>
        <v>0</v>
      </c>
      <c r="O416" s="2"/>
      <c r="P416" s="2"/>
    </row>
    <row r="417" ht="18.0" hidden="1" customHeight="1">
      <c r="A417" s="1"/>
      <c r="B417" s="3">
        <v>416.0</v>
      </c>
      <c r="C417" s="4">
        <v>43148.0</v>
      </c>
      <c r="D417" s="2" t="s">
        <v>546</v>
      </c>
      <c r="E417" s="2"/>
      <c r="F417" s="3" t="s">
        <v>161</v>
      </c>
      <c r="G417" s="2" t="s">
        <v>456</v>
      </c>
      <c r="H417" s="2" t="s">
        <v>548</v>
      </c>
      <c r="I417" s="3">
        <v>52.0</v>
      </c>
      <c r="J417" s="3"/>
      <c r="K417" s="5"/>
      <c r="L417" s="6" t="str">
        <f>IF(D417&lt;&gt;"",VLOOKUP(H417,TABLEITEM,2,FALSE),"")</f>
        <v>PART</v>
      </c>
      <c r="M417" s="6" t="str">
        <f>IF(D417&lt;&gt;"",VLOOKUP(H417,TABLEITEM,3,FALSE),"")</f>
        <v>คานต่อโครง 80x45x3mmx520</v>
      </c>
      <c r="N417" s="7">
        <f>INSTOCK!$I417*INSTOCK!$K417</f>
        <v>0</v>
      </c>
      <c r="O417" s="2"/>
      <c r="P417" s="2"/>
    </row>
    <row r="418" ht="18.0" hidden="1" customHeight="1">
      <c r="A418" s="1"/>
      <c r="B418" s="3">
        <v>417.0</v>
      </c>
      <c r="C418" s="4">
        <v>43140.0</v>
      </c>
      <c r="D418" s="2" t="s">
        <v>549</v>
      </c>
      <c r="E418" s="2"/>
      <c r="F418" s="3" t="s">
        <v>161</v>
      </c>
      <c r="G418" s="2" t="s">
        <v>456</v>
      </c>
      <c r="H418" s="2" t="s">
        <v>550</v>
      </c>
      <c r="I418" s="3">
        <v>228.0</v>
      </c>
      <c r="J418" s="3"/>
      <c r="K418" s="5"/>
      <c r="L418" s="6" t="str">
        <f>IF(D418&lt;&gt;"",VLOOKUP(H418,TABLEITEM,2,FALSE),"")</f>
        <v>PART</v>
      </c>
      <c r="M418" s="6" t="str">
        <f>IF(D418&lt;&gt;"",VLOOKUP(H418,TABLEITEM,3,FALSE),"")</f>
        <v>ฉากตัวZ รับแผ่นกั้น50x34x29</v>
      </c>
      <c r="N418" s="7">
        <f>INSTOCK!$I418*INSTOCK!$K418</f>
        <v>0</v>
      </c>
      <c r="O418" s="2"/>
      <c r="P418" s="2"/>
    </row>
    <row r="419" ht="18.0" hidden="1" customHeight="1">
      <c r="A419" s="1"/>
      <c r="B419" s="3">
        <v>418.0</v>
      </c>
      <c r="C419" s="4">
        <v>43159.0</v>
      </c>
      <c r="D419" s="2" t="s">
        <v>549</v>
      </c>
      <c r="E419" s="2"/>
      <c r="F419" s="3" t="s">
        <v>161</v>
      </c>
      <c r="G419" s="2" t="s">
        <v>456</v>
      </c>
      <c r="H419" s="2" t="s">
        <v>550</v>
      </c>
      <c r="I419" s="3">
        <v>486.0</v>
      </c>
      <c r="J419" s="3"/>
      <c r="K419" s="5"/>
      <c r="L419" s="6" t="str">
        <f>IF(D419&lt;&gt;"",VLOOKUP(H419,TABLEITEM,2,FALSE),"")</f>
        <v>PART</v>
      </c>
      <c r="M419" s="6" t="str">
        <f>IF(D419&lt;&gt;"",VLOOKUP(H419,TABLEITEM,3,FALSE),"")</f>
        <v>ฉากตัวZ รับแผ่นกั้น50x34x29</v>
      </c>
      <c r="N419" s="7">
        <f>INSTOCK!$I419*INSTOCK!$K419</f>
        <v>0</v>
      </c>
      <c r="O419" s="2"/>
      <c r="P419" s="2"/>
    </row>
    <row r="420" ht="18.0" hidden="1" customHeight="1">
      <c r="A420" s="1"/>
      <c r="B420" s="3">
        <v>419.0</v>
      </c>
      <c r="C420" s="4">
        <v>43148.0</v>
      </c>
      <c r="D420" s="2" t="s">
        <v>551</v>
      </c>
      <c r="E420" s="2"/>
      <c r="F420" s="3" t="s">
        <v>161</v>
      </c>
      <c r="G420" s="2" t="s">
        <v>456</v>
      </c>
      <c r="H420" s="2" t="s">
        <v>552</v>
      </c>
      <c r="I420" s="3">
        <v>22.0</v>
      </c>
      <c r="J420" s="3"/>
      <c r="K420" s="5"/>
      <c r="L420" s="6" t="str">
        <f>IF(D420&lt;&gt;"",VLOOKUP(H420,TABLEITEM,2,FALSE),"")</f>
        <v>PART</v>
      </c>
      <c r="M420" s="6" t="str">
        <f>IF(D420&lt;&gt;"",VLOOKUP(H420,TABLEITEM,3,FALSE),"")</f>
        <v>ฝาข้าง-ฝาหลัง 1875x470</v>
      </c>
      <c r="N420" s="7">
        <f>INSTOCK!$I420*INSTOCK!$K420</f>
        <v>0</v>
      </c>
      <c r="O420" s="2"/>
      <c r="P420" s="2"/>
    </row>
    <row r="421" ht="18.0" hidden="1" customHeight="1">
      <c r="A421" s="1"/>
      <c r="B421" s="3">
        <v>420.0</v>
      </c>
      <c r="C421" s="4">
        <v>43148.0</v>
      </c>
      <c r="D421" s="2" t="s">
        <v>551</v>
      </c>
      <c r="E421" s="2"/>
      <c r="F421" s="3" t="s">
        <v>161</v>
      </c>
      <c r="G421" s="2" t="s">
        <v>456</v>
      </c>
      <c r="H421" s="2" t="s">
        <v>553</v>
      </c>
      <c r="I421" s="3">
        <v>19.0</v>
      </c>
      <c r="J421" s="3"/>
      <c r="K421" s="5"/>
      <c r="L421" s="6" t="str">
        <f>IF(D421&lt;&gt;"",VLOOKUP(H421,TABLEITEM,2,FALSE),"")</f>
        <v>PART</v>
      </c>
      <c r="M421" s="6" t="str">
        <f>IF(D421&lt;&gt;"",VLOOKUP(H421,TABLEITEM,3,FALSE),"")</f>
        <v>ฝาข้าง-ฝาหลัง 1875x570</v>
      </c>
      <c r="N421" s="7">
        <f>INSTOCK!$I421*INSTOCK!$K421</f>
        <v>0</v>
      </c>
      <c r="O421" s="2"/>
      <c r="P421" s="2"/>
    </row>
    <row r="422" ht="18.0" hidden="1" customHeight="1">
      <c r="A422" s="1"/>
      <c r="B422" s="3">
        <v>421.0</v>
      </c>
      <c r="C422" s="4">
        <v>43157.0</v>
      </c>
      <c r="D422" s="2" t="s">
        <v>554</v>
      </c>
      <c r="E422" s="2"/>
      <c r="F422" s="3" t="s">
        <v>161</v>
      </c>
      <c r="G422" s="2" t="s">
        <v>456</v>
      </c>
      <c r="H422" s="2" t="s">
        <v>525</v>
      </c>
      <c r="I422" s="3">
        <v>181.0</v>
      </c>
      <c r="J422" s="3"/>
      <c r="K422" s="5"/>
      <c r="L422" s="6" t="str">
        <f>IF(D422&lt;&gt;"",VLOOKUP(H422,TABLEITEM,2,FALSE),"")</f>
        <v>PART</v>
      </c>
      <c r="M422" s="6" t="str">
        <f>IF(D422&lt;&gt;"",VLOOKUP(H422,TABLEITEM,3,FALSE),"")</f>
        <v>เสาเชื่อม2275x40x50</v>
      </c>
      <c r="N422" s="7">
        <f>INSTOCK!$I422*INSTOCK!$K422</f>
        <v>0</v>
      </c>
      <c r="O422" s="2"/>
      <c r="P422" s="2"/>
    </row>
    <row r="423" ht="18.0" hidden="1" customHeight="1">
      <c r="A423" s="1"/>
      <c r="B423" s="3">
        <v>422.0</v>
      </c>
      <c r="C423" s="4">
        <v>43148.0</v>
      </c>
      <c r="D423" s="2" t="s">
        <v>555</v>
      </c>
      <c r="E423" s="2"/>
      <c r="F423" s="3" t="s">
        <v>161</v>
      </c>
      <c r="G423" s="2" t="s">
        <v>456</v>
      </c>
      <c r="H423" s="2" t="s">
        <v>556</v>
      </c>
      <c r="I423" s="3">
        <v>30.0</v>
      </c>
      <c r="J423" s="3"/>
      <c r="K423" s="5"/>
      <c r="L423" s="6" t="str">
        <f>IF(D423&lt;&gt;"",VLOOKUP(H423,TABLEITEM,2,FALSE),"")</f>
        <v>PART</v>
      </c>
      <c r="M423" s="6" t="str">
        <f>IF(D423&lt;&gt;"",VLOOKUP(H423,TABLEITEM,3,FALSE),"")</f>
        <v>ชุดฝากันระเบิด 600x330</v>
      </c>
      <c r="N423" s="7">
        <f>INSTOCK!$I423*INSTOCK!$K423</f>
        <v>0</v>
      </c>
      <c r="O423" s="2"/>
      <c r="P423" s="2"/>
    </row>
    <row r="424" ht="18.0" hidden="1" customHeight="1">
      <c r="A424" s="1"/>
      <c r="B424" s="3">
        <v>423.0</v>
      </c>
      <c r="C424" s="4">
        <v>43148.0</v>
      </c>
      <c r="D424" s="2" t="s">
        <v>555</v>
      </c>
      <c r="E424" s="2"/>
      <c r="F424" s="3" t="s">
        <v>161</v>
      </c>
      <c r="G424" s="2" t="s">
        <v>456</v>
      </c>
      <c r="H424" s="2" t="s">
        <v>515</v>
      </c>
      <c r="I424" s="3">
        <v>36.0</v>
      </c>
      <c r="J424" s="3"/>
      <c r="K424" s="5"/>
      <c r="L424" s="6" t="str">
        <f>IF(D424&lt;&gt;"",VLOOKUP(H424,TABLEITEM,2,FALSE),"")</f>
        <v>PART</v>
      </c>
      <c r="M424" s="6" t="str">
        <f>IF(D424&lt;&gt;"",VLOOKUP(H424,TABLEITEM,3,FALSE),"")</f>
        <v>ชุดฝากันระเบิด 600x500</v>
      </c>
      <c r="N424" s="7">
        <f>INSTOCK!$I424*INSTOCK!$K424</f>
        <v>0</v>
      </c>
      <c r="O424" s="2"/>
      <c r="P424" s="2"/>
    </row>
    <row r="425" ht="18.0" hidden="1" customHeight="1">
      <c r="A425" s="1"/>
      <c r="B425" s="3">
        <v>424.0</v>
      </c>
      <c r="C425" s="4">
        <v>43141.0</v>
      </c>
      <c r="D425" s="2" t="s">
        <v>557</v>
      </c>
      <c r="E425" s="2"/>
      <c r="F425" s="3" t="s">
        <v>161</v>
      </c>
      <c r="G425" s="2" t="s">
        <v>456</v>
      </c>
      <c r="H425" s="2" t="s">
        <v>558</v>
      </c>
      <c r="I425" s="3">
        <v>20.0</v>
      </c>
      <c r="J425" s="3"/>
      <c r="K425" s="5"/>
      <c r="L425" s="6" t="str">
        <f>IF(D425&lt;&gt;"",VLOOKUP(H425,TABLEITEM,2,FALSE),"")</f>
        <v>PART</v>
      </c>
      <c r="M425" s="6" t="str">
        <f>IF(D425&lt;&gt;"",VLOOKUP(H425,TABLEITEM,3,FALSE),"")</f>
        <v>ฉากมิเตอร์ 795x305</v>
      </c>
      <c r="N425" s="7">
        <f>INSTOCK!$I425*INSTOCK!$K425</f>
        <v>0</v>
      </c>
      <c r="O425" s="2"/>
      <c r="P425" s="2"/>
    </row>
    <row r="426" ht="18.0" hidden="1" customHeight="1">
      <c r="A426" s="1"/>
      <c r="B426" s="3">
        <v>425.0</v>
      </c>
      <c r="C426" s="4">
        <v>43141.0</v>
      </c>
      <c r="D426" s="2" t="s">
        <v>557</v>
      </c>
      <c r="E426" s="2"/>
      <c r="F426" s="3" t="s">
        <v>161</v>
      </c>
      <c r="G426" s="2" t="s">
        <v>456</v>
      </c>
      <c r="H426" s="2" t="s">
        <v>559</v>
      </c>
      <c r="I426" s="3">
        <v>30.0</v>
      </c>
      <c r="J426" s="3"/>
      <c r="K426" s="5"/>
      <c r="L426" s="6" t="str">
        <f>IF(D426&lt;&gt;"",VLOOKUP(H426,TABLEITEM,2,FALSE),"")</f>
        <v>PART</v>
      </c>
      <c r="M426" s="6" t="str">
        <f>IF(D426&lt;&gt;"",VLOOKUP(H426,TABLEITEM,3,FALSE),"")</f>
        <v>ฉากกันตก 795x175</v>
      </c>
      <c r="N426" s="7">
        <f>INSTOCK!$I426*INSTOCK!$K426</f>
        <v>0</v>
      </c>
      <c r="O426" s="2"/>
      <c r="P426" s="2"/>
    </row>
    <row r="427" ht="18.0" hidden="1" customHeight="1">
      <c r="A427" s="1"/>
      <c r="B427" s="3">
        <v>426.0</v>
      </c>
      <c r="C427" s="4">
        <v>43143.0</v>
      </c>
      <c r="D427" s="2" t="s">
        <v>560</v>
      </c>
      <c r="E427" s="2"/>
      <c r="F427" s="3" t="s">
        <v>161</v>
      </c>
      <c r="G427" s="2" t="s">
        <v>456</v>
      </c>
      <c r="H427" s="2" t="s">
        <v>561</v>
      </c>
      <c r="I427" s="3">
        <v>50.0</v>
      </c>
      <c r="J427" s="3"/>
      <c r="K427" s="5"/>
      <c r="L427" s="6" t="str">
        <f>IF(D427&lt;&gt;"",VLOOKUP(H427,TABLEITEM,2,FALSE),"")</f>
        <v>PART</v>
      </c>
      <c r="M427" s="6" t="str">
        <f>IF(D427&lt;&gt;"",VLOOKUP(H427,TABLEITEM,3,FALSE),"")</f>
        <v>คานยืดหลอดไฟ 40x520</v>
      </c>
      <c r="N427" s="7">
        <f>INSTOCK!$I427*INSTOCK!$K427</f>
        <v>0</v>
      </c>
      <c r="O427" s="2"/>
      <c r="P427" s="2"/>
    </row>
    <row r="428" ht="18.0" hidden="1" customHeight="1">
      <c r="A428" s="1"/>
      <c r="B428" s="3">
        <v>427.0</v>
      </c>
      <c r="C428" s="4">
        <v>43118.0</v>
      </c>
      <c r="D428" s="2" t="s">
        <v>562</v>
      </c>
      <c r="E428" s="2"/>
      <c r="F428" s="3" t="s">
        <v>161</v>
      </c>
      <c r="G428" s="2" t="s">
        <v>456</v>
      </c>
      <c r="H428" s="2" t="s">
        <v>563</v>
      </c>
      <c r="I428" s="3">
        <v>22.0</v>
      </c>
      <c r="J428" s="3"/>
      <c r="K428" s="5"/>
      <c r="L428" s="6" t="str">
        <f>IF(D428&lt;&gt;"",VLOOKUP(H428,TABLEITEM,2,FALSE),"")</f>
        <v>PART</v>
      </c>
      <c r="M428" s="6" t="str">
        <f>IF(D428&lt;&gt;"",VLOOKUP(H428,TABLEITEM,3,FALSE),"")</f>
        <v>เพลทเบกเกอร์ 525x280</v>
      </c>
      <c r="N428" s="7">
        <f>INSTOCK!$I428*INSTOCK!$K428</f>
        <v>0</v>
      </c>
      <c r="O428" s="2"/>
      <c r="P428" s="2"/>
    </row>
    <row r="429" ht="18.0" hidden="1" customHeight="1">
      <c r="A429" s="1"/>
      <c r="B429" s="3">
        <v>428.0</v>
      </c>
      <c r="C429" s="4">
        <v>43148.0</v>
      </c>
      <c r="D429" s="2" t="s">
        <v>562</v>
      </c>
      <c r="E429" s="2"/>
      <c r="F429" s="3" t="s">
        <v>161</v>
      </c>
      <c r="G429" s="2" t="s">
        <v>456</v>
      </c>
      <c r="H429" s="2" t="s">
        <v>564</v>
      </c>
      <c r="I429" s="3">
        <v>20.0</v>
      </c>
      <c r="J429" s="3"/>
      <c r="K429" s="5"/>
      <c r="L429" s="6" t="str">
        <f>IF(D429&lt;&gt;"",VLOOKUP(H429,TABLEITEM,2,FALSE),"")</f>
        <v>PART</v>
      </c>
      <c r="M429" s="6" t="str">
        <f>IF(D429&lt;&gt;"",VLOOKUP(H429,TABLEITEM,3,FALSE),"")</f>
        <v>เพลทเบกเกอร์ 925x280</v>
      </c>
      <c r="N429" s="7">
        <f>INSTOCK!$I429*INSTOCK!$K429</f>
        <v>0</v>
      </c>
      <c r="O429" s="2"/>
      <c r="P429" s="2"/>
    </row>
    <row r="430" ht="18.0" hidden="1" customHeight="1">
      <c r="A430" s="1"/>
      <c r="B430" s="3">
        <v>429.0</v>
      </c>
      <c r="C430" s="4">
        <v>43143.0</v>
      </c>
      <c r="D430" s="2" t="s">
        <v>562</v>
      </c>
      <c r="E430" s="2"/>
      <c r="F430" s="3" t="s">
        <v>161</v>
      </c>
      <c r="G430" s="2" t="s">
        <v>456</v>
      </c>
      <c r="H430" s="2" t="s">
        <v>565</v>
      </c>
      <c r="I430" s="3">
        <v>16.0</v>
      </c>
      <c r="J430" s="3"/>
      <c r="K430" s="5"/>
      <c r="L430" s="6" t="str">
        <f>IF(D430&lt;&gt;"",VLOOKUP(H430,TABLEITEM,2,FALSE),"")</f>
        <v>PART</v>
      </c>
      <c r="M430" s="6" t="str">
        <f>IF(D430&lt;&gt;"",VLOOKUP(H430,TABLEITEM,3,FALSE),"")</f>
        <v>เพลทเบกเกอร์ 414x170</v>
      </c>
      <c r="N430" s="7">
        <f>INSTOCK!$I430*INSTOCK!$K430</f>
        <v>0</v>
      </c>
      <c r="O430" s="2"/>
      <c r="P430" s="2"/>
    </row>
    <row r="431" ht="18.0" hidden="1" customHeight="1">
      <c r="A431" s="1"/>
      <c r="B431" s="3">
        <v>430.0</v>
      </c>
      <c r="C431" s="4">
        <v>43143.0</v>
      </c>
      <c r="D431" s="2" t="s">
        <v>562</v>
      </c>
      <c r="E431" s="2"/>
      <c r="F431" s="3" t="s">
        <v>161</v>
      </c>
      <c r="G431" s="2" t="s">
        <v>456</v>
      </c>
      <c r="H431" s="2" t="s">
        <v>566</v>
      </c>
      <c r="I431" s="3">
        <v>10.0</v>
      </c>
      <c r="J431" s="3"/>
      <c r="K431" s="5"/>
      <c r="L431" s="6" t="str">
        <f>IF(D431&lt;&gt;"",VLOOKUP(H431,TABLEITEM,2,FALSE),"")</f>
        <v>PART</v>
      </c>
      <c r="M431" s="6" t="str">
        <f>IF(D431&lt;&gt;"",VLOOKUP(H431,TABLEITEM,3,FALSE),"")</f>
        <v>เพลทเบกเกอร์ 814x170</v>
      </c>
      <c r="N431" s="7">
        <f>INSTOCK!$I431*INSTOCK!$K431</f>
        <v>0</v>
      </c>
      <c r="O431" s="2"/>
      <c r="P431" s="2"/>
    </row>
    <row r="432" ht="18.0" hidden="1" customHeight="1">
      <c r="A432" s="1"/>
      <c r="B432" s="3">
        <v>431.0</v>
      </c>
      <c r="C432" s="4">
        <v>43143.0</v>
      </c>
      <c r="D432" s="2" t="s">
        <v>562</v>
      </c>
      <c r="E432" s="2"/>
      <c r="F432" s="3" t="s">
        <v>161</v>
      </c>
      <c r="G432" s="2" t="s">
        <v>456</v>
      </c>
      <c r="H432" s="2" t="s">
        <v>567</v>
      </c>
      <c r="I432" s="3">
        <v>20.0</v>
      </c>
      <c r="J432" s="3"/>
      <c r="K432" s="5"/>
      <c r="L432" s="6" t="str">
        <f>IF(D432&lt;&gt;"",VLOOKUP(H432,TABLEITEM,2,FALSE),"")</f>
        <v>PART</v>
      </c>
      <c r="M432" s="6" t="str">
        <f>IF(D432&lt;&gt;"",VLOOKUP(H432,TABLEITEM,3,FALSE),"")</f>
        <v>เพลทเบกเกอร์ 614x170</v>
      </c>
      <c r="N432" s="7">
        <f>INSTOCK!$I432*INSTOCK!$K432</f>
        <v>0</v>
      </c>
      <c r="O432" s="2"/>
      <c r="P432" s="2"/>
    </row>
    <row r="433" ht="18.0" hidden="1" customHeight="1">
      <c r="A433" s="1"/>
      <c r="B433" s="3">
        <v>432.0</v>
      </c>
      <c r="C433" s="4">
        <v>43118.0</v>
      </c>
      <c r="D433" s="2" t="s">
        <v>568</v>
      </c>
      <c r="E433" s="2"/>
      <c r="F433" s="3" t="s">
        <v>161</v>
      </c>
      <c r="G433" s="2" t="s">
        <v>456</v>
      </c>
      <c r="H433" s="2" t="s">
        <v>534</v>
      </c>
      <c r="I433" s="3">
        <v>164.0</v>
      </c>
      <c r="J433" s="3"/>
      <c r="K433" s="5"/>
      <c r="L433" s="6" t="str">
        <f>IF(D433&lt;&gt;"",VLOOKUP(H433,TABLEITEM,2,FALSE),"")</f>
        <v>PART</v>
      </c>
      <c r="M433" s="6" t="str">
        <f>IF(D433&lt;&gt;"",VLOOKUP(H433,TABLEITEM,3,FALSE),"")</f>
        <v>ตัวแซดยึดแผ่นพื้น 60x695</v>
      </c>
      <c r="N433" s="7">
        <f>INSTOCK!$I433*INSTOCK!$K433</f>
        <v>0</v>
      </c>
      <c r="O433" s="2"/>
      <c r="P433" s="2"/>
    </row>
    <row r="434" ht="18.0" hidden="1" customHeight="1">
      <c r="A434" s="1"/>
      <c r="B434" s="3">
        <v>433.0</v>
      </c>
      <c r="C434" s="4">
        <v>43126.0</v>
      </c>
      <c r="D434" s="2" t="s">
        <v>568</v>
      </c>
      <c r="E434" s="2"/>
      <c r="F434" s="3" t="s">
        <v>161</v>
      </c>
      <c r="G434" s="2" t="s">
        <v>456</v>
      </c>
      <c r="H434" s="2" t="s">
        <v>534</v>
      </c>
      <c r="I434" s="3">
        <v>103.0</v>
      </c>
      <c r="J434" s="3"/>
      <c r="K434" s="5"/>
      <c r="L434" s="6" t="str">
        <f>IF(D434&lt;&gt;"",VLOOKUP(H434,TABLEITEM,2,FALSE),"")</f>
        <v>PART</v>
      </c>
      <c r="M434" s="6" t="str">
        <f>IF(D434&lt;&gt;"",VLOOKUP(H434,TABLEITEM,3,FALSE),"")</f>
        <v>ตัวแซดยึดแผ่นพื้น 60x695</v>
      </c>
      <c r="N434" s="7">
        <f>INSTOCK!$I434*INSTOCK!$K434</f>
        <v>0</v>
      </c>
      <c r="O434" s="2"/>
      <c r="P434" s="2"/>
    </row>
    <row r="435" ht="18.0" hidden="1" customHeight="1">
      <c r="A435" s="1"/>
      <c r="B435" s="3">
        <v>434.0</v>
      </c>
      <c r="C435" s="4">
        <v>43148.0</v>
      </c>
      <c r="D435" s="2" t="s">
        <v>569</v>
      </c>
      <c r="E435" s="2"/>
      <c r="F435" s="3" t="s">
        <v>161</v>
      </c>
      <c r="G435" s="2" t="s">
        <v>456</v>
      </c>
      <c r="H435" s="2" t="s">
        <v>486</v>
      </c>
      <c r="I435" s="3">
        <v>56.0</v>
      </c>
      <c r="J435" s="3"/>
      <c r="K435" s="5"/>
      <c r="L435" s="6" t="str">
        <f>IF(D435&lt;&gt;"",VLOOKUP(H435,TABLEITEM,2,FALSE),"")</f>
        <v>PART</v>
      </c>
      <c r="M435" s="6" t="str">
        <f>IF(D435&lt;&gt;"",VLOOKUP(H435,TABLEITEM,3,FALSE),"")</f>
        <v>กระเป๋าเอกสารรุ่น 316x45</v>
      </c>
      <c r="N435" s="7">
        <f>INSTOCK!$I435*INSTOCK!$K435</f>
        <v>0</v>
      </c>
      <c r="O435" s="2"/>
      <c r="P435" s="2"/>
    </row>
    <row r="436" ht="18.0" hidden="1" customHeight="1">
      <c r="A436" s="1"/>
      <c r="B436" s="3">
        <v>435.0</v>
      </c>
      <c r="C436" s="4">
        <v>43151.0</v>
      </c>
      <c r="D436" s="2" t="s">
        <v>569</v>
      </c>
      <c r="E436" s="2"/>
      <c r="F436" s="3" t="s">
        <v>161</v>
      </c>
      <c r="G436" s="2" t="s">
        <v>456</v>
      </c>
      <c r="H436" s="2" t="s">
        <v>487</v>
      </c>
      <c r="I436" s="3">
        <v>30.0</v>
      </c>
      <c r="J436" s="3"/>
      <c r="K436" s="5"/>
      <c r="L436" s="6" t="str">
        <f>IF(D436&lt;&gt;"",VLOOKUP(H436,TABLEITEM,2,FALSE),"")</f>
        <v>PART</v>
      </c>
      <c r="M436" s="6" t="str">
        <f>IF(D436&lt;&gt;"",VLOOKUP(H436,TABLEITEM,3,FALSE),"")</f>
        <v>กระเป๋าเอกสารรุ่น 316x224</v>
      </c>
      <c r="N436" s="7">
        <f>INSTOCK!$I436*INSTOCK!$K436</f>
        <v>0</v>
      </c>
      <c r="O436" s="2"/>
      <c r="P436" s="2"/>
    </row>
    <row r="437" ht="18.0" hidden="1" customHeight="1">
      <c r="A437" s="1"/>
      <c r="B437" s="3">
        <v>436.0</v>
      </c>
      <c r="C437" s="4">
        <v>43126.0</v>
      </c>
      <c r="D437" s="2" t="s">
        <v>569</v>
      </c>
      <c r="E437" s="2"/>
      <c r="F437" s="3" t="s">
        <v>161</v>
      </c>
      <c r="G437" s="2" t="s">
        <v>456</v>
      </c>
      <c r="H437" s="2" t="s">
        <v>487</v>
      </c>
      <c r="I437" s="3">
        <v>100.0</v>
      </c>
      <c r="J437" s="3"/>
      <c r="K437" s="5"/>
      <c r="L437" s="6" t="str">
        <f>IF(D437&lt;&gt;"",VLOOKUP(H437,TABLEITEM,2,FALSE),"")</f>
        <v>PART</v>
      </c>
      <c r="M437" s="6" t="str">
        <f>IF(D437&lt;&gt;"",VLOOKUP(H437,TABLEITEM,3,FALSE),"")</f>
        <v>กระเป๋าเอกสารรุ่น 316x224</v>
      </c>
      <c r="N437" s="7">
        <f>INSTOCK!$I437*INSTOCK!$K437</f>
        <v>0</v>
      </c>
      <c r="O437" s="2"/>
      <c r="P437" s="2"/>
    </row>
    <row r="438" ht="18.0" hidden="1" customHeight="1">
      <c r="A438" s="37"/>
      <c r="B438" s="3">
        <v>437.0</v>
      </c>
      <c r="C438" s="4">
        <v>43148.0</v>
      </c>
      <c r="D438" s="2" t="s">
        <v>570</v>
      </c>
      <c r="E438" s="2"/>
      <c r="F438" s="3" t="s">
        <v>161</v>
      </c>
      <c r="G438" s="2" t="s">
        <v>456</v>
      </c>
      <c r="H438" s="2" t="s">
        <v>571</v>
      </c>
      <c r="I438" s="3">
        <v>102.0</v>
      </c>
      <c r="J438" s="3"/>
      <c r="K438" s="5"/>
      <c r="L438" s="6" t="str">
        <f>IF(D438&lt;&gt;"",VLOOKUP(H438,TABLEITEM,2,FALSE),"")</f>
        <v>PART</v>
      </c>
      <c r="M438" s="6" t="str">
        <f>IF(D438&lt;&gt;"",VLOOKUP(H438,TABLEITEM,3,FALSE),"")</f>
        <v>เสาเสริม 38x50x2mmx504</v>
      </c>
      <c r="N438" s="7">
        <f>INSTOCK!$I438*INSTOCK!$K438</f>
        <v>0</v>
      </c>
      <c r="O438" s="2"/>
      <c r="P438" s="2"/>
    </row>
    <row r="439" ht="18.0" hidden="1" customHeight="1">
      <c r="A439" s="1"/>
      <c r="B439" s="3">
        <v>438.0</v>
      </c>
      <c r="C439" s="4">
        <v>43146.0</v>
      </c>
      <c r="D439" s="2" t="s">
        <v>572</v>
      </c>
      <c r="E439" s="2"/>
      <c r="F439" s="3" t="s">
        <v>161</v>
      </c>
      <c r="G439" s="2" t="s">
        <v>456</v>
      </c>
      <c r="H439" s="2" t="s">
        <v>573</v>
      </c>
      <c r="I439" s="3">
        <v>50.0</v>
      </c>
      <c r="J439" s="3"/>
      <c r="K439" s="5"/>
      <c r="L439" s="6" t="str">
        <f>IF(D439&lt;&gt;"",VLOOKUP(H439,TABLEITEM,2,FALSE),"")</f>
        <v>PART</v>
      </c>
      <c r="M439" s="6" t="str">
        <f>IF(D439&lt;&gt;"",VLOOKUP(H439,TABLEITEM,3,FALSE),"")</f>
        <v>คานตัวC 70x25T2.0x495</v>
      </c>
      <c r="N439" s="7">
        <f>INSTOCK!$I439*INSTOCK!$K439</f>
        <v>0</v>
      </c>
      <c r="O439" s="2"/>
      <c r="P439" s="2"/>
    </row>
    <row r="440" ht="18.0" hidden="1" customHeight="1">
      <c r="A440" s="1"/>
      <c r="B440" s="3">
        <v>439.0</v>
      </c>
      <c r="C440" s="4">
        <v>43143.0</v>
      </c>
      <c r="D440" s="2" t="s">
        <v>572</v>
      </c>
      <c r="E440" s="2"/>
      <c r="F440" s="3" t="s">
        <v>161</v>
      </c>
      <c r="G440" s="2" t="s">
        <v>456</v>
      </c>
      <c r="H440" s="2" t="s">
        <v>527</v>
      </c>
      <c r="I440" s="3">
        <v>52.0</v>
      </c>
      <c r="J440" s="3"/>
      <c r="K440" s="5"/>
      <c r="L440" s="6" t="str">
        <f>IF(D440&lt;&gt;"",VLOOKUP(H440,TABLEITEM,2,FALSE),"")</f>
        <v>PART</v>
      </c>
      <c r="M440" s="6" t="str">
        <f>IF(D440&lt;&gt;"",VLOOKUP(H440,TABLEITEM,3,FALSE),"")</f>
        <v>คานตัวC 70x25T2.0x595</v>
      </c>
      <c r="N440" s="7">
        <f>INSTOCK!$I440*INSTOCK!$K440</f>
        <v>0</v>
      </c>
      <c r="O440" s="2"/>
      <c r="P440" s="2"/>
    </row>
    <row r="441" ht="18.0" hidden="1" customHeight="1">
      <c r="A441" s="1"/>
      <c r="B441" s="3">
        <v>440.0</v>
      </c>
      <c r="C441" s="4">
        <v>43143.0</v>
      </c>
      <c r="D441" s="2" t="s">
        <v>572</v>
      </c>
      <c r="E441" s="2"/>
      <c r="F441" s="3" t="s">
        <v>161</v>
      </c>
      <c r="G441" s="2" t="s">
        <v>456</v>
      </c>
      <c r="H441" s="2" t="s">
        <v>574</v>
      </c>
      <c r="I441" s="3">
        <v>57.0</v>
      </c>
      <c r="J441" s="3"/>
      <c r="K441" s="5"/>
      <c r="L441" s="6" t="str">
        <f>IF(D441&lt;&gt;"",VLOOKUP(H441,TABLEITEM,2,FALSE),"")</f>
        <v>PART</v>
      </c>
      <c r="M441" s="6" t="str">
        <f>IF(D441&lt;&gt;"",VLOOKUP(H441,TABLEITEM,3,FALSE),"")</f>
        <v>คานตัวC 70x25T.2.0x695</v>
      </c>
      <c r="N441" s="7">
        <f>INSTOCK!$I441*INSTOCK!$K441</f>
        <v>0</v>
      </c>
      <c r="O441" s="2"/>
      <c r="P441" s="2"/>
    </row>
    <row r="442" ht="18.0" hidden="1" customHeight="1">
      <c r="A442" s="1"/>
      <c r="B442" s="3">
        <v>441.0</v>
      </c>
      <c r="C442" s="4">
        <v>43148.0</v>
      </c>
      <c r="D442" s="2" t="s">
        <v>572</v>
      </c>
      <c r="E442" s="2"/>
      <c r="F442" s="3" t="s">
        <v>161</v>
      </c>
      <c r="G442" s="2" t="s">
        <v>456</v>
      </c>
      <c r="H442" s="2" t="s">
        <v>575</v>
      </c>
      <c r="I442" s="3">
        <v>42.0</v>
      </c>
      <c r="J442" s="3"/>
      <c r="K442" s="5"/>
      <c r="L442" s="6" t="str">
        <f>IF(D442&lt;&gt;"",VLOOKUP(H442,TABLEITEM,2,FALSE),"")</f>
        <v>PART</v>
      </c>
      <c r="M442" s="6" t="str">
        <f>IF(D442&lt;&gt;"",VLOOKUP(H442,TABLEITEM,3,FALSE),"")</f>
        <v>คานตัวC 70x25T2.0x995</v>
      </c>
      <c r="N442" s="7">
        <f>INSTOCK!$I442*INSTOCK!$K442</f>
        <v>0</v>
      </c>
      <c r="O442" s="2"/>
      <c r="P442" s="2"/>
    </row>
    <row r="443" ht="18.0" hidden="1" customHeight="1">
      <c r="A443" s="1"/>
      <c r="B443" s="3">
        <v>442.0</v>
      </c>
      <c r="C443" s="4">
        <v>43143.0</v>
      </c>
      <c r="D443" s="2" t="s">
        <v>576</v>
      </c>
      <c r="E443" s="2"/>
      <c r="F443" s="3" t="s">
        <v>161</v>
      </c>
      <c r="G443" s="2" t="s">
        <v>456</v>
      </c>
      <c r="H443" s="2" t="s">
        <v>466</v>
      </c>
      <c r="I443" s="3">
        <v>217.0</v>
      </c>
      <c r="J443" s="3"/>
      <c r="K443" s="5"/>
      <c r="L443" s="6" t="str">
        <f>IF(D443&lt;&gt;"",VLOOKUP(H443,TABLEITEM,2,FALSE),"")</f>
        <v>PART</v>
      </c>
      <c r="M443" s="6" t="str">
        <f>IF(D443&lt;&gt;"",VLOOKUP(H443,TABLEITEM,3,FALSE),"")</f>
        <v>คานเจปรับระดับ754x68x35T3.0</v>
      </c>
      <c r="N443" s="7">
        <f>INSTOCK!$I443*INSTOCK!$K443</f>
        <v>0</v>
      </c>
      <c r="O443" s="2"/>
      <c r="P443" s="2"/>
    </row>
    <row r="444" ht="18.0" hidden="1" customHeight="1">
      <c r="A444" s="1"/>
      <c r="B444" s="3">
        <v>443.0</v>
      </c>
      <c r="C444" s="4">
        <v>43148.0</v>
      </c>
      <c r="D444" s="2" t="s">
        <v>576</v>
      </c>
      <c r="E444" s="2"/>
      <c r="F444" s="3" t="s">
        <v>161</v>
      </c>
      <c r="G444" s="2" t="s">
        <v>456</v>
      </c>
      <c r="H444" s="2" t="s">
        <v>577</v>
      </c>
      <c r="I444" s="3">
        <v>120.0</v>
      </c>
      <c r="J444" s="3"/>
      <c r="K444" s="5"/>
      <c r="L444" s="6" t="str">
        <f>IF(D444&lt;&gt;"",VLOOKUP(H444,TABLEITEM,2,FALSE),"")</f>
        <v>PART</v>
      </c>
      <c r="M444" s="6" t="str">
        <f>IF(D444&lt;&gt;"",VLOOKUP(H444,TABLEITEM,3,FALSE),"")</f>
        <v>คานเจ2รุ65x32x354</v>
      </c>
      <c r="N444" s="7">
        <f>INSTOCK!$I444*INSTOCK!$K444</f>
        <v>0</v>
      </c>
      <c r="O444" s="2"/>
      <c r="P444" s="2"/>
    </row>
    <row r="445" ht="18.0" hidden="1" customHeight="1">
      <c r="A445" s="1"/>
      <c r="B445" s="3">
        <v>444.0</v>
      </c>
      <c r="C445" s="4">
        <v>43148.0</v>
      </c>
      <c r="D445" s="2" t="s">
        <v>576</v>
      </c>
      <c r="E445" s="2"/>
      <c r="F445" s="3" t="s">
        <v>161</v>
      </c>
      <c r="G445" s="2" t="s">
        <v>456</v>
      </c>
      <c r="H445" s="2" t="s">
        <v>578</v>
      </c>
      <c r="I445" s="3">
        <v>39.0</v>
      </c>
      <c r="J445" s="3"/>
      <c r="K445" s="5"/>
      <c r="L445" s="6" t="str">
        <f>IF(D445&lt;&gt;"",VLOOKUP(H445,TABLEITEM,2,FALSE),"")</f>
        <v>PART</v>
      </c>
      <c r="M445" s="6" t="str">
        <f>IF(D445&lt;&gt;"",VLOOKUP(H445,TABLEITEM,3,FALSE),"")</f>
        <v>คานเจ 45x32x254</v>
      </c>
      <c r="N445" s="7">
        <f>INSTOCK!$I445*INSTOCK!$K445</f>
        <v>0</v>
      </c>
      <c r="O445" s="2"/>
      <c r="P445" s="2"/>
    </row>
    <row r="446" ht="18.0" hidden="1" customHeight="1">
      <c r="A446" s="1"/>
      <c r="B446" s="3">
        <v>445.0</v>
      </c>
      <c r="C446" s="4">
        <v>43277.0</v>
      </c>
      <c r="D446" s="2" t="s">
        <v>579</v>
      </c>
      <c r="E446" s="2"/>
      <c r="F446" s="3" t="s">
        <v>161</v>
      </c>
      <c r="G446" s="2" t="s">
        <v>456</v>
      </c>
      <c r="H446" s="2" t="s">
        <v>580</v>
      </c>
      <c r="I446" s="3">
        <v>50.0</v>
      </c>
      <c r="J446" s="3"/>
      <c r="K446" s="5"/>
      <c r="L446" s="6" t="str">
        <f>IF(D446&lt;&gt;"",VLOOKUP(H446,TABLEITEM,2,FALSE),"")</f>
        <v>PART</v>
      </c>
      <c r="M446" s="6" t="str">
        <f>IF(D446&lt;&gt;"",VLOOKUP(H446,TABLEITEM,3,FALSE),"")</f>
        <v>แผ่นสไลค์280x160</v>
      </c>
      <c r="N446" s="7">
        <f>INSTOCK!$I446*INSTOCK!$K446</f>
        <v>0</v>
      </c>
      <c r="O446" s="2"/>
      <c r="P446" s="2"/>
    </row>
    <row r="447" ht="18.0" hidden="1" customHeight="1">
      <c r="A447" s="1"/>
      <c r="B447" s="3">
        <v>446.0</v>
      </c>
      <c r="C447" s="4">
        <v>43287.0</v>
      </c>
      <c r="D447" s="2" t="s">
        <v>581</v>
      </c>
      <c r="E447" s="2"/>
      <c r="F447" s="3" t="s">
        <v>161</v>
      </c>
      <c r="G447" s="2" t="s">
        <v>456</v>
      </c>
      <c r="H447" s="2" t="s">
        <v>582</v>
      </c>
      <c r="I447" s="3">
        <v>20.0</v>
      </c>
      <c r="J447" s="3"/>
      <c r="K447" s="5"/>
      <c r="L447" s="6" t="str">
        <f>IF(D447&lt;&gt;"",VLOOKUP(H447,TABLEITEM,2,FALSE),"")</f>
        <v>PART</v>
      </c>
      <c r="M447" s="6" t="str">
        <f>IF(D447&lt;&gt;"",VLOOKUP(H447,TABLEITEM,3,FALSE),"")</f>
        <v>คานรับลูกถ้วย 50x40x720</v>
      </c>
      <c r="N447" s="7">
        <f>INSTOCK!$I447*INSTOCK!$K447</f>
        <v>0</v>
      </c>
      <c r="O447" s="2"/>
      <c r="P447" s="2"/>
    </row>
    <row r="448" ht="18.0" hidden="1" customHeight="1">
      <c r="A448" s="1"/>
      <c r="B448" s="3">
        <v>447.0</v>
      </c>
      <c r="C448" s="4">
        <v>43279.0</v>
      </c>
      <c r="D448" s="2" t="s">
        <v>583</v>
      </c>
      <c r="E448" s="2"/>
      <c r="F448" s="3" t="s">
        <v>161</v>
      </c>
      <c r="G448" s="2" t="s">
        <v>456</v>
      </c>
      <c r="H448" s="2" t="s">
        <v>584</v>
      </c>
      <c r="I448" s="3">
        <v>92.0</v>
      </c>
      <c r="J448" s="3"/>
      <c r="K448" s="5"/>
      <c r="L448" s="6" t="str">
        <f>IF(D448&lt;&gt;"",VLOOKUP(H448,TABLEITEM,2,FALSE),"")</f>
        <v>PART</v>
      </c>
      <c r="M448" s="6" t="str">
        <f>IF(D448&lt;&gt;"",VLOOKUP(H448,TABLEITEM,3,FALSE),"")</f>
        <v>ฉากรับเพลท 40x30x1988</v>
      </c>
      <c r="N448" s="7">
        <f>INSTOCK!$I448*INSTOCK!$K448</f>
        <v>0</v>
      </c>
      <c r="O448" s="2"/>
      <c r="P448" s="2"/>
    </row>
    <row r="449" ht="18.0" hidden="1" customHeight="1">
      <c r="A449" s="1"/>
      <c r="B449" s="3">
        <v>448.0</v>
      </c>
      <c r="C449" s="4">
        <v>43272.0</v>
      </c>
      <c r="D449" s="2" t="s">
        <v>585</v>
      </c>
      <c r="E449" s="2"/>
      <c r="F449" s="3" t="s">
        <v>161</v>
      </c>
      <c r="G449" s="2" t="s">
        <v>456</v>
      </c>
      <c r="H449" s="2" t="s">
        <v>586</v>
      </c>
      <c r="I449" s="3">
        <v>41.0</v>
      </c>
      <c r="J449" s="3"/>
      <c r="K449" s="5"/>
      <c r="L449" s="6" t="str">
        <f>IF(D449&lt;&gt;"",VLOOKUP(H449,TABLEITEM,2,FALSE),"")</f>
        <v>PART</v>
      </c>
      <c r="M449" s="6" t="str">
        <f>IF(D449&lt;&gt;"",VLOOKUP(H449,TABLEITEM,3,FALSE),"")</f>
        <v>หมวกตู้ 40x775</v>
      </c>
      <c r="N449" s="7">
        <f>INSTOCK!$I449*INSTOCK!$K449</f>
        <v>0</v>
      </c>
      <c r="O449" s="2"/>
      <c r="P449" s="2"/>
    </row>
    <row r="450" ht="18.0" hidden="1" customHeight="1">
      <c r="A450" s="1"/>
      <c r="B450" s="3">
        <v>449.0</v>
      </c>
      <c r="C450" s="4">
        <v>43294.0</v>
      </c>
      <c r="D450" s="2" t="s">
        <v>585</v>
      </c>
      <c r="E450" s="2"/>
      <c r="F450" s="3" t="s">
        <v>161</v>
      </c>
      <c r="G450" s="2" t="s">
        <v>456</v>
      </c>
      <c r="H450" s="2" t="s">
        <v>586</v>
      </c>
      <c r="I450" s="3">
        <v>26.0</v>
      </c>
      <c r="J450" s="3"/>
      <c r="K450" s="5"/>
      <c r="L450" s="6" t="str">
        <f>IF(D450&lt;&gt;"",VLOOKUP(H450,TABLEITEM,2,FALSE),"")</f>
        <v>PART</v>
      </c>
      <c r="M450" s="6" t="str">
        <f>IF(D450&lt;&gt;"",VLOOKUP(H450,TABLEITEM,3,FALSE),"")</f>
        <v>หมวกตู้ 40x775</v>
      </c>
      <c r="N450" s="7">
        <f>INSTOCK!$I450*INSTOCK!$K450</f>
        <v>0</v>
      </c>
      <c r="O450" s="2"/>
      <c r="P450" s="2"/>
    </row>
    <row r="451" ht="18.0" hidden="1" customHeight="1">
      <c r="A451" s="1"/>
      <c r="B451" s="3">
        <v>450.0</v>
      </c>
      <c r="C451" s="4">
        <v>43294.0</v>
      </c>
      <c r="D451" s="2" t="s">
        <v>587</v>
      </c>
      <c r="E451" s="2"/>
      <c r="F451" s="3" t="s">
        <v>161</v>
      </c>
      <c r="G451" s="2" t="s">
        <v>456</v>
      </c>
      <c r="H451" s="2" t="s">
        <v>588</v>
      </c>
      <c r="I451" s="3">
        <v>39.0</v>
      </c>
      <c r="J451" s="3"/>
      <c r="K451" s="5"/>
      <c r="L451" s="6" t="str">
        <f>IF(D451&lt;&gt;"",VLOOKUP(H451,TABLEITEM,2,FALSE),"")</f>
        <v>PART</v>
      </c>
      <c r="M451" s="6" t="str">
        <f>IF(D451&lt;&gt;"",VLOOKUP(H451,TABLEITEM,3,FALSE),"")</f>
        <v>หมวกตู้ 60x575</v>
      </c>
      <c r="N451" s="7">
        <f>INSTOCK!$I451*INSTOCK!$K451</f>
        <v>0</v>
      </c>
      <c r="O451" s="2"/>
      <c r="P451" s="2"/>
    </row>
    <row r="452" ht="18.0" hidden="1" customHeight="1">
      <c r="A452" s="1"/>
      <c r="B452" s="3">
        <v>451.0</v>
      </c>
      <c r="C452" s="4">
        <v>43294.0</v>
      </c>
      <c r="D452" s="2" t="s">
        <v>587</v>
      </c>
      <c r="E452" s="2"/>
      <c r="F452" s="3" t="s">
        <v>161</v>
      </c>
      <c r="G452" s="2" t="s">
        <v>456</v>
      </c>
      <c r="H452" s="2" t="s">
        <v>589</v>
      </c>
      <c r="I452" s="3">
        <v>53.0</v>
      </c>
      <c r="J452" s="3"/>
      <c r="K452" s="5"/>
      <c r="L452" s="6" t="str">
        <f>IF(D452&lt;&gt;"",VLOOKUP(H452,TABLEITEM,2,FALSE),"")</f>
        <v>PART</v>
      </c>
      <c r="M452" s="6" t="str">
        <f>IF(D452&lt;&gt;"",VLOOKUP(H452,TABLEITEM,3,FALSE),"")</f>
        <v>หมวกตู้ 60x875</v>
      </c>
      <c r="N452" s="7">
        <f>INSTOCK!$I452*INSTOCK!$K452</f>
        <v>0</v>
      </c>
      <c r="O452" s="2"/>
      <c r="P452" s="2"/>
    </row>
    <row r="453" ht="18.0" hidden="1" customHeight="1">
      <c r="A453" s="1"/>
      <c r="B453" s="3">
        <v>452.0</v>
      </c>
      <c r="C453" s="4">
        <v>43292.0</v>
      </c>
      <c r="D453" s="2" t="s">
        <v>590</v>
      </c>
      <c r="E453" s="2"/>
      <c r="F453" s="3" t="s">
        <v>161</v>
      </c>
      <c r="G453" s="2" t="s">
        <v>456</v>
      </c>
      <c r="H453" s="2" t="s">
        <v>491</v>
      </c>
      <c r="I453" s="3">
        <v>90.0</v>
      </c>
      <c r="J453" s="3"/>
      <c r="K453" s="5"/>
      <c r="L453" s="6" t="str">
        <f>IF(D453&lt;&gt;"",VLOOKUP(H453,TABLEITEM,2,FALSE),"")</f>
        <v>PART</v>
      </c>
      <c r="M453" s="6" t="str">
        <f>IF(D453&lt;&gt;"",VLOOKUP(H453,TABLEITEM,3,FALSE),"")</f>
        <v>เสาเสริม 40x50x1988</v>
      </c>
      <c r="N453" s="7">
        <f>INSTOCK!$I453*INSTOCK!$K453</f>
        <v>0</v>
      </c>
      <c r="O453" s="2"/>
      <c r="P453" s="2"/>
    </row>
    <row r="454" ht="18.0" hidden="1" customHeight="1">
      <c r="A454" s="1"/>
      <c r="B454" s="3">
        <v>453.0</v>
      </c>
      <c r="C454" s="4">
        <v>43211.0</v>
      </c>
      <c r="D454" s="2" t="s">
        <v>591</v>
      </c>
      <c r="E454" s="2"/>
      <c r="F454" s="3" t="s">
        <v>161</v>
      </c>
      <c r="G454" s="2" t="s">
        <v>456</v>
      </c>
      <c r="H454" s="2" t="s">
        <v>592</v>
      </c>
      <c r="I454" s="3">
        <v>18.0</v>
      </c>
      <c r="J454" s="3"/>
      <c r="K454" s="5"/>
      <c r="L454" s="6" t="str">
        <f>IF(D454&lt;&gt;"",VLOOKUP(H454,TABLEITEM,2,FALSE),"")</f>
        <v>PART</v>
      </c>
      <c r="M454" s="6" t="str">
        <f>IF(D454&lt;&gt;"",VLOOKUP(H454,TABLEITEM,3,FALSE),"")</f>
        <v>แพลทยึดอุปกรณ์695x250</v>
      </c>
      <c r="N454" s="7">
        <f>INSTOCK!$I454*INSTOCK!$K454</f>
        <v>0</v>
      </c>
      <c r="O454" s="2"/>
      <c r="P454" s="2"/>
    </row>
    <row r="455" ht="18.0" hidden="1" customHeight="1">
      <c r="A455" s="1"/>
      <c r="B455" s="3">
        <v>454.0</v>
      </c>
      <c r="C455" s="4">
        <v>43292.0</v>
      </c>
      <c r="D455" s="2" t="s">
        <v>591</v>
      </c>
      <c r="E455" s="2"/>
      <c r="F455" s="3" t="s">
        <v>161</v>
      </c>
      <c r="G455" s="2" t="s">
        <v>456</v>
      </c>
      <c r="H455" s="2" t="s">
        <v>592</v>
      </c>
      <c r="I455" s="3">
        <v>30.0</v>
      </c>
      <c r="J455" s="3"/>
      <c r="K455" s="5"/>
      <c r="L455" s="6" t="str">
        <f>IF(D455&lt;&gt;"",VLOOKUP(H455,TABLEITEM,2,FALSE),"")</f>
        <v>PART</v>
      </c>
      <c r="M455" s="6" t="str">
        <f>IF(D455&lt;&gt;"",VLOOKUP(H455,TABLEITEM,3,FALSE),"")</f>
        <v>แพลทยึดอุปกรณ์695x250</v>
      </c>
      <c r="N455" s="7">
        <f>INSTOCK!$I455*INSTOCK!$K455</f>
        <v>0</v>
      </c>
      <c r="O455" s="2"/>
      <c r="P455" s="2"/>
    </row>
    <row r="456" ht="18.0" hidden="1" customHeight="1">
      <c r="A456" s="1"/>
      <c r="B456" s="3">
        <v>455.0</v>
      </c>
      <c r="C456" s="4">
        <v>43214.0</v>
      </c>
      <c r="D456" s="2" t="s">
        <v>591</v>
      </c>
      <c r="E456" s="2"/>
      <c r="F456" s="3" t="s">
        <v>161</v>
      </c>
      <c r="G456" s="2" t="s">
        <v>456</v>
      </c>
      <c r="H456" s="2" t="s">
        <v>593</v>
      </c>
      <c r="I456" s="3">
        <v>18.0</v>
      </c>
      <c r="J456" s="3"/>
      <c r="K456" s="5"/>
      <c r="L456" s="6" t="str">
        <f>IF(D456&lt;&gt;"",VLOOKUP(H456,TABLEITEM,2,FALSE),"")</f>
        <v>PART</v>
      </c>
      <c r="M456" s="6" t="str">
        <f>IF(D456&lt;&gt;"",VLOOKUP(H456,TABLEITEM,3,FALSE),"")</f>
        <v>แพลทยึดอุปกรณ์695x300</v>
      </c>
      <c r="N456" s="7">
        <f>INSTOCK!$I456*INSTOCK!$K456</f>
        <v>0</v>
      </c>
      <c r="O456" s="2"/>
      <c r="P456" s="2"/>
    </row>
    <row r="457" ht="18.0" hidden="1" customHeight="1">
      <c r="A457" s="1"/>
      <c r="B457" s="3">
        <v>456.0</v>
      </c>
      <c r="C457" s="4">
        <v>43292.0</v>
      </c>
      <c r="D457" s="2" t="s">
        <v>591</v>
      </c>
      <c r="E457" s="2"/>
      <c r="F457" s="3" t="s">
        <v>161</v>
      </c>
      <c r="G457" s="2" t="s">
        <v>456</v>
      </c>
      <c r="H457" s="2" t="s">
        <v>593</v>
      </c>
      <c r="I457" s="3">
        <v>13.0</v>
      </c>
      <c r="J457" s="3"/>
      <c r="K457" s="5"/>
      <c r="L457" s="6" t="str">
        <f>IF(D457&lt;&gt;"",VLOOKUP(H457,TABLEITEM,2,FALSE),"")</f>
        <v>PART</v>
      </c>
      <c r="M457" s="6" t="str">
        <f>IF(D457&lt;&gt;"",VLOOKUP(H457,TABLEITEM,3,FALSE),"")</f>
        <v>แพลทยึดอุปกรณ์695x300</v>
      </c>
      <c r="N457" s="7">
        <f>INSTOCK!$I457*INSTOCK!$K457</f>
        <v>0</v>
      </c>
      <c r="O457" s="2"/>
      <c r="P457" s="2"/>
    </row>
    <row r="458" ht="18.0" hidden="1" customHeight="1">
      <c r="A458" s="1"/>
      <c r="B458" s="3">
        <v>457.0</v>
      </c>
      <c r="C458" s="4">
        <v>43216.0</v>
      </c>
      <c r="D458" s="2" t="s">
        <v>591</v>
      </c>
      <c r="E458" s="2"/>
      <c r="F458" s="3" t="s">
        <v>161</v>
      </c>
      <c r="G458" s="2" t="s">
        <v>456</v>
      </c>
      <c r="H458" s="2" t="s">
        <v>540</v>
      </c>
      <c r="I458" s="3">
        <v>15.0</v>
      </c>
      <c r="J458" s="3"/>
      <c r="K458" s="5"/>
      <c r="L458" s="6" t="str">
        <f>IF(D458&lt;&gt;"",VLOOKUP(H458,TABLEITEM,2,FALSE),"")</f>
        <v>PART</v>
      </c>
      <c r="M458" s="6" t="str">
        <f>IF(D458&lt;&gt;"",VLOOKUP(H458,TABLEITEM,3,FALSE),"")</f>
        <v>แพลทยึดอุปกรณ์595x690</v>
      </c>
      <c r="N458" s="7">
        <f>INSTOCK!$I458*INSTOCK!$K458</f>
        <v>0</v>
      </c>
      <c r="O458" s="2"/>
      <c r="P458" s="2"/>
    </row>
    <row r="459" ht="18.0" hidden="1" customHeight="1">
      <c r="A459" s="1"/>
      <c r="B459" s="3">
        <v>458.0</v>
      </c>
      <c r="C459" s="4">
        <v>43287.0</v>
      </c>
      <c r="D459" s="2" t="s">
        <v>594</v>
      </c>
      <c r="E459" s="2"/>
      <c r="F459" s="3" t="s">
        <v>161</v>
      </c>
      <c r="G459" s="2" t="s">
        <v>456</v>
      </c>
      <c r="H459" s="2" t="s">
        <v>548</v>
      </c>
      <c r="I459" s="3">
        <v>98.0</v>
      </c>
      <c r="J459" s="3"/>
      <c r="K459" s="5"/>
      <c r="L459" s="6" t="str">
        <f>IF(D459&lt;&gt;"",VLOOKUP(H459,TABLEITEM,2,FALSE),"")</f>
        <v>PART</v>
      </c>
      <c r="M459" s="6" t="str">
        <f>IF(D459&lt;&gt;"",VLOOKUP(H459,TABLEITEM,3,FALSE),"")</f>
        <v>คานต่อโครง 80x45x3mmx520</v>
      </c>
      <c r="N459" s="7">
        <f>INSTOCK!$I459*INSTOCK!$K459</f>
        <v>0</v>
      </c>
      <c r="O459" s="2"/>
      <c r="P459" s="2"/>
    </row>
    <row r="460" ht="18.0" hidden="1" customHeight="1">
      <c r="A460" s="1"/>
      <c r="B460" s="3">
        <v>459.0</v>
      </c>
      <c r="C460" s="4">
        <v>43150.0</v>
      </c>
      <c r="D460" s="2" t="s">
        <v>595</v>
      </c>
      <c r="E460" s="2"/>
      <c r="F460" s="3" t="s">
        <v>161</v>
      </c>
      <c r="G460" s="2" t="s">
        <v>456</v>
      </c>
      <c r="H460" s="2" t="s">
        <v>596</v>
      </c>
      <c r="I460" s="3">
        <v>105.0</v>
      </c>
      <c r="J460" s="3"/>
      <c r="K460" s="5"/>
      <c r="L460" s="6" t="str">
        <f>IF(D460&lt;&gt;"",VLOOKUP(H460,TABLEITEM,2,FALSE),"")</f>
        <v>PART</v>
      </c>
      <c r="M460" s="6" t="str">
        <f>IF(D460&lt;&gt;"",VLOOKUP(H460,TABLEITEM,3,FALSE),"")</f>
        <v>คานฝาหน้า 50x22x620</v>
      </c>
      <c r="N460" s="7">
        <f>INSTOCK!$I460*INSTOCK!$K460</f>
        <v>0</v>
      </c>
      <c r="O460" s="2"/>
      <c r="P460" s="2"/>
    </row>
    <row r="461" ht="18.0" hidden="1" customHeight="1">
      <c r="A461" s="1"/>
      <c r="B461" s="3">
        <v>460.0</v>
      </c>
      <c r="C461" s="4">
        <v>43274.0</v>
      </c>
      <c r="D461" s="2" t="s">
        <v>597</v>
      </c>
      <c r="E461" s="2"/>
      <c r="F461" s="3" t="s">
        <v>161</v>
      </c>
      <c r="G461" s="2" t="s">
        <v>456</v>
      </c>
      <c r="H461" s="2" t="s">
        <v>598</v>
      </c>
      <c r="I461" s="3">
        <v>20.0</v>
      </c>
      <c r="J461" s="3"/>
      <c r="K461" s="5"/>
      <c r="L461" s="6" t="str">
        <f>IF(D461&lt;&gt;"",VLOOKUP(H461,TABLEITEM,2,FALSE),"")</f>
        <v>PART</v>
      </c>
      <c r="M461" s="6" t="str">
        <f>IF(D461&lt;&gt;"",VLOOKUP(H461,TABLEITEM,3,FALSE),"")</f>
        <v>ฝาข้าง-ฝาหลัง 2075x470</v>
      </c>
      <c r="N461" s="7">
        <f>INSTOCK!$I461*INSTOCK!$K461</f>
        <v>0</v>
      </c>
      <c r="O461" s="2"/>
      <c r="P461" s="2"/>
    </row>
    <row r="462" ht="18.0" hidden="1" customHeight="1">
      <c r="A462" s="1"/>
      <c r="B462" s="3">
        <v>461.0</v>
      </c>
      <c r="C462" s="4">
        <v>43274.0</v>
      </c>
      <c r="D462" s="2" t="s">
        <v>597</v>
      </c>
      <c r="E462" s="2"/>
      <c r="F462" s="3" t="s">
        <v>161</v>
      </c>
      <c r="G462" s="2" t="s">
        <v>456</v>
      </c>
      <c r="H462" s="2" t="s">
        <v>479</v>
      </c>
      <c r="I462" s="3">
        <v>20.0</v>
      </c>
      <c r="J462" s="3"/>
      <c r="K462" s="5"/>
      <c r="L462" s="6" t="str">
        <f>IF(D462&lt;&gt;"",VLOOKUP(H462,TABLEITEM,2,FALSE),"")</f>
        <v>PART</v>
      </c>
      <c r="M462" s="6" t="str">
        <f>IF(D462&lt;&gt;"",VLOOKUP(H462,TABLEITEM,3,FALSE),"")</f>
        <v>ฝาข้าง-ฝาหลัง 2075x570</v>
      </c>
      <c r="N462" s="7">
        <f>INSTOCK!$I462*INSTOCK!$K462</f>
        <v>0</v>
      </c>
      <c r="O462" s="2"/>
      <c r="P462" s="2"/>
    </row>
    <row r="463" ht="18.0" hidden="1" customHeight="1">
      <c r="A463" s="1"/>
      <c r="B463" s="3">
        <v>462.0</v>
      </c>
      <c r="C463" s="4">
        <v>43280.0</v>
      </c>
      <c r="D463" s="2" t="s">
        <v>597</v>
      </c>
      <c r="E463" s="2"/>
      <c r="F463" s="3" t="s">
        <v>161</v>
      </c>
      <c r="G463" s="2" t="s">
        <v>456</v>
      </c>
      <c r="H463" s="2" t="s">
        <v>481</v>
      </c>
      <c r="I463" s="3">
        <v>30.0</v>
      </c>
      <c r="J463" s="3"/>
      <c r="K463" s="5"/>
      <c r="L463" s="6" t="str">
        <f>IF(D463&lt;&gt;"",VLOOKUP(H463,TABLEITEM,2,FALSE),"")</f>
        <v>PART</v>
      </c>
      <c r="M463" s="6" t="str">
        <f>IF(D463&lt;&gt;"",VLOOKUP(H463,TABLEITEM,3,FALSE),"")</f>
        <v>ฝาข้าง-ฝาหลัง 2075x870</v>
      </c>
      <c r="N463" s="7">
        <f>INSTOCK!$I463*INSTOCK!$K463</f>
        <v>0</v>
      </c>
      <c r="O463" s="2"/>
      <c r="P463" s="2"/>
    </row>
    <row r="464" ht="18.0" hidden="1" customHeight="1">
      <c r="A464" s="1"/>
      <c r="B464" s="3">
        <v>463.0</v>
      </c>
      <c r="C464" s="4">
        <v>43306.0</v>
      </c>
      <c r="D464" s="2" t="s">
        <v>597</v>
      </c>
      <c r="E464" s="2"/>
      <c r="F464" s="3" t="s">
        <v>161</v>
      </c>
      <c r="G464" s="2" t="s">
        <v>456</v>
      </c>
      <c r="H464" s="2" t="s">
        <v>599</v>
      </c>
      <c r="I464" s="3">
        <v>30.0</v>
      </c>
      <c r="J464" s="3"/>
      <c r="K464" s="5"/>
      <c r="L464" s="6" t="str">
        <f>IF(D464&lt;&gt;"",VLOOKUP(H464,TABLEITEM,2,FALSE),"")</f>
        <v>PART</v>
      </c>
      <c r="M464" s="6" t="str">
        <f>IF(D464&lt;&gt;"",VLOOKUP(H464,TABLEITEM,3,FALSE),"")</f>
        <v>ฝาข้าง-ฝาหลัง 2075x770</v>
      </c>
      <c r="N464" s="7">
        <f>INSTOCK!$I464*INSTOCK!$K464</f>
        <v>0</v>
      </c>
      <c r="O464" s="2"/>
      <c r="P464" s="2"/>
    </row>
    <row r="465" ht="18.0" hidden="1" customHeight="1">
      <c r="A465" s="1"/>
      <c r="B465" s="3">
        <v>464.0</v>
      </c>
      <c r="C465" s="4">
        <v>43294.0</v>
      </c>
      <c r="D465" s="2" t="s">
        <v>600</v>
      </c>
      <c r="E465" s="2"/>
      <c r="F465" s="3" t="s">
        <v>161</v>
      </c>
      <c r="G465" s="2" t="s">
        <v>456</v>
      </c>
      <c r="H465" s="2" t="s">
        <v>601</v>
      </c>
      <c r="I465" s="3">
        <v>63.0</v>
      </c>
      <c r="J465" s="3"/>
      <c r="K465" s="5"/>
      <c r="L465" s="6" t="str">
        <f>IF(D465&lt;&gt;"",VLOOKUP(H465,TABLEITEM,2,FALSE),"")</f>
        <v>PART</v>
      </c>
      <c r="M465" s="6" t="str">
        <f>IF(D465&lt;&gt;"",VLOOKUP(H465,TABLEITEM,3,FALSE),"")</f>
        <v>คานตัวC 70x25T3.0x420</v>
      </c>
      <c r="N465" s="7">
        <f>INSTOCK!$I465*INSTOCK!$K465</f>
        <v>0</v>
      </c>
      <c r="O465" s="2"/>
      <c r="P465" s="2"/>
    </row>
    <row r="466" ht="18.0" hidden="1" customHeight="1">
      <c r="A466" s="1"/>
      <c r="B466" s="3">
        <v>465.0</v>
      </c>
      <c r="C466" s="4">
        <v>43287.0</v>
      </c>
      <c r="D466" s="2" t="s">
        <v>602</v>
      </c>
      <c r="E466" s="2"/>
      <c r="F466" s="3" t="s">
        <v>161</v>
      </c>
      <c r="G466" s="2" t="s">
        <v>456</v>
      </c>
      <c r="H466" s="2" t="s">
        <v>603</v>
      </c>
      <c r="I466" s="3">
        <v>97.0</v>
      </c>
      <c r="J466" s="3"/>
      <c r="K466" s="5"/>
      <c r="L466" s="6" t="str">
        <f>IF(D466&lt;&gt;"",VLOOKUP(H466,TABLEITEM,2,FALSE),"")</f>
        <v>PART</v>
      </c>
      <c r="M466" s="6" t="str">
        <f>IF(D466&lt;&gt;"",VLOOKUP(H466,TABLEITEM,3,FALSE),"")</f>
        <v>คานต่อโครง3mm 68x45x260</v>
      </c>
      <c r="N466" s="7">
        <f>INSTOCK!$I466*INSTOCK!$K466</f>
        <v>0</v>
      </c>
      <c r="O466" s="2"/>
      <c r="P466" s="2"/>
    </row>
    <row r="467" ht="18.0" hidden="1" customHeight="1">
      <c r="A467" s="1"/>
      <c r="B467" s="3">
        <v>466.0</v>
      </c>
      <c r="C467" s="4">
        <v>43287.0</v>
      </c>
      <c r="D467" s="2" t="s">
        <v>604</v>
      </c>
      <c r="E467" s="2"/>
      <c r="F467" s="3" t="s">
        <v>161</v>
      </c>
      <c r="G467" s="2" t="s">
        <v>456</v>
      </c>
      <c r="H467" s="2" t="s">
        <v>605</v>
      </c>
      <c r="I467" s="3">
        <v>37.0</v>
      </c>
      <c r="J467" s="3"/>
      <c r="K467" s="5"/>
      <c r="L467" s="6" t="str">
        <f>IF(D467&lt;&gt;"",VLOOKUP(H467,TABLEITEM,2,FALSE),"")</f>
        <v>PART</v>
      </c>
      <c r="M467" s="6" t="str">
        <f>IF(D467&lt;&gt;"",VLOOKUP(H467,TABLEITEM,3,FALSE),"")</f>
        <v>คานต่อโครง 80x45x3mmx260</v>
      </c>
      <c r="N467" s="7">
        <f>INSTOCK!$I467*INSTOCK!$K467</f>
        <v>0</v>
      </c>
      <c r="O467" s="2"/>
      <c r="P467" s="2"/>
    </row>
    <row r="468" ht="18.0" hidden="1" customHeight="1">
      <c r="A468" s="1"/>
      <c r="B468" s="3">
        <v>467.0</v>
      </c>
      <c r="C468" s="4">
        <v>43306.0</v>
      </c>
      <c r="D468" s="2" t="s">
        <v>600</v>
      </c>
      <c r="E468" s="2"/>
      <c r="F468" s="3" t="s">
        <v>161</v>
      </c>
      <c r="G468" s="2" t="s">
        <v>456</v>
      </c>
      <c r="H468" s="2" t="s">
        <v>527</v>
      </c>
      <c r="I468" s="3">
        <v>61.0</v>
      </c>
      <c r="J468" s="3"/>
      <c r="K468" s="5"/>
      <c r="L468" s="6" t="str">
        <f>IF(D468&lt;&gt;"",VLOOKUP(H468,TABLEITEM,2,FALSE),"")</f>
        <v>PART</v>
      </c>
      <c r="M468" s="6" t="str">
        <f>IF(D468&lt;&gt;"",VLOOKUP(H468,TABLEITEM,3,FALSE),"")</f>
        <v>คานตัวC 70x25T2.0x595</v>
      </c>
      <c r="N468" s="7">
        <f>INSTOCK!$I468*INSTOCK!$K468</f>
        <v>0</v>
      </c>
      <c r="O468" s="2"/>
      <c r="P468" s="2"/>
    </row>
    <row r="469" ht="18.0" hidden="1" customHeight="1">
      <c r="A469" s="1"/>
      <c r="B469" s="3">
        <v>468.0</v>
      </c>
      <c r="C469" s="4">
        <v>43306.0</v>
      </c>
      <c r="D469" s="2" t="s">
        <v>600</v>
      </c>
      <c r="E469" s="2"/>
      <c r="F469" s="3" t="s">
        <v>161</v>
      </c>
      <c r="G469" s="2" t="s">
        <v>456</v>
      </c>
      <c r="H469" s="2" t="s">
        <v>574</v>
      </c>
      <c r="I469" s="3">
        <v>52.0</v>
      </c>
      <c r="J469" s="3"/>
      <c r="K469" s="5"/>
      <c r="L469" s="6" t="str">
        <f>IF(D469&lt;&gt;"",VLOOKUP(H469,TABLEITEM,2,FALSE),"")</f>
        <v>PART</v>
      </c>
      <c r="M469" s="6" t="str">
        <f>IF(D469&lt;&gt;"",VLOOKUP(H469,TABLEITEM,3,FALSE),"")</f>
        <v>คานตัวC 70x25T.2.0x695</v>
      </c>
      <c r="N469" s="7">
        <f>INSTOCK!$I469*INSTOCK!$K469</f>
        <v>0</v>
      </c>
      <c r="O469" s="2"/>
      <c r="P469" s="2"/>
    </row>
    <row r="470" ht="18.0" hidden="1" customHeight="1">
      <c r="A470" s="1"/>
      <c r="B470" s="3">
        <v>469.0</v>
      </c>
      <c r="C470" s="4">
        <v>43311.0</v>
      </c>
      <c r="D470" s="2" t="s">
        <v>606</v>
      </c>
      <c r="E470" s="2"/>
      <c r="F470" s="3" t="s">
        <v>161</v>
      </c>
      <c r="G470" s="2" t="s">
        <v>456</v>
      </c>
      <c r="H470" s="2" t="s">
        <v>484</v>
      </c>
      <c r="I470" s="3">
        <v>134.0</v>
      </c>
      <c r="J470" s="3"/>
      <c r="K470" s="5"/>
      <c r="L470" s="6" t="str">
        <f>IF(D470&lt;&gt;"",VLOOKUP(H470,TABLEITEM,2,FALSE),"")</f>
        <v>PART</v>
      </c>
      <c r="M470" s="6" t="str">
        <f>IF(D470&lt;&gt;"",VLOOKUP(H470,TABLEITEM,3,FALSE),"")</f>
        <v>คานต่อโครง3mm 68x45x720</v>
      </c>
      <c r="N470" s="7">
        <f>INSTOCK!$I470*INSTOCK!$K470</f>
        <v>0</v>
      </c>
      <c r="O470" s="2"/>
      <c r="P470" s="2"/>
    </row>
    <row r="471" ht="18.0" hidden="1" customHeight="1">
      <c r="A471" s="1"/>
      <c r="B471" s="3">
        <v>470.0</v>
      </c>
      <c r="C471" s="4">
        <v>43311.0</v>
      </c>
      <c r="D471" s="2" t="s">
        <v>595</v>
      </c>
      <c r="E471" s="2"/>
      <c r="F471" s="3" t="s">
        <v>161</v>
      </c>
      <c r="G471" s="2" t="s">
        <v>456</v>
      </c>
      <c r="H471" s="2" t="s">
        <v>596</v>
      </c>
      <c r="I471" s="3">
        <v>80.0</v>
      </c>
      <c r="J471" s="3"/>
      <c r="K471" s="5"/>
      <c r="L471" s="6" t="str">
        <f>IF(D471&lt;&gt;"",VLOOKUP(H471,TABLEITEM,2,FALSE),"")</f>
        <v>PART</v>
      </c>
      <c r="M471" s="6" t="str">
        <f>IF(D471&lt;&gt;"",VLOOKUP(H471,TABLEITEM,3,FALSE),"")</f>
        <v>คานฝาหน้า 50x22x620</v>
      </c>
      <c r="N471" s="7">
        <f>INSTOCK!$I471*INSTOCK!$K471</f>
        <v>0</v>
      </c>
      <c r="O471" s="2"/>
      <c r="P471" s="2"/>
    </row>
    <row r="472" ht="18.0" hidden="1" customHeight="1">
      <c r="A472" s="1"/>
      <c r="B472" s="3">
        <v>471.0</v>
      </c>
      <c r="C472" s="4">
        <v>43311.0</v>
      </c>
      <c r="D472" s="2" t="s">
        <v>494</v>
      </c>
      <c r="E472" s="2"/>
      <c r="F472" s="3" t="s">
        <v>161</v>
      </c>
      <c r="G472" s="2" t="s">
        <v>456</v>
      </c>
      <c r="H472" s="2" t="s">
        <v>495</v>
      </c>
      <c r="I472" s="3">
        <v>300.0</v>
      </c>
      <c r="J472" s="3"/>
      <c r="K472" s="5"/>
      <c r="L472" s="6" t="str">
        <f>IF(D472&lt;&gt;"",VLOOKUP(H472,TABLEITEM,2,FALSE),"")</f>
        <v>PART</v>
      </c>
      <c r="M472" s="6" t="str">
        <f>IF(D472&lt;&gt;"",VLOOKUP(H472,TABLEITEM,3,FALSE),"")</f>
        <v>คานเชื่อม800</v>
      </c>
      <c r="N472" s="7">
        <f>INSTOCK!$I472*INSTOCK!$K472</f>
        <v>0</v>
      </c>
      <c r="O472" s="2"/>
      <c r="P472" s="2"/>
    </row>
    <row r="473" ht="18.0" hidden="1" customHeight="1">
      <c r="A473" s="1"/>
      <c r="B473" s="3">
        <v>472.0</v>
      </c>
      <c r="C473" s="4">
        <v>43311.0</v>
      </c>
      <c r="D473" s="2" t="s">
        <v>492</v>
      </c>
      <c r="E473" s="2"/>
      <c r="F473" s="3" t="s">
        <v>161</v>
      </c>
      <c r="G473" s="2" t="s">
        <v>456</v>
      </c>
      <c r="H473" s="2" t="s">
        <v>493</v>
      </c>
      <c r="I473" s="3">
        <v>484.0</v>
      </c>
      <c r="J473" s="3"/>
      <c r="K473" s="5"/>
      <c r="L473" s="6" t="str">
        <f>IF(D473&lt;&gt;"",VLOOKUP(H473,TABLEITEM,2,FALSE),"")</f>
        <v>PART</v>
      </c>
      <c r="M473" s="6" t="str">
        <f>IF(D473&lt;&gt;"",VLOOKUP(H473,TABLEITEM,3,FALSE),"")</f>
        <v>เสาเชื่อม2125x40x50</v>
      </c>
      <c r="N473" s="7">
        <f>INSTOCK!$I473*INSTOCK!$K473</f>
        <v>0</v>
      </c>
      <c r="O473" s="2"/>
      <c r="P473" s="2"/>
    </row>
    <row r="474" ht="18.0" hidden="1" customHeight="1">
      <c r="A474" s="1"/>
      <c r="B474" s="3">
        <v>473.0</v>
      </c>
      <c r="C474" s="4">
        <v>43328.0</v>
      </c>
      <c r="D474" s="2" t="s">
        <v>607</v>
      </c>
      <c r="E474" s="2">
        <v>6.108000961E9</v>
      </c>
      <c r="F474" s="3" t="s">
        <v>161</v>
      </c>
      <c r="G474" s="2" t="s">
        <v>146</v>
      </c>
      <c r="H474" s="2" t="s">
        <v>43</v>
      </c>
      <c r="I474" s="3">
        <v>100.0</v>
      </c>
      <c r="J474" s="3"/>
      <c r="K474" s="5">
        <v>1608.88</v>
      </c>
      <c r="L474" s="6" t="str">
        <f>IF(D474&lt;&gt;"",VLOOKUP(H474,TABLEITEM,2,FALSE),"")</f>
        <v>MAT ST</v>
      </c>
      <c r="M474" s="6" t="str">
        <f>IF(D474&lt;&gt;"",VLOOKUP(H474,TABLEITEM,3,FALSE),"")</f>
        <v>เหล็กแผ่นEG4'x3000T2.0</v>
      </c>
      <c r="N474" s="7">
        <f>INSTOCK!$I474*INSTOCK!$K474</f>
        <v>160888</v>
      </c>
      <c r="O474" s="2"/>
      <c r="P474" s="2"/>
    </row>
    <row r="475" ht="18.0" hidden="1" customHeight="1">
      <c r="A475" s="1"/>
      <c r="B475" s="3">
        <v>474.0</v>
      </c>
      <c r="C475" s="4">
        <v>43329.0</v>
      </c>
      <c r="D475" s="2" t="s">
        <v>608</v>
      </c>
      <c r="E475" s="2">
        <v>6.108000945E9</v>
      </c>
      <c r="F475" s="3" t="s">
        <v>161</v>
      </c>
      <c r="G475" s="2" t="s">
        <v>171</v>
      </c>
      <c r="H475" s="2" t="s">
        <v>22</v>
      </c>
      <c r="I475" s="3">
        <v>100.0</v>
      </c>
      <c r="J475" s="3"/>
      <c r="K475" s="5">
        <v>1412.532</v>
      </c>
      <c r="L475" s="6" t="str">
        <f>IF(D475&lt;&gt;"",VLOOKUP(H475,TABLEITEM,2,FALSE),"")</f>
        <v>MAT ST</v>
      </c>
      <c r="M475" s="6" t="str">
        <f>IF(D475&lt;&gt;"",VLOOKUP(H475,TABLEITEM,3,FALSE),"")</f>
        <v>เหล็กแผ่นขาว4''X3000T2.0</v>
      </c>
      <c r="N475" s="7">
        <f>INSTOCK!$I475*INSTOCK!$K475</f>
        <v>141253.2</v>
      </c>
      <c r="O475" s="2" t="s">
        <v>609</v>
      </c>
      <c r="P475" s="2"/>
    </row>
    <row r="476" ht="18.0" hidden="1" customHeight="1">
      <c r="A476" s="1"/>
      <c r="B476" s="3">
        <v>475.0</v>
      </c>
      <c r="C476" s="4">
        <v>43330.0</v>
      </c>
      <c r="D476" s="2" t="s">
        <v>610</v>
      </c>
      <c r="E476" s="2">
        <v>6.1080009454E10</v>
      </c>
      <c r="F476" s="3" t="s">
        <v>161</v>
      </c>
      <c r="G476" s="2" t="s">
        <v>171</v>
      </c>
      <c r="H476" s="2" t="s">
        <v>29</v>
      </c>
      <c r="I476" s="3">
        <v>81.0</v>
      </c>
      <c r="J476" s="3"/>
      <c r="K476" s="5">
        <v>381.172</v>
      </c>
      <c r="L476" s="6" t="str">
        <f>IF(D476&lt;&gt;"",VLOOKUP(H476,TABLEITEM,2,FALSE),"")</f>
        <v>MAT ST</v>
      </c>
      <c r="M476" s="6" t="str">
        <f>IF(D476&lt;&gt;"",VLOOKUP(H476,TABLEITEM,3,FALSE),"")</f>
        <v>เหล็กแผ่นขาว629x1942T1.6</v>
      </c>
      <c r="N476" s="7">
        <f>INSTOCK!$I476*INSTOCK!$K476</f>
        <v>30874.932</v>
      </c>
      <c r="O476" s="2" t="s">
        <v>611</v>
      </c>
      <c r="P476" s="2"/>
    </row>
    <row r="477" ht="18.0" hidden="1" customHeight="1">
      <c r="A477" s="1"/>
      <c r="B477" s="3">
        <v>476.0</v>
      </c>
      <c r="C477" s="4">
        <v>43330.0</v>
      </c>
      <c r="D477" s="2" t="s">
        <v>610</v>
      </c>
      <c r="E477" s="2">
        <v>6.1080009454E10</v>
      </c>
      <c r="F477" s="3" t="s">
        <v>161</v>
      </c>
      <c r="G477" s="2" t="s">
        <v>171</v>
      </c>
      <c r="H477" s="2" t="s">
        <v>31</v>
      </c>
      <c r="I477" s="3">
        <v>100.0</v>
      </c>
      <c r="J477" s="3"/>
      <c r="K477" s="5">
        <v>501.5</v>
      </c>
      <c r="L477" s="6" t="str">
        <f>IF(D477&lt;&gt;"",VLOOKUP(H477,TABLEITEM,2,FALSE),"")</f>
        <v>MAT ST</v>
      </c>
      <c r="M477" s="6" t="str">
        <f>IF(D477&lt;&gt;"",VLOOKUP(H477,TABLEITEM,3,FALSE),"")</f>
        <v>เหล็กแผ่นขาว829x1942T1.6</v>
      </c>
      <c r="N477" s="7">
        <f>INSTOCK!$I477*INSTOCK!$K477</f>
        <v>50150</v>
      </c>
      <c r="O477" s="2" t="s">
        <v>612</v>
      </c>
      <c r="P477" s="2"/>
    </row>
    <row r="478" ht="18.0" hidden="1" customHeight="1">
      <c r="A478" s="1"/>
      <c r="B478" s="3">
        <v>477.0</v>
      </c>
      <c r="C478" s="4">
        <v>43330.0</v>
      </c>
      <c r="D478" s="2" t="s">
        <v>610</v>
      </c>
      <c r="E478" s="2">
        <v>6.1080009454E10</v>
      </c>
      <c r="F478" s="3" t="s">
        <v>161</v>
      </c>
      <c r="G478" s="2" t="s">
        <v>171</v>
      </c>
      <c r="H478" s="2" t="s">
        <v>35</v>
      </c>
      <c r="I478" s="3">
        <v>100.0</v>
      </c>
      <c r="J478" s="3"/>
      <c r="K478" s="5">
        <v>554.0</v>
      </c>
      <c r="L478" s="6" t="str">
        <f>IF(D478&lt;&gt;"",VLOOKUP(H478,TABLEITEM,2,FALSE),"")</f>
        <v>MAT ST</v>
      </c>
      <c r="M478" s="6" t="str">
        <f>IF(D478&lt;&gt;"",VLOOKUP(H478,TABLEITEM,3,FALSE),"")</f>
        <v>เหล็กแผ่นขาว829x2142T1.6</v>
      </c>
      <c r="N478" s="7">
        <f>INSTOCK!$I478*INSTOCK!$K478</f>
        <v>55400</v>
      </c>
      <c r="O478" s="2" t="s">
        <v>613</v>
      </c>
      <c r="P478" s="2"/>
    </row>
    <row r="479" ht="18.0" hidden="1" customHeight="1">
      <c r="A479" s="1"/>
      <c r="B479" s="3">
        <v>478.0</v>
      </c>
      <c r="C479" s="4">
        <v>43330.0</v>
      </c>
      <c r="D479" s="2" t="s">
        <v>610</v>
      </c>
      <c r="E479" s="2">
        <v>6.1080009454E10</v>
      </c>
      <c r="F479" s="3" t="s">
        <v>161</v>
      </c>
      <c r="G479" s="2" t="s">
        <v>171</v>
      </c>
      <c r="H479" s="2" t="s">
        <v>33</v>
      </c>
      <c r="I479" s="3">
        <v>100.0</v>
      </c>
      <c r="J479" s="3"/>
      <c r="K479" s="5">
        <v>419.5</v>
      </c>
      <c r="L479" s="6" t="str">
        <f>IF(D479&lt;&gt;"",VLOOKUP(H479,TABLEITEM,2,FALSE),"")</f>
        <v>MAT ST</v>
      </c>
      <c r="M479" s="6" t="str">
        <f>IF(D479&lt;&gt;"",VLOOKUP(H479,TABLEITEM,3,FALSE),"")</f>
        <v>เหล็กแผ่นขาว629x2142T1.6</v>
      </c>
      <c r="N479" s="7">
        <f>INSTOCK!$I479*INSTOCK!$K479</f>
        <v>41950</v>
      </c>
      <c r="O479" s="2" t="s">
        <v>614</v>
      </c>
      <c r="P479" s="2"/>
    </row>
    <row r="480" ht="18.0" hidden="1" customHeight="1">
      <c r="A480" s="1"/>
      <c r="B480" s="3">
        <v>479.0</v>
      </c>
      <c r="C480" s="4">
        <v>43330.0</v>
      </c>
      <c r="D480" s="2" t="s">
        <v>610</v>
      </c>
      <c r="E480" s="2">
        <v>6.1080009454E10</v>
      </c>
      <c r="F480" s="3" t="s">
        <v>161</v>
      </c>
      <c r="G480" s="2" t="s">
        <v>171</v>
      </c>
      <c r="H480" s="2" t="s">
        <v>27</v>
      </c>
      <c r="I480" s="3">
        <v>171.0</v>
      </c>
      <c r="J480" s="3"/>
      <c r="K480" s="5">
        <v>297.076</v>
      </c>
      <c r="L480" s="6" t="str">
        <f>IF(D480&lt;&gt;"",VLOOKUP(H480,TABLEITEM,2,FALSE),"")</f>
        <v>MAT ST</v>
      </c>
      <c r="M480" s="6" t="str">
        <f>IF(D480&lt;&gt;"",VLOOKUP(H480,TABLEITEM,3,FALSE),"")</f>
        <v>เหล็กแผ่นขาว390x2440T1.6</v>
      </c>
      <c r="N480" s="7">
        <f>INSTOCK!$I480*INSTOCK!$K480</f>
        <v>50799.996</v>
      </c>
      <c r="O480" s="2" t="s">
        <v>615</v>
      </c>
      <c r="P480" s="2"/>
    </row>
    <row r="481" ht="18.0" hidden="1" customHeight="1">
      <c r="A481" s="1"/>
      <c r="B481" s="3">
        <v>480.0</v>
      </c>
      <c r="C481" s="4">
        <v>43330.0</v>
      </c>
      <c r="D481" s="2" t="s">
        <v>610</v>
      </c>
      <c r="E481" s="2">
        <v>6.1080009454E10</v>
      </c>
      <c r="F481" s="3" t="s">
        <v>161</v>
      </c>
      <c r="G481" s="2" t="s">
        <v>171</v>
      </c>
      <c r="H481" s="2" t="s">
        <v>28</v>
      </c>
      <c r="I481" s="3">
        <v>172.0</v>
      </c>
      <c r="J481" s="3"/>
      <c r="K481" s="5">
        <v>449.854</v>
      </c>
      <c r="L481" s="6" t="str">
        <f>IF(D481&lt;&gt;"",VLOOKUP(H481,TABLEITEM,2,FALSE),"")</f>
        <v>MAT ST</v>
      </c>
      <c r="M481" s="6" t="str">
        <f>IF(D481&lt;&gt;"",VLOOKUP(H481,TABLEITEM,3,FALSE),"")</f>
        <v>เหล็กแผ่นขาว590x2440T1.6</v>
      </c>
      <c r="N481" s="7">
        <f>INSTOCK!$I481*INSTOCK!$K481</f>
        <v>77374.888</v>
      </c>
      <c r="O481" s="2" t="s">
        <v>616</v>
      </c>
      <c r="P481" s="2"/>
    </row>
    <row r="482" ht="18.0" hidden="1" customHeight="1">
      <c r="A482" s="1"/>
      <c r="B482" s="3">
        <v>481.0</v>
      </c>
      <c r="C482" s="4">
        <v>43330.0</v>
      </c>
      <c r="D482" s="2" t="s">
        <v>610</v>
      </c>
      <c r="E482" s="2">
        <v>6.1080009454E10</v>
      </c>
      <c r="F482" s="3" t="s">
        <v>161</v>
      </c>
      <c r="G482" s="2" t="s">
        <v>171</v>
      </c>
      <c r="H482" s="2" t="s">
        <v>301</v>
      </c>
      <c r="I482" s="3">
        <v>91.0</v>
      </c>
      <c r="J482" s="3"/>
      <c r="K482" s="5">
        <v>25.0</v>
      </c>
      <c r="L482" s="6" t="str">
        <f>IF(D482&lt;&gt;"",VLOOKUP(H482,TABLEITEM,2,FALSE),"")</f>
        <v>MAT ST</v>
      </c>
      <c r="M482" s="6" t="str">
        <f>IF(D482&lt;&gt;"",VLOOKUP(H482,TABLEITEM,3,FALSE),"")</f>
        <v>เหล็กแผ่นขาวT1.6(เศษ)</v>
      </c>
      <c r="N482" s="7">
        <f>INSTOCK!$I482*INSTOCK!$K482</f>
        <v>2275</v>
      </c>
      <c r="O482" s="2" t="s">
        <v>617</v>
      </c>
      <c r="P482" s="2"/>
    </row>
    <row r="483" ht="18.0" hidden="1" customHeight="1">
      <c r="A483" s="1"/>
      <c r="B483" s="3">
        <v>482.0</v>
      </c>
      <c r="C483" s="38">
        <v>43318.0</v>
      </c>
      <c r="D483" s="27" t="s">
        <v>604</v>
      </c>
      <c r="E483" s="27"/>
      <c r="F483" s="23" t="s">
        <v>161</v>
      </c>
      <c r="G483" s="27" t="s">
        <v>456</v>
      </c>
      <c r="H483" s="27" t="s">
        <v>605</v>
      </c>
      <c r="I483" s="23">
        <v>125.0</v>
      </c>
      <c r="J483" s="23"/>
      <c r="K483" s="39"/>
      <c r="L483" s="6" t="str">
        <f>IF(D483&lt;&gt;"",VLOOKUP(H483,TABLEITEM,2,FALSE),"")</f>
        <v>PART</v>
      </c>
      <c r="M483" s="6" t="str">
        <f>IF(D483&lt;&gt;"",VLOOKUP(H483,TABLEITEM,3,FALSE),"")</f>
        <v>คานต่อโครง 80x45x3mmx260</v>
      </c>
      <c r="N483" s="7">
        <f>INSTOCK!$I483*INSTOCK!$K483</f>
        <v>0</v>
      </c>
      <c r="O483" s="27"/>
      <c r="P483" s="2"/>
    </row>
    <row r="484" ht="18.0" hidden="1" customHeight="1">
      <c r="A484" s="1"/>
      <c r="B484" s="3">
        <v>483.0</v>
      </c>
      <c r="C484" s="4">
        <v>43318.0</v>
      </c>
      <c r="D484" s="2" t="s">
        <v>602</v>
      </c>
      <c r="E484" s="2"/>
      <c r="F484" s="3" t="s">
        <v>161</v>
      </c>
      <c r="G484" s="2" t="s">
        <v>456</v>
      </c>
      <c r="H484" s="2" t="s">
        <v>603</v>
      </c>
      <c r="I484" s="3">
        <v>90.0</v>
      </c>
      <c r="J484" s="3"/>
      <c r="K484" s="5"/>
      <c r="L484" s="6" t="str">
        <f>IF(D484&lt;&gt;"",VLOOKUP(H484,TABLEITEM,2,FALSE),"")</f>
        <v>PART</v>
      </c>
      <c r="M484" s="6" t="str">
        <f>IF(D484&lt;&gt;"",VLOOKUP(H484,TABLEITEM,3,FALSE),"")</f>
        <v>คานต่อโครง3mm 68x45x260</v>
      </c>
      <c r="N484" s="7">
        <f>INSTOCK!$I484*INSTOCK!$K484</f>
        <v>0</v>
      </c>
      <c r="O484" s="2"/>
      <c r="P484" s="2"/>
    </row>
    <row r="485" ht="18.0" hidden="1" customHeight="1">
      <c r="A485" s="1"/>
      <c r="B485" s="3">
        <v>484.0</v>
      </c>
      <c r="C485" s="4">
        <v>43340.0</v>
      </c>
      <c r="D485" s="2" t="s">
        <v>618</v>
      </c>
      <c r="E485" s="2"/>
      <c r="F485" s="3" t="s">
        <v>161</v>
      </c>
      <c r="G485" s="2" t="s">
        <v>456</v>
      </c>
      <c r="H485" s="2" t="s">
        <v>493</v>
      </c>
      <c r="I485" s="3">
        <v>270.0</v>
      </c>
      <c r="J485" s="3"/>
      <c r="K485" s="5"/>
      <c r="L485" s="6" t="str">
        <f>IF(D485&lt;&gt;"",VLOOKUP(H485,TABLEITEM,2,FALSE),"")</f>
        <v>PART</v>
      </c>
      <c r="M485" s="6" t="str">
        <f>IF(D485&lt;&gt;"",VLOOKUP(H485,TABLEITEM,3,FALSE),"")</f>
        <v>เสาเชื่อม2125x40x50</v>
      </c>
      <c r="N485" s="7">
        <f>INSTOCK!$I485*INSTOCK!$K485</f>
        <v>0</v>
      </c>
      <c r="O485" s="2"/>
      <c r="P485" s="2"/>
    </row>
    <row r="486" ht="18.0" hidden="1" customHeight="1">
      <c r="A486" s="1"/>
      <c r="B486" s="3">
        <v>485.0</v>
      </c>
      <c r="C486" s="4">
        <v>43318.0</v>
      </c>
      <c r="D486" s="2" t="s">
        <v>619</v>
      </c>
      <c r="E486" s="2"/>
      <c r="F486" s="3" t="s">
        <v>161</v>
      </c>
      <c r="G486" s="2" t="s">
        <v>456</v>
      </c>
      <c r="H486" s="2" t="s">
        <v>459</v>
      </c>
      <c r="I486" s="3">
        <v>160.0</v>
      </c>
      <c r="J486" s="3"/>
      <c r="K486" s="5"/>
      <c r="L486" s="6" t="str">
        <f>IF(D486&lt;&gt;"",VLOOKUP(H486,TABLEITEM,2,FALSE),"")</f>
        <v>PART</v>
      </c>
      <c r="M486" s="6" t="str">
        <f>IF(D486&lt;&gt;"",VLOOKUP(H486,TABLEITEM,3,FALSE),"")</f>
        <v>คานต่อโครง3mm 68x45x520</v>
      </c>
      <c r="N486" s="7">
        <f>INSTOCK!$I486*INSTOCK!$K486</f>
        <v>0</v>
      </c>
      <c r="O486" s="2"/>
      <c r="P486" s="2"/>
    </row>
    <row r="487" ht="18.0" hidden="1" customHeight="1">
      <c r="A487" s="1"/>
      <c r="B487" s="3">
        <v>486.0</v>
      </c>
      <c r="C487" s="4">
        <v>43318.0</v>
      </c>
      <c r="D487" s="2" t="s">
        <v>619</v>
      </c>
      <c r="E487" s="2"/>
      <c r="F487" s="3" t="s">
        <v>161</v>
      </c>
      <c r="G487" s="2" t="s">
        <v>456</v>
      </c>
      <c r="H487" s="2" t="s">
        <v>620</v>
      </c>
      <c r="I487" s="3">
        <v>99.0</v>
      </c>
      <c r="J487" s="3"/>
      <c r="K487" s="5"/>
      <c r="L487" s="6" t="str">
        <f>IF(D487&lt;&gt;"",VLOOKUP(H487,TABLEITEM,2,FALSE),"")</f>
        <v>PART</v>
      </c>
      <c r="M487" s="6" t="str">
        <f>IF(D487&lt;&gt;"",VLOOKUP(H487,TABLEITEM,3,FALSE),"")</f>
        <v>คานต่อโครง3mm 68x45x620</v>
      </c>
      <c r="N487" s="7">
        <f>INSTOCK!$I487*INSTOCK!$K487</f>
        <v>0</v>
      </c>
      <c r="O487" s="2"/>
      <c r="P487" s="2"/>
    </row>
    <row r="488" ht="18.0" hidden="1" customHeight="1">
      <c r="A488" s="1"/>
      <c r="B488" s="3">
        <v>487.0</v>
      </c>
      <c r="C488" s="4">
        <v>43318.0</v>
      </c>
      <c r="D488" s="2" t="s">
        <v>619</v>
      </c>
      <c r="E488" s="2"/>
      <c r="F488" s="3" t="s">
        <v>161</v>
      </c>
      <c r="G488" s="2" t="s">
        <v>456</v>
      </c>
      <c r="H488" s="2" t="s">
        <v>621</v>
      </c>
      <c r="I488" s="3">
        <v>110.0</v>
      </c>
      <c r="J488" s="3"/>
      <c r="K488" s="5"/>
      <c r="L488" s="6" t="str">
        <f>IF(D488&lt;&gt;"",VLOOKUP(H488,TABLEITEM,2,FALSE),"")</f>
        <v>PART</v>
      </c>
      <c r="M488" s="6" t="str">
        <f>IF(D488&lt;&gt;"",VLOOKUP(H488,TABLEITEM,3,FALSE),"")</f>
        <v>คานต่อโครง 80x45x3mmx620</v>
      </c>
      <c r="N488" s="7">
        <f>INSTOCK!$I488*INSTOCK!$K488</f>
        <v>0</v>
      </c>
      <c r="O488" s="2"/>
      <c r="P488" s="2"/>
    </row>
    <row r="489" ht="18.0" hidden="1" customHeight="1">
      <c r="A489" s="1"/>
      <c r="B489" s="3">
        <v>488.0</v>
      </c>
      <c r="C489" s="4">
        <v>43318.0</v>
      </c>
      <c r="D489" s="2" t="s">
        <v>622</v>
      </c>
      <c r="E489" s="2"/>
      <c r="F489" s="3" t="s">
        <v>161</v>
      </c>
      <c r="G489" s="2" t="s">
        <v>456</v>
      </c>
      <c r="H489" s="2" t="s">
        <v>548</v>
      </c>
      <c r="I489" s="3">
        <v>82.0</v>
      </c>
      <c r="J489" s="3"/>
      <c r="K489" s="5"/>
      <c r="L489" s="6" t="str">
        <f>IF(D489&lt;&gt;"",VLOOKUP(H489,TABLEITEM,2,FALSE),"")</f>
        <v>PART</v>
      </c>
      <c r="M489" s="6" t="str">
        <f>IF(D489&lt;&gt;"",VLOOKUP(H489,TABLEITEM,3,FALSE),"")</f>
        <v>คานต่อโครง 80x45x3mmx520</v>
      </c>
      <c r="N489" s="7">
        <f>INSTOCK!$I489*INSTOCK!$K489</f>
        <v>0</v>
      </c>
      <c r="O489" s="2"/>
      <c r="P489" s="2"/>
    </row>
    <row r="490" ht="18.0" hidden="1" customHeight="1">
      <c r="A490" s="1"/>
      <c r="B490" s="3">
        <v>489.0</v>
      </c>
      <c r="C490" s="4">
        <v>43340.0</v>
      </c>
      <c r="D490" s="2" t="s">
        <v>622</v>
      </c>
      <c r="E490" s="2"/>
      <c r="F490" s="3" t="s">
        <v>161</v>
      </c>
      <c r="G490" s="2" t="s">
        <v>456</v>
      </c>
      <c r="H490" s="2" t="s">
        <v>548</v>
      </c>
      <c r="I490" s="3">
        <v>82.0</v>
      </c>
      <c r="J490" s="3"/>
      <c r="K490" s="5"/>
      <c r="L490" s="6" t="str">
        <f>IF(D490&lt;&gt;"",VLOOKUP(H490,TABLEITEM,2,FALSE),"")</f>
        <v>PART</v>
      </c>
      <c r="M490" s="6" t="str">
        <f>IF(D490&lt;&gt;"",VLOOKUP(H490,TABLEITEM,3,FALSE),"")</f>
        <v>คานต่อโครง 80x45x3mmx520</v>
      </c>
      <c r="N490" s="7">
        <f>INSTOCK!$I490*INSTOCK!$K490</f>
        <v>0</v>
      </c>
      <c r="O490" s="2"/>
      <c r="P490" s="2"/>
    </row>
    <row r="491" ht="18.0" hidden="1" customHeight="1">
      <c r="A491" s="1"/>
      <c r="B491" s="3">
        <v>490.0</v>
      </c>
      <c r="C491" s="4">
        <v>43340.0</v>
      </c>
      <c r="D491" s="2" t="s">
        <v>606</v>
      </c>
      <c r="E491" s="2"/>
      <c r="F491" s="3" t="s">
        <v>161</v>
      </c>
      <c r="G491" s="2" t="s">
        <v>456</v>
      </c>
      <c r="H491" s="2" t="s">
        <v>623</v>
      </c>
      <c r="I491" s="3">
        <v>150.0</v>
      </c>
      <c r="J491" s="3"/>
      <c r="K491" s="5"/>
      <c r="L491" s="6" t="str">
        <f>IF(D491&lt;&gt;"",VLOOKUP(H491,TABLEITEM,2,FALSE),"")</f>
        <v>PART</v>
      </c>
      <c r="M491" s="6" t="str">
        <f>IF(D491&lt;&gt;"",VLOOKUP(H491,TABLEITEM,3,FALSE),"")</f>
        <v>คานต่อโครง3mm 68x45x920</v>
      </c>
      <c r="N491" s="7">
        <f>INSTOCK!$I491*INSTOCK!$K491</f>
        <v>0</v>
      </c>
      <c r="O491" s="2"/>
      <c r="P491" s="2"/>
    </row>
    <row r="492" ht="18.0" hidden="1" customHeight="1">
      <c r="A492" s="1"/>
      <c r="B492" s="3">
        <v>491.0</v>
      </c>
      <c r="C492" s="4">
        <v>43340.0</v>
      </c>
      <c r="D492" s="2" t="s">
        <v>606</v>
      </c>
      <c r="E492" s="2"/>
      <c r="F492" s="3" t="s">
        <v>161</v>
      </c>
      <c r="G492" s="2" t="s">
        <v>456</v>
      </c>
      <c r="H492" s="2" t="s">
        <v>624</v>
      </c>
      <c r="I492" s="3">
        <v>18.0</v>
      </c>
      <c r="J492" s="3"/>
      <c r="K492" s="5"/>
      <c r="L492" s="6" t="str">
        <f>IF(D492&lt;&gt;"",VLOOKUP(H492,TABLEITEM,2,FALSE),"")</f>
        <v>PART</v>
      </c>
      <c r="M492" s="6" t="str">
        <f>IF(D492&lt;&gt;"",VLOOKUP(H492,TABLEITEM,3,FALSE),"")</f>
        <v>คานต่อโครง 80x45x3mmx920</v>
      </c>
      <c r="N492" s="7">
        <f>INSTOCK!$I492*INSTOCK!$K492</f>
        <v>0</v>
      </c>
      <c r="O492" s="2"/>
      <c r="P492" s="2"/>
    </row>
    <row r="493" ht="18.0" hidden="1" customHeight="1">
      <c r="A493" s="1"/>
      <c r="B493" s="3">
        <v>492.0</v>
      </c>
      <c r="C493" s="4">
        <v>43340.0</v>
      </c>
      <c r="D493" s="2" t="s">
        <v>625</v>
      </c>
      <c r="E493" s="2"/>
      <c r="F493" s="3" t="s">
        <v>161</v>
      </c>
      <c r="G493" s="2" t="s">
        <v>456</v>
      </c>
      <c r="H493" s="2" t="s">
        <v>626</v>
      </c>
      <c r="I493" s="3">
        <v>89.0</v>
      </c>
      <c r="J493" s="3"/>
      <c r="K493" s="5"/>
      <c r="L493" s="6" t="str">
        <f>IF(D493&lt;&gt;"",VLOOKUP(H493,TABLEITEM,2,FALSE),"")</f>
        <v>PART</v>
      </c>
      <c r="M493" s="6" t="str">
        <f>IF(D493&lt;&gt;"",VLOOKUP(H493,TABLEITEM,3,FALSE),"")</f>
        <v>คานเจ 2รู 65x32x454</v>
      </c>
      <c r="N493" s="7">
        <f>INSTOCK!$I493*INSTOCK!$K493</f>
        <v>0</v>
      </c>
      <c r="O493" s="2"/>
      <c r="P493" s="2"/>
    </row>
    <row r="494" ht="18.0" hidden="1" customHeight="1">
      <c r="A494" s="1"/>
      <c r="B494" s="3">
        <v>493.0</v>
      </c>
      <c r="C494" s="4">
        <v>43340.0</v>
      </c>
      <c r="D494" s="2" t="s">
        <v>625</v>
      </c>
      <c r="E494" s="2"/>
      <c r="F494" s="3" t="s">
        <v>161</v>
      </c>
      <c r="G494" s="2" t="s">
        <v>456</v>
      </c>
      <c r="H494" s="2" t="s">
        <v>477</v>
      </c>
      <c r="I494" s="3">
        <v>157.0</v>
      </c>
      <c r="J494" s="3"/>
      <c r="K494" s="5"/>
      <c r="L494" s="6" t="str">
        <f>IF(D494&lt;&gt;"",VLOOKUP(H494,TABLEITEM,2,FALSE),"")</f>
        <v>PART</v>
      </c>
      <c r="M494" s="6" t="str">
        <f>IF(D494&lt;&gt;"",VLOOKUP(H494,TABLEITEM,3,FALSE),"")</f>
        <v>คานเจ 2รู 65x32x654</v>
      </c>
      <c r="N494" s="7">
        <f>INSTOCK!$I494*INSTOCK!$K494</f>
        <v>0</v>
      </c>
      <c r="O494" s="2"/>
      <c r="P494" s="2"/>
    </row>
    <row r="495" ht="18.0" hidden="1" customHeight="1">
      <c r="A495" s="1"/>
      <c r="B495" s="3">
        <v>494.0</v>
      </c>
      <c r="C495" s="4">
        <v>43340.0</v>
      </c>
      <c r="D495" s="2" t="s">
        <v>625</v>
      </c>
      <c r="E495" s="2"/>
      <c r="F495" s="3" t="s">
        <v>161</v>
      </c>
      <c r="G495" s="2" t="s">
        <v>456</v>
      </c>
      <c r="H495" s="2" t="s">
        <v>627</v>
      </c>
      <c r="I495" s="3">
        <v>70.0</v>
      </c>
      <c r="J495" s="3"/>
      <c r="K495" s="5"/>
      <c r="L495" s="6" t="str">
        <f>IF(D495&lt;&gt;"",VLOOKUP(H495,TABLEITEM,2,FALSE),"")</f>
        <v>PART</v>
      </c>
      <c r="M495" s="6" t="str">
        <f>IF(D495&lt;&gt;"",VLOOKUP(H495,TABLEITEM,3,FALSE),"")</f>
        <v>คานเจ 2รู 65x32x604</v>
      </c>
      <c r="N495" s="7">
        <f>INSTOCK!$I495*INSTOCK!$K495</f>
        <v>0</v>
      </c>
      <c r="O495" s="2"/>
      <c r="P495" s="2"/>
    </row>
    <row r="496" ht="18.0" hidden="1" customHeight="1">
      <c r="A496" s="1"/>
      <c r="B496" s="3">
        <v>495.0</v>
      </c>
      <c r="C496" s="4">
        <v>43340.0</v>
      </c>
      <c r="D496" s="2" t="s">
        <v>628</v>
      </c>
      <c r="E496" s="2"/>
      <c r="F496" s="3" t="s">
        <v>161</v>
      </c>
      <c r="G496" s="2" t="s">
        <v>456</v>
      </c>
      <c r="H496" s="2" t="s">
        <v>534</v>
      </c>
      <c r="I496" s="3">
        <v>110.0</v>
      </c>
      <c r="J496" s="3"/>
      <c r="K496" s="5"/>
      <c r="L496" s="6" t="str">
        <f>IF(D496&lt;&gt;"",VLOOKUP(H496,TABLEITEM,2,FALSE),"")</f>
        <v>PART</v>
      </c>
      <c r="M496" s="6" t="str">
        <f>IF(D496&lt;&gt;"",VLOOKUP(H496,TABLEITEM,3,FALSE),"")</f>
        <v>ตัวแซดยึดแผ่นพื้น 60x695</v>
      </c>
      <c r="N496" s="7">
        <f>INSTOCK!$I496*INSTOCK!$K496</f>
        <v>0</v>
      </c>
      <c r="O496" s="2"/>
      <c r="P496" s="2"/>
    </row>
    <row r="497" ht="18.0" hidden="1" customHeight="1">
      <c r="A497" s="1"/>
      <c r="B497" s="3">
        <v>496.0</v>
      </c>
      <c r="C497" s="4">
        <v>43340.0</v>
      </c>
      <c r="D497" s="2" t="s">
        <v>628</v>
      </c>
      <c r="E497" s="2"/>
      <c r="F497" s="3" t="s">
        <v>161</v>
      </c>
      <c r="G497" s="2" t="s">
        <v>456</v>
      </c>
      <c r="H497" s="2" t="s">
        <v>629</v>
      </c>
      <c r="I497" s="3">
        <v>150.0</v>
      </c>
      <c r="J497" s="3"/>
      <c r="K497" s="5"/>
      <c r="L497" s="6" t="str">
        <f>IF(D497&lt;&gt;"",VLOOKUP(H497,TABLEITEM,2,FALSE),"")</f>
        <v>PART</v>
      </c>
      <c r="M497" s="6" t="str">
        <f>IF(D497&lt;&gt;"",VLOOKUP(H497,TABLEITEM,3,FALSE),"")</f>
        <v>ตัวแซดยึดแผ่นพื้น 60x895</v>
      </c>
      <c r="N497" s="7">
        <f>INSTOCK!$I497*INSTOCK!$K497</f>
        <v>0</v>
      </c>
      <c r="O497" s="2"/>
      <c r="P497" s="2"/>
    </row>
    <row r="498" ht="18.0" hidden="1" customHeight="1">
      <c r="A498" s="1"/>
      <c r="B498" s="3">
        <v>497.0</v>
      </c>
      <c r="C498" s="4">
        <v>43340.0</v>
      </c>
      <c r="D498" s="2" t="s">
        <v>630</v>
      </c>
      <c r="E498" s="2"/>
      <c r="F498" s="3" t="s">
        <v>161</v>
      </c>
      <c r="G498" s="2" t="s">
        <v>456</v>
      </c>
      <c r="H498" s="2" t="s">
        <v>487</v>
      </c>
      <c r="I498" s="3">
        <v>65.0</v>
      </c>
      <c r="J498" s="3"/>
      <c r="K498" s="5"/>
      <c r="L498" s="6" t="str">
        <f>IF(D498&lt;&gt;"",VLOOKUP(H498,TABLEITEM,2,FALSE),"")</f>
        <v>PART</v>
      </c>
      <c r="M498" s="6" t="str">
        <f>IF(D498&lt;&gt;"",VLOOKUP(H498,TABLEITEM,3,FALSE),"")</f>
        <v>กระเป๋าเอกสารรุ่น 316x224</v>
      </c>
      <c r="N498" s="7">
        <f>INSTOCK!$I498*INSTOCK!$K498</f>
        <v>0</v>
      </c>
      <c r="O498" s="2"/>
      <c r="P498" s="2"/>
    </row>
    <row r="499" ht="18.0" hidden="1" customHeight="1">
      <c r="A499" s="1"/>
      <c r="B499" s="3">
        <v>498.0</v>
      </c>
      <c r="C499" s="4">
        <v>43340.0</v>
      </c>
      <c r="D499" s="2" t="s">
        <v>631</v>
      </c>
      <c r="E499" s="2"/>
      <c r="F499" s="3" t="s">
        <v>161</v>
      </c>
      <c r="G499" s="2" t="s">
        <v>456</v>
      </c>
      <c r="H499" s="2" t="s">
        <v>461</v>
      </c>
      <c r="I499" s="3">
        <v>10.0</v>
      </c>
      <c r="J499" s="3"/>
      <c r="K499" s="5"/>
      <c r="L499" s="6" t="str">
        <f>IF(D499&lt;&gt;"",VLOOKUP(H499,TABLEITEM,2,FALSE),"")</f>
        <v>PART</v>
      </c>
      <c r="M499" s="6" t="str">
        <f>IF(D499&lt;&gt;"",VLOOKUP(H499,TABLEITEM,3,FALSE),"")</f>
        <v>ฝารูเปเปอร์ 2101x797เกล็ด</v>
      </c>
      <c r="N499" s="7">
        <f>INSTOCK!$I499*INSTOCK!$K499</f>
        <v>0</v>
      </c>
      <c r="O499" s="2"/>
      <c r="P499" s="2"/>
    </row>
    <row r="500" ht="18.0" hidden="1" customHeight="1">
      <c r="A500" s="1"/>
      <c r="B500" s="3">
        <v>499.0</v>
      </c>
      <c r="C500" s="4">
        <v>43340.0</v>
      </c>
      <c r="D500" s="2" t="s">
        <v>632</v>
      </c>
      <c r="E500" s="2"/>
      <c r="F500" s="3" t="s">
        <v>161</v>
      </c>
      <c r="G500" s="2" t="s">
        <v>456</v>
      </c>
      <c r="H500" s="2" t="s">
        <v>542</v>
      </c>
      <c r="I500" s="3">
        <v>30.0</v>
      </c>
      <c r="J500" s="3"/>
      <c r="K500" s="5"/>
      <c r="L500" s="6" t="str">
        <f>IF(D500&lt;&gt;"",VLOOKUP(H500,TABLEITEM,2,FALSE),"")</f>
        <v>PART</v>
      </c>
      <c r="M500" s="6" t="str">
        <f>IF(D500&lt;&gt;"",VLOOKUP(H500,TABLEITEM,3,FALSE),"")</f>
        <v>ฝาข้าง-ฝาหลัง 1875x770</v>
      </c>
      <c r="N500" s="7">
        <f>INSTOCK!$I500*INSTOCK!$K500</f>
        <v>0</v>
      </c>
      <c r="O500" s="2"/>
      <c r="P500" s="2"/>
    </row>
    <row r="501" ht="18.0" hidden="1" customHeight="1">
      <c r="A501" s="1"/>
      <c r="B501" s="3">
        <v>500.0</v>
      </c>
      <c r="C501" s="4">
        <v>43320.0</v>
      </c>
      <c r="D501" s="2" t="s">
        <v>633</v>
      </c>
      <c r="E501" s="2"/>
      <c r="F501" s="3" t="s">
        <v>161</v>
      </c>
      <c r="G501" s="2" t="s">
        <v>456</v>
      </c>
      <c r="H501" s="2" t="s">
        <v>537</v>
      </c>
      <c r="I501" s="3">
        <v>48.0</v>
      </c>
      <c r="J501" s="3"/>
      <c r="K501" s="5"/>
      <c r="L501" s="6" t="str">
        <f>IF(D501&lt;&gt;"",VLOOKUP(H501,TABLEITEM,2,FALSE),"")</f>
        <v>PART</v>
      </c>
      <c r="M501" s="6" t="str">
        <f>IF(D501&lt;&gt;"",VLOOKUP(H501,TABLEITEM,3,FALSE),"")</f>
        <v>หมวกตู้ 60x975</v>
      </c>
      <c r="N501" s="7">
        <f>INSTOCK!$I501*INSTOCK!$K501</f>
        <v>0</v>
      </c>
      <c r="O501" s="2"/>
      <c r="P501" s="2"/>
    </row>
    <row r="502" ht="18.0" hidden="1" customHeight="1">
      <c r="A502" s="1"/>
      <c r="B502" s="3">
        <v>501.0</v>
      </c>
      <c r="C502" s="4">
        <v>43320.0</v>
      </c>
      <c r="D502" s="2" t="s">
        <v>634</v>
      </c>
      <c r="E502" s="2"/>
      <c r="F502" s="3" t="s">
        <v>161</v>
      </c>
      <c r="G502" s="2" t="s">
        <v>456</v>
      </c>
      <c r="H502" s="2" t="s">
        <v>635</v>
      </c>
      <c r="I502" s="3">
        <v>65.0</v>
      </c>
      <c r="J502" s="3"/>
      <c r="K502" s="5"/>
      <c r="L502" s="6" t="str">
        <f>IF(D502&lt;&gt;"",VLOOKUP(H502,TABLEITEM,2,FALSE),"")</f>
        <v>PART</v>
      </c>
      <c r="M502" s="6" t="str">
        <f>IF(D502&lt;&gt;"",VLOOKUP(H502,TABLEITEM,3,FALSE),"")</f>
        <v>แผ่นสไลค์ 150x70</v>
      </c>
      <c r="N502" s="7">
        <f>INSTOCK!$I502*INSTOCK!$K502</f>
        <v>0</v>
      </c>
      <c r="O502" s="2"/>
      <c r="P502" s="2"/>
    </row>
    <row r="503" ht="18.0" hidden="1" customHeight="1">
      <c r="A503" s="1"/>
      <c r="B503" s="3">
        <v>502.0</v>
      </c>
      <c r="C503" s="4">
        <v>43318.0</v>
      </c>
      <c r="D503" s="2" t="s">
        <v>636</v>
      </c>
      <c r="E503" s="2"/>
      <c r="F503" s="3" t="s">
        <v>161</v>
      </c>
      <c r="G503" s="2" t="s">
        <v>456</v>
      </c>
      <c r="H503" s="2" t="s">
        <v>637</v>
      </c>
      <c r="I503" s="3">
        <v>77.0</v>
      </c>
      <c r="J503" s="3"/>
      <c r="K503" s="5"/>
      <c r="L503" s="6" t="str">
        <f>IF(D503&lt;&gt;"",VLOOKUP(H503,TABLEITEM,2,FALSE),"")</f>
        <v>PART</v>
      </c>
      <c r="M503" s="6" t="str">
        <f>IF(D503&lt;&gt;"",VLOOKUP(H503,TABLEITEM,3,FALSE),"")</f>
        <v>ฉากรับกุญแจ 40x30x1963</v>
      </c>
      <c r="N503" s="7">
        <f>INSTOCK!$I503*INSTOCK!$K503</f>
        <v>0</v>
      </c>
      <c r="O503" s="2"/>
      <c r="P503" s="2"/>
    </row>
    <row r="504" ht="18.0" hidden="1" customHeight="1">
      <c r="A504" s="1"/>
      <c r="B504" s="3">
        <v>503.0</v>
      </c>
      <c r="C504" s="4">
        <v>43322.0</v>
      </c>
      <c r="D504" s="2" t="s">
        <v>638</v>
      </c>
      <c r="E504" s="2"/>
      <c r="F504" s="3" t="s">
        <v>161</v>
      </c>
      <c r="G504" s="2" t="s">
        <v>456</v>
      </c>
      <c r="H504" s="2" t="s">
        <v>489</v>
      </c>
      <c r="I504" s="3">
        <v>51.0</v>
      </c>
      <c r="J504" s="3"/>
      <c r="K504" s="5"/>
      <c r="L504" s="6" t="str">
        <f>IF(D504&lt;&gt;"",VLOOKUP(H504,TABLEITEM,2,FALSE),"")</f>
        <v>PART</v>
      </c>
      <c r="M504" s="6" t="str">
        <f>IF(D504&lt;&gt;"",VLOOKUP(H504,TABLEITEM,3,FALSE),"")</f>
        <v>คานตัวC 70x25T3.0x520</v>
      </c>
      <c r="N504" s="7">
        <f>INSTOCK!$I504*INSTOCK!$K504</f>
        <v>0</v>
      </c>
      <c r="O504" s="2"/>
      <c r="P504" s="2"/>
    </row>
    <row r="505" ht="18.0" hidden="1" customHeight="1">
      <c r="A505" s="1"/>
      <c r="B505" s="3">
        <v>504.0</v>
      </c>
      <c r="C505" s="4">
        <v>43323.0</v>
      </c>
      <c r="D505" s="2" t="s">
        <v>639</v>
      </c>
      <c r="E505" s="2"/>
      <c r="F505" s="3" t="s">
        <v>161</v>
      </c>
      <c r="G505" s="2" t="s">
        <v>456</v>
      </c>
      <c r="H505" s="2" t="s">
        <v>491</v>
      </c>
      <c r="I505" s="3">
        <v>90.0</v>
      </c>
      <c r="J505" s="3"/>
      <c r="K505" s="5"/>
      <c r="L505" s="6" t="str">
        <f>IF(D505&lt;&gt;"",VLOOKUP(H505,TABLEITEM,2,FALSE),"")</f>
        <v>PART</v>
      </c>
      <c r="M505" s="6" t="str">
        <f>IF(D505&lt;&gt;"",VLOOKUP(H505,TABLEITEM,3,FALSE),"")</f>
        <v>เสาเสริม 40x50x1988</v>
      </c>
      <c r="N505" s="7">
        <f>INSTOCK!$I505*INSTOCK!$K505</f>
        <v>0</v>
      </c>
      <c r="O505" s="2"/>
      <c r="P505" s="2"/>
    </row>
    <row r="506" ht="18.0" hidden="1" customHeight="1">
      <c r="A506" s="1"/>
      <c r="B506" s="3">
        <v>505.0</v>
      </c>
      <c r="C506" s="4">
        <v>43321.0</v>
      </c>
      <c r="D506" s="2" t="s">
        <v>640</v>
      </c>
      <c r="E506" s="2"/>
      <c r="F506" s="3" t="s">
        <v>161</v>
      </c>
      <c r="G506" s="2" t="s">
        <v>456</v>
      </c>
      <c r="H506" s="2" t="s">
        <v>641</v>
      </c>
      <c r="I506" s="3">
        <v>39.0</v>
      </c>
      <c r="J506" s="3"/>
      <c r="K506" s="5"/>
      <c r="L506" s="6" t="str">
        <f>IF(D506&lt;&gt;"",VLOOKUP(H506,TABLEITEM,2,FALSE),"")</f>
        <v>PART</v>
      </c>
      <c r="M506" s="6" t="str">
        <f>IF(D506&lt;&gt;"",VLOOKUP(H506,TABLEITEM,3,FALSE),"")</f>
        <v>คานเจปรับระดับ654x68x35T3.0</v>
      </c>
      <c r="N506" s="7">
        <f>INSTOCK!$I506*INSTOCK!$K506</f>
        <v>0</v>
      </c>
      <c r="O506" s="2"/>
      <c r="P506" s="2"/>
    </row>
    <row r="507" ht="18.0" hidden="1" customHeight="1">
      <c r="A507" s="1"/>
      <c r="B507" s="3">
        <v>506.0</v>
      </c>
      <c r="C507" s="4">
        <v>43326.0</v>
      </c>
      <c r="D507" s="2" t="s">
        <v>642</v>
      </c>
      <c r="E507" s="2"/>
      <c r="F507" s="3" t="s">
        <v>161</v>
      </c>
      <c r="G507" s="2" t="s">
        <v>456</v>
      </c>
      <c r="H507" s="2" t="s">
        <v>486</v>
      </c>
      <c r="I507" s="3">
        <v>39.0</v>
      </c>
      <c r="J507" s="3"/>
      <c r="K507" s="5"/>
      <c r="L507" s="6" t="str">
        <f>IF(D507&lt;&gt;"",VLOOKUP(H507,TABLEITEM,2,FALSE),"")</f>
        <v>PART</v>
      </c>
      <c r="M507" s="6" t="str">
        <f>IF(D507&lt;&gt;"",VLOOKUP(H507,TABLEITEM,3,FALSE),"")</f>
        <v>กระเป๋าเอกสารรุ่น 316x45</v>
      </c>
      <c r="N507" s="7">
        <f>INSTOCK!$I507*INSTOCK!$K507</f>
        <v>0</v>
      </c>
      <c r="O507" s="2"/>
      <c r="P507" s="2"/>
    </row>
    <row r="508" ht="18.0" hidden="1" customHeight="1">
      <c r="A508" s="1"/>
      <c r="B508" s="3">
        <v>507.0</v>
      </c>
      <c r="C508" s="4">
        <v>43340.0</v>
      </c>
      <c r="D508" s="2" t="s">
        <v>643</v>
      </c>
      <c r="E508" s="2"/>
      <c r="F508" s="3" t="s">
        <v>161</v>
      </c>
      <c r="G508" s="2" t="s">
        <v>456</v>
      </c>
      <c r="H508" s="2" t="s">
        <v>495</v>
      </c>
      <c r="I508" s="3">
        <v>270.0</v>
      </c>
      <c r="J508" s="3"/>
      <c r="K508" s="5"/>
      <c r="L508" s="6" t="str">
        <f>IF(D508&lt;&gt;"",VLOOKUP(H508,TABLEITEM,2,FALSE),"")</f>
        <v>PART</v>
      </c>
      <c r="M508" s="6" t="str">
        <f>IF(D508&lt;&gt;"",VLOOKUP(H508,TABLEITEM,3,FALSE),"")</f>
        <v>คานเชื่อม800</v>
      </c>
      <c r="N508" s="7">
        <f>INSTOCK!$I508*INSTOCK!$K508</f>
        <v>0</v>
      </c>
      <c r="O508" s="2"/>
      <c r="P508" s="2"/>
    </row>
    <row r="509" ht="18.0" hidden="1" customHeight="1">
      <c r="A509" s="1"/>
      <c r="B509" s="3">
        <v>508.0</v>
      </c>
      <c r="C509" s="4">
        <v>43341.0</v>
      </c>
      <c r="D509" s="2" t="s">
        <v>643</v>
      </c>
      <c r="E509" s="2"/>
      <c r="F509" s="3" t="s">
        <v>161</v>
      </c>
      <c r="G509" s="2" t="s">
        <v>456</v>
      </c>
      <c r="H509" s="2" t="s">
        <v>644</v>
      </c>
      <c r="I509" s="3">
        <v>65.0</v>
      </c>
      <c r="J509" s="3"/>
      <c r="K509" s="5"/>
      <c r="L509" s="6" t="str">
        <f>IF(D509&lt;&gt;"",VLOOKUP(H509,TABLEITEM,2,FALSE),"")</f>
        <v>PART</v>
      </c>
      <c r="M509" s="6" t="str">
        <f>IF(D509&lt;&gt;"",VLOOKUP(H509,TABLEITEM,3,FALSE),"")</f>
        <v>เสาเชื่อม 2425X40X50</v>
      </c>
      <c r="N509" s="7">
        <f>INSTOCK!$I509*INSTOCK!$K509</f>
        <v>0</v>
      </c>
      <c r="O509" s="2"/>
      <c r="P509" s="2"/>
    </row>
    <row r="510" ht="18.0" hidden="1" customHeight="1">
      <c r="A510" s="1"/>
      <c r="B510" s="3">
        <v>509.0</v>
      </c>
      <c r="C510" s="4">
        <v>43342.0</v>
      </c>
      <c r="D510" s="2" t="s">
        <v>645</v>
      </c>
      <c r="E510" s="2"/>
      <c r="F510" s="3" t="s">
        <v>161</v>
      </c>
      <c r="G510" s="2" t="s">
        <v>456</v>
      </c>
      <c r="H510" s="2" t="s">
        <v>578</v>
      </c>
      <c r="I510" s="3">
        <v>34.0</v>
      </c>
      <c r="J510" s="3"/>
      <c r="K510" s="5"/>
      <c r="L510" s="6" t="str">
        <f>IF(D510&lt;&gt;"",VLOOKUP(H510,TABLEITEM,2,FALSE),"")</f>
        <v>PART</v>
      </c>
      <c r="M510" s="6" t="str">
        <f>IF(D510&lt;&gt;"",VLOOKUP(H510,TABLEITEM,3,FALSE),"")</f>
        <v>คานเจ 45x32x254</v>
      </c>
      <c r="N510" s="7">
        <f>INSTOCK!$I510*INSTOCK!$K510</f>
        <v>0</v>
      </c>
      <c r="O510" s="2"/>
      <c r="P510" s="2"/>
    </row>
    <row r="511" ht="18.0" hidden="1" customHeight="1">
      <c r="A511" s="1"/>
      <c r="B511" s="3">
        <v>510.0</v>
      </c>
      <c r="C511" s="4">
        <v>43342.0</v>
      </c>
      <c r="D511" s="2" t="s">
        <v>645</v>
      </c>
      <c r="E511" s="2"/>
      <c r="F511" s="3" t="s">
        <v>161</v>
      </c>
      <c r="G511" s="2" t="s">
        <v>456</v>
      </c>
      <c r="H511" s="2" t="s">
        <v>571</v>
      </c>
      <c r="I511" s="3">
        <v>76.0</v>
      </c>
      <c r="J511" s="3"/>
      <c r="K511" s="5"/>
      <c r="L511" s="6" t="str">
        <f>IF(D511&lt;&gt;"",VLOOKUP(H511,TABLEITEM,2,FALSE),"")</f>
        <v>PART</v>
      </c>
      <c r="M511" s="6" t="str">
        <f>IF(D511&lt;&gt;"",VLOOKUP(H511,TABLEITEM,3,FALSE),"")</f>
        <v>เสาเสริม 38x50x2mmx504</v>
      </c>
      <c r="N511" s="7">
        <f>INSTOCK!$I511*INSTOCK!$K511</f>
        <v>0</v>
      </c>
      <c r="O511" s="2"/>
      <c r="P511" s="2"/>
    </row>
    <row r="512" ht="18.0" hidden="1" customHeight="1">
      <c r="A512" s="1"/>
      <c r="B512" s="3">
        <v>511.0</v>
      </c>
      <c r="C512" s="4">
        <v>43318.0</v>
      </c>
      <c r="D512" s="2" t="s">
        <v>590</v>
      </c>
      <c r="E512" s="2"/>
      <c r="F512" s="3" t="s">
        <v>161</v>
      </c>
      <c r="G512" s="2" t="s">
        <v>456</v>
      </c>
      <c r="H512" s="2" t="s">
        <v>491</v>
      </c>
      <c r="I512" s="3">
        <v>270.0</v>
      </c>
      <c r="J512" s="3"/>
      <c r="K512" s="5"/>
      <c r="L512" s="6" t="str">
        <f>IF(D512&lt;&gt;"",VLOOKUP(H512,TABLEITEM,2,FALSE),"")</f>
        <v>PART</v>
      </c>
      <c r="M512" s="6" t="str">
        <f>IF(D512&lt;&gt;"",VLOOKUP(H512,TABLEITEM,3,FALSE),"")</f>
        <v>เสาเสริม 40x50x1988</v>
      </c>
      <c r="N512" s="7">
        <f>INSTOCK!$I512*INSTOCK!$K512</f>
        <v>0</v>
      </c>
      <c r="O512" s="2"/>
      <c r="P512" s="2"/>
    </row>
    <row r="513" ht="18.0" hidden="1" customHeight="1">
      <c r="A513" s="1"/>
      <c r="B513" s="3">
        <v>512.0</v>
      </c>
      <c r="C513" s="4">
        <v>43318.0</v>
      </c>
      <c r="D513" s="2" t="s">
        <v>590</v>
      </c>
      <c r="E513" s="2"/>
      <c r="F513" s="3" t="s">
        <v>161</v>
      </c>
      <c r="G513" s="2" t="s">
        <v>456</v>
      </c>
      <c r="H513" s="2" t="s">
        <v>511</v>
      </c>
      <c r="I513" s="3">
        <v>90.0</v>
      </c>
      <c r="J513" s="3"/>
      <c r="K513" s="5"/>
      <c r="L513" s="6" t="str">
        <f>IF(D513&lt;&gt;"",VLOOKUP(H513,TABLEITEM,2,FALSE),"")</f>
        <v>PART</v>
      </c>
      <c r="M513" s="6" t="str">
        <f>IF(D513&lt;&gt;"",VLOOKUP(H513,TABLEITEM,3,FALSE),"")</f>
        <v>เสาเสริม 40x50x1788</v>
      </c>
      <c r="N513" s="7">
        <f>INSTOCK!$I513*INSTOCK!$K513</f>
        <v>0</v>
      </c>
      <c r="O513" s="2"/>
      <c r="P513" s="2"/>
    </row>
    <row r="514" ht="18.0" hidden="1" customHeight="1">
      <c r="A514" s="1"/>
      <c r="B514" s="3">
        <v>513.0</v>
      </c>
      <c r="C514" s="4">
        <v>43326.0</v>
      </c>
      <c r="D514" s="2" t="s">
        <v>646</v>
      </c>
      <c r="E514" s="2"/>
      <c r="F514" s="3" t="s">
        <v>161</v>
      </c>
      <c r="G514" s="2" t="s">
        <v>456</v>
      </c>
      <c r="H514" s="2" t="s">
        <v>539</v>
      </c>
      <c r="I514" s="3">
        <v>30.0</v>
      </c>
      <c r="J514" s="3"/>
      <c r="K514" s="5"/>
      <c r="L514" s="6" t="str">
        <f>IF(D514&lt;&gt;"",VLOOKUP(H514,TABLEITEM,2,FALSE),"")</f>
        <v>PART</v>
      </c>
      <c r="M514" s="6" t="str">
        <f>IF(D514&lt;&gt;"",VLOOKUP(H514,TABLEITEM,3,FALSE),"")</f>
        <v>แพลทยึดอุปกรณ์595x250</v>
      </c>
      <c r="N514" s="7">
        <f>INSTOCK!$I514*INSTOCK!$K514</f>
        <v>0</v>
      </c>
      <c r="O514" s="2"/>
      <c r="P514" s="2"/>
    </row>
    <row r="515" ht="18.0" hidden="1" customHeight="1">
      <c r="A515" s="1"/>
      <c r="B515" s="3">
        <v>514.0</v>
      </c>
      <c r="C515" s="4">
        <v>43326.0</v>
      </c>
      <c r="D515" s="2" t="s">
        <v>646</v>
      </c>
      <c r="E515" s="2"/>
      <c r="F515" s="3" t="s">
        <v>161</v>
      </c>
      <c r="G515" s="2" t="s">
        <v>456</v>
      </c>
      <c r="H515" s="2" t="s">
        <v>540</v>
      </c>
      <c r="I515" s="3">
        <v>21.0</v>
      </c>
      <c r="J515" s="3"/>
      <c r="K515" s="5"/>
      <c r="L515" s="6" t="str">
        <f>IF(D515&lt;&gt;"",VLOOKUP(H515,TABLEITEM,2,FALSE),"")</f>
        <v>PART</v>
      </c>
      <c r="M515" s="6" t="str">
        <f>IF(D515&lt;&gt;"",VLOOKUP(H515,TABLEITEM,3,FALSE),"")</f>
        <v>แพลทยึดอุปกรณ์595x690</v>
      </c>
      <c r="N515" s="7">
        <f>INSTOCK!$I515*INSTOCK!$K515</f>
        <v>0</v>
      </c>
      <c r="O515" s="2"/>
      <c r="P515" s="2"/>
    </row>
    <row r="516" ht="18.0" hidden="1" customHeight="1">
      <c r="A516" s="1"/>
      <c r="B516" s="3">
        <v>515.0</v>
      </c>
      <c r="C516" s="4">
        <v>43326.0</v>
      </c>
      <c r="D516" s="2" t="s">
        <v>647</v>
      </c>
      <c r="E516" s="2"/>
      <c r="F516" s="3" t="s">
        <v>161</v>
      </c>
      <c r="G516" s="2" t="s">
        <v>456</v>
      </c>
      <c r="H516" s="2" t="s">
        <v>648</v>
      </c>
      <c r="I516" s="3">
        <v>46.0</v>
      </c>
      <c r="J516" s="3"/>
      <c r="K516" s="5"/>
      <c r="L516" s="6" t="str">
        <f>IF(D516&lt;&gt;"",VLOOKUP(H516,TABLEITEM,2,FALSE),"")</f>
        <v>PART</v>
      </c>
      <c r="M516" s="6" t="str">
        <f>IF(D516&lt;&gt;"",VLOOKUP(H516,TABLEITEM,3,FALSE),"")</f>
        <v>เพลทเบกเกอร์ 275x280</v>
      </c>
      <c r="N516" s="7">
        <f>INSTOCK!$I516*INSTOCK!$K516</f>
        <v>0</v>
      </c>
      <c r="O516" s="2"/>
      <c r="P516" s="2"/>
    </row>
    <row r="517" ht="18.0" hidden="1" customHeight="1">
      <c r="A517" s="1"/>
      <c r="B517" s="3">
        <v>516.0</v>
      </c>
      <c r="C517" s="4">
        <v>43326.0</v>
      </c>
      <c r="D517" s="2" t="s">
        <v>647</v>
      </c>
      <c r="E517" s="2"/>
      <c r="F517" s="3" t="s">
        <v>161</v>
      </c>
      <c r="G517" s="2" t="s">
        <v>456</v>
      </c>
      <c r="H517" s="2" t="s">
        <v>649</v>
      </c>
      <c r="I517" s="3">
        <v>20.0</v>
      </c>
      <c r="J517" s="3"/>
      <c r="K517" s="5"/>
      <c r="L517" s="6" t="str">
        <f>IF(D517&lt;&gt;"",VLOOKUP(H517,TABLEITEM,2,FALSE),"")</f>
        <v>PART</v>
      </c>
      <c r="M517" s="6" t="str">
        <f>IF(D517&lt;&gt;"",VLOOKUP(H517,TABLEITEM,3,FALSE),"")</f>
        <v>เพลทเบกเกอร์ 275x220</v>
      </c>
      <c r="N517" s="7">
        <f>INSTOCK!$I517*INSTOCK!$K517</f>
        <v>0</v>
      </c>
      <c r="O517" s="2"/>
      <c r="P517" s="2"/>
    </row>
    <row r="518" ht="18.0" hidden="1" customHeight="1">
      <c r="A518" s="1"/>
      <c r="B518" s="3">
        <v>517.0</v>
      </c>
      <c r="C518" s="4">
        <v>43326.0</v>
      </c>
      <c r="D518" s="2" t="s">
        <v>650</v>
      </c>
      <c r="E518" s="2"/>
      <c r="F518" s="3" t="s">
        <v>161</v>
      </c>
      <c r="G518" s="2" t="s">
        <v>456</v>
      </c>
      <c r="H518" s="2" t="s">
        <v>651</v>
      </c>
      <c r="I518" s="3">
        <v>50.0</v>
      </c>
      <c r="J518" s="3"/>
      <c r="K518" s="5"/>
      <c r="L518" s="6" t="str">
        <f>IF(D518&lt;&gt;"",VLOOKUP(H518,TABLEITEM,2,FALSE),"")</f>
        <v>PART</v>
      </c>
      <c r="M518" s="6" t="str">
        <f>IF(D518&lt;&gt;"",VLOOKUP(H518,TABLEITEM,3,FALSE),"")</f>
        <v>แผ่นสไลค์ 350x100</v>
      </c>
      <c r="N518" s="7">
        <f>INSTOCK!$I518*INSTOCK!$K518</f>
        <v>0</v>
      </c>
      <c r="O518" s="2"/>
      <c r="P518" s="2"/>
    </row>
    <row r="519" ht="18.0" hidden="1" customHeight="1">
      <c r="A519" s="1"/>
      <c r="B519" s="3">
        <v>518.0</v>
      </c>
      <c r="C519" s="4">
        <v>43326.0</v>
      </c>
      <c r="D519" s="2" t="s">
        <v>642</v>
      </c>
      <c r="E519" s="2"/>
      <c r="F519" s="3" t="s">
        <v>161</v>
      </c>
      <c r="G519" s="2" t="s">
        <v>456</v>
      </c>
      <c r="H519" s="2" t="s">
        <v>652</v>
      </c>
      <c r="I519" s="3">
        <v>125.0</v>
      </c>
      <c r="J519" s="3"/>
      <c r="K519" s="5"/>
      <c r="L519" s="6" t="str">
        <f>IF(D519&lt;&gt;"",VLOOKUP(H519,TABLEITEM,2,FALSE),"")</f>
        <v>PART</v>
      </c>
      <c r="M519" s="6" t="str">
        <f>IF(D519&lt;&gt;"",VLOOKUP(H519,TABLEITEM,3,FALSE),"")</f>
        <v>ขายึดเทอมีนอล146x136</v>
      </c>
      <c r="N519" s="7">
        <f>INSTOCK!$I519*INSTOCK!$K519</f>
        <v>0</v>
      </c>
      <c r="O519" s="2"/>
      <c r="P519" s="2"/>
    </row>
    <row r="520" ht="18.0" hidden="1" customHeight="1">
      <c r="A520" s="1"/>
      <c r="B520" s="3">
        <v>519.0</v>
      </c>
      <c r="C520" s="4">
        <v>43326.0</v>
      </c>
      <c r="D520" s="2" t="s">
        <v>642</v>
      </c>
      <c r="E520" s="2"/>
      <c r="F520" s="3" t="s">
        <v>161</v>
      </c>
      <c r="G520" s="2" t="s">
        <v>456</v>
      </c>
      <c r="H520" s="2" t="s">
        <v>486</v>
      </c>
      <c r="I520" s="3">
        <v>39.0</v>
      </c>
      <c r="J520" s="3"/>
      <c r="K520" s="5"/>
      <c r="L520" s="6" t="str">
        <f>IF(D520&lt;&gt;"",VLOOKUP(H520,TABLEITEM,2,FALSE),"")</f>
        <v>PART</v>
      </c>
      <c r="M520" s="6" t="str">
        <f>IF(D520&lt;&gt;"",VLOOKUP(H520,TABLEITEM,3,FALSE),"")</f>
        <v>กระเป๋าเอกสารรุ่น 316x45</v>
      </c>
      <c r="N520" s="7">
        <f>INSTOCK!$I520*INSTOCK!$K520</f>
        <v>0</v>
      </c>
      <c r="O520" s="2"/>
      <c r="P520" s="2"/>
    </row>
    <row r="521" ht="18.0" hidden="1" customHeight="1">
      <c r="A521" s="1"/>
      <c r="B521" s="3">
        <v>520.0</v>
      </c>
      <c r="C521" s="4">
        <v>43318.0</v>
      </c>
      <c r="D521" s="2" t="s">
        <v>597</v>
      </c>
      <c r="E521" s="2"/>
      <c r="F521" s="3" t="s">
        <v>161</v>
      </c>
      <c r="G521" s="2" t="s">
        <v>456</v>
      </c>
      <c r="H521" s="2" t="s">
        <v>598</v>
      </c>
      <c r="I521" s="3">
        <v>20.0</v>
      </c>
      <c r="J521" s="3"/>
      <c r="K521" s="5"/>
      <c r="L521" s="6" t="str">
        <f>IF(D521&lt;&gt;"",VLOOKUP(H521,TABLEITEM,2,FALSE),"")</f>
        <v>PART</v>
      </c>
      <c r="M521" s="6" t="str">
        <f>IF(D521&lt;&gt;"",VLOOKUP(H521,TABLEITEM,3,FALSE),"")</f>
        <v>ฝาข้าง-ฝาหลัง 2075x470</v>
      </c>
      <c r="N521" s="7">
        <f>INSTOCK!$I521*INSTOCK!$K521</f>
        <v>0</v>
      </c>
      <c r="O521" s="2"/>
      <c r="P521" s="2"/>
    </row>
    <row r="522" ht="18.0" hidden="1" customHeight="1">
      <c r="A522" s="1"/>
      <c r="B522" s="3">
        <v>521.0</v>
      </c>
      <c r="C522" s="4">
        <v>43318.0</v>
      </c>
      <c r="D522" s="2" t="s">
        <v>597</v>
      </c>
      <c r="E522" s="2"/>
      <c r="F522" s="3" t="s">
        <v>161</v>
      </c>
      <c r="G522" s="2" t="s">
        <v>456</v>
      </c>
      <c r="H522" s="2" t="s">
        <v>653</v>
      </c>
      <c r="I522" s="3">
        <v>20.0</v>
      </c>
      <c r="J522" s="3"/>
      <c r="K522" s="5"/>
      <c r="L522" s="6" t="str">
        <f>IF(D522&lt;&gt;"",VLOOKUP(H522,TABLEITEM,2,FALSE),"")</f>
        <v>PART</v>
      </c>
      <c r="M522" s="6" t="str">
        <f>IF(D522&lt;&gt;"",VLOOKUP(H522,TABLEITEM,3,FALSE),"")</f>
        <v>ฝาข้าง-ฝาหลัง 2075x970</v>
      </c>
      <c r="N522" s="7">
        <f>INSTOCK!$I522*INSTOCK!$K522</f>
        <v>0</v>
      </c>
      <c r="O522" s="2"/>
      <c r="P522" s="2"/>
    </row>
    <row r="523" ht="18.0" hidden="1" customHeight="1">
      <c r="A523" s="1"/>
      <c r="B523" s="3">
        <v>522.0</v>
      </c>
      <c r="C523" s="4">
        <v>43342.0</v>
      </c>
      <c r="D523" s="2" t="s">
        <v>645</v>
      </c>
      <c r="E523" s="2"/>
      <c r="F523" s="3" t="s">
        <v>161</v>
      </c>
      <c r="G523" s="2" t="s">
        <v>456</v>
      </c>
      <c r="H523" s="2" t="s">
        <v>654</v>
      </c>
      <c r="I523" s="3">
        <v>25.0</v>
      </c>
      <c r="J523" s="3"/>
      <c r="K523" s="5"/>
      <c r="L523" s="6" t="str">
        <f>IF(D523&lt;&gt;"",VLOOKUP(H523,TABLEITEM,2,FALSE),"")</f>
        <v>PART</v>
      </c>
      <c r="M523" s="6" t="str">
        <f>IF(D523&lt;&gt;"",VLOOKUP(H523,TABLEITEM,3,FALSE),"")</f>
        <v>คานต่อโครงพิเศษ 60 x60x420</v>
      </c>
      <c r="N523" s="7">
        <f>INSTOCK!$I523*INSTOCK!$K523</f>
        <v>0</v>
      </c>
      <c r="O523" s="2"/>
      <c r="P523" s="2"/>
    </row>
    <row r="524" ht="18.0" hidden="1" customHeight="1">
      <c r="A524" s="1"/>
      <c r="B524" s="3">
        <v>523.0</v>
      </c>
      <c r="C524" s="4">
        <v>43342.0</v>
      </c>
      <c r="D524" s="2" t="s">
        <v>645</v>
      </c>
      <c r="E524" s="2"/>
      <c r="F524" s="3" t="s">
        <v>161</v>
      </c>
      <c r="G524" s="2" t="s">
        <v>456</v>
      </c>
      <c r="H524" s="2" t="s">
        <v>655</v>
      </c>
      <c r="I524" s="3">
        <v>37.0</v>
      </c>
      <c r="J524" s="3"/>
      <c r="K524" s="5"/>
      <c r="L524" s="6" t="str">
        <f>IF(D524&lt;&gt;"",VLOOKUP(H524,TABLEITEM,2,FALSE),"")</f>
        <v>PART</v>
      </c>
      <c r="M524" s="6" t="str">
        <f>IF(D524&lt;&gt;"",VLOOKUP(H524,TABLEITEM,3,FALSE),"")</f>
        <v>คานต่อโครงพิเศษ 60 x60x520</v>
      </c>
      <c r="N524" s="7">
        <f>INSTOCK!$I524*INSTOCK!$K524</f>
        <v>0</v>
      </c>
      <c r="O524" s="2"/>
      <c r="P524" s="2"/>
    </row>
    <row r="525" ht="18.0" hidden="1" customHeight="1">
      <c r="A525" s="1"/>
      <c r="B525" s="3">
        <v>524.0</v>
      </c>
      <c r="C525" s="4">
        <v>43326.0</v>
      </c>
      <c r="D525" s="2" t="s">
        <v>591</v>
      </c>
      <c r="E525" s="2"/>
      <c r="F525" s="3" t="s">
        <v>161</v>
      </c>
      <c r="G525" s="2" t="s">
        <v>456</v>
      </c>
      <c r="H525" s="2" t="s">
        <v>656</v>
      </c>
      <c r="I525" s="3">
        <v>15.0</v>
      </c>
      <c r="J525" s="3"/>
      <c r="K525" s="5"/>
      <c r="L525" s="6" t="str">
        <f>IF(D525&lt;&gt;"",VLOOKUP(H525,TABLEITEM,2,FALSE),"")</f>
        <v>PART</v>
      </c>
      <c r="M525" s="6" t="str">
        <f>IF(D525&lt;&gt;"",VLOOKUP(H525,TABLEITEM,3,FALSE),"")</f>
        <v>แพลทยึดอุปกรณ์695x690</v>
      </c>
      <c r="N525" s="7">
        <f>INSTOCK!$I525*INSTOCK!$K525</f>
        <v>0</v>
      </c>
      <c r="O525" s="2"/>
      <c r="P525" s="2"/>
    </row>
    <row r="526" ht="18.0" hidden="1" customHeight="1">
      <c r="A526" s="1"/>
      <c r="B526" s="3">
        <v>525.0</v>
      </c>
      <c r="C526" s="4">
        <v>43148.0</v>
      </c>
      <c r="D526" s="2" t="s">
        <v>657</v>
      </c>
      <c r="E526" s="2"/>
      <c r="F526" s="3" t="s">
        <v>161</v>
      </c>
      <c r="G526" s="2" t="s">
        <v>456</v>
      </c>
      <c r="H526" s="2" t="s">
        <v>620</v>
      </c>
      <c r="I526" s="3">
        <v>412.0</v>
      </c>
      <c r="J526" s="3"/>
      <c r="K526" s="5"/>
      <c r="L526" s="6" t="str">
        <f>IF(D526&lt;&gt;"",VLOOKUP(H526,TABLEITEM,2,FALSE),"")</f>
        <v>PART</v>
      </c>
      <c r="M526" s="6" t="str">
        <f>IF(D526&lt;&gt;"",VLOOKUP(H526,TABLEITEM,3,FALSE),"")</f>
        <v>คานต่อโครง3mm 68x45x620</v>
      </c>
      <c r="N526" s="7">
        <f>INSTOCK!$I526*INSTOCK!$K526</f>
        <v>0</v>
      </c>
      <c r="O526" s="2"/>
      <c r="P526" s="2"/>
    </row>
    <row r="527" ht="18.0" hidden="1" customHeight="1">
      <c r="A527" s="1"/>
      <c r="B527" s="3">
        <v>526.0</v>
      </c>
      <c r="C527" s="4">
        <v>43151.0</v>
      </c>
      <c r="D527" s="2" t="s">
        <v>657</v>
      </c>
      <c r="E527" s="2"/>
      <c r="F527" s="3" t="s">
        <v>161</v>
      </c>
      <c r="G527" s="2" t="s">
        <v>456</v>
      </c>
      <c r="H527" s="2" t="s">
        <v>624</v>
      </c>
      <c r="I527" s="3">
        <v>21.0</v>
      </c>
      <c r="J527" s="3"/>
      <c r="K527" s="5"/>
      <c r="L527" s="6" t="str">
        <f>IF(D527&lt;&gt;"",VLOOKUP(H527,TABLEITEM,2,FALSE),"")</f>
        <v>PART</v>
      </c>
      <c r="M527" s="6" t="str">
        <f>IF(D527&lt;&gt;"",VLOOKUP(H527,TABLEITEM,3,FALSE),"")</f>
        <v>คานต่อโครง 80x45x3mmx920</v>
      </c>
      <c r="N527" s="7">
        <f>INSTOCK!$I527*INSTOCK!$K527</f>
        <v>0</v>
      </c>
      <c r="O527" s="2"/>
      <c r="P527" s="2"/>
    </row>
    <row r="528" ht="18.0" hidden="1" customHeight="1">
      <c r="A528" s="1"/>
      <c r="B528" s="3">
        <v>527.0</v>
      </c>
      <c r="C528" s="4">
        <v>43343.0</v>
      </c>
      <c r="D528" s="2" t="s">
        <v>658</v>
      </c>
      <c r="E528" s="2"/>
      <c r="F528" s="3" t="s">
        <v>161</v>
      </c>
      <c r="G528" s="2" t="s">
        <v>456</v>
      </c>
      <c r="H528" s="2" t="s">
        <v>659</v>
      </c>
      <c r="I528" s="3">
        <v>32.0</v>
      </c>
      <c r="J528" s="3"/>
      <c r="K528" s="5"/>
      <c r="L528" s="6" t="str">
        <f>IF(D528&lt;&gt;"",VLOOKUP(H528,TABLEITEM,2,FALSE),"")</f>
        <v>PART</v>
      </c>
      <c r="M528" s="6" t="str">
        <f>IF(D528&lt;&gt;"",VLOOKUP(H528,TABLEITEM,3,FALSE),"")</f>
        <v>คานรับลูกถ้วย 50x40x420</v>
      </c>
      <c r="N528" s="7">
        <f>INSTOCK!$I528*INSTOCK!$K528</f>
        <v>0</v>
      </c>
      <c r="O528" s="2"/>
      <c r="P528" s="2"/>
    </row>
    <row r="529" ht="18.0" hidden="1" customHeight="1">
      <c r="A529" s="1"/>
      <c r="B529" s="3">
        <v>528.0</v>
      </c>
      <c r="C529" s="4">
        <v>43343.0</v>
      </c>
      <c r="D529" s="2" t="s">
        <v>660</v>
      </c>
      <c r="E529" s="2"/>
      <c r="F529" s="3" t="s">
        <v>161</v>
      </c>
      <c r="G529" s="2" t="s">
        <v>456</v>
      </c>
      <c r="H529" s="2" t="s">
        <v>523</v>
      </c>
      <c r="I529" s="3">
        <v>200.0</v>
      </c>
      <c r="J529" s="3"/>
      <c r="K529" s="5"/>
      <c r="L529" s="6" t="str">
        <f>IF(D529&lt;&gt;"",VLOOKUP(H529,TABLEITEM,2,FALSE),"")</f>
        <v>PART</v>
      </c>
      <c r="M529" s="6" t="str">
        <f>IF(D529&lt;&gt;"",VLOOKUP(H529,TABLEITEM,3,FALSE),"")</f>
        <v>คานเชื่อม1000</v>
      </c>
      <c r="N529" s="7">
        <f>INSTOCK!$I529*INSTOCK!$K529</f>
        <v>0</v>
      </c>
      <c r="O529" s="2"/>
      <c r="P529" s="2"/>
    </row>
    <row r="530" ht="18.0" hidden="1" customHeight="1">
      <c r="A530" s="1"/>
      <c r="B530" s="3">
        <v>529.0</v>
      </c>
      <c r="C530" s="4">
        <v>43334.0</v>
      </c>
      <c r="D530" s="2" t="s">
        <v>661</v>
      </c>
      <c r="E530" s="2">
        <v>6.108000988E9</v>
      </c>
      <c r="F530" s="3" t="s">
        <v>662</v>
      </c>
      <c r="G530" s="2" t="s">
        <v>146</v>
      </c>
      <c r="H530" s="2" t="s">
        <v>82</v>
      </c>
      <c r="I530" s="3">
        <v>18.0</v>
      </c>
      <c r="J530" s="11" t="s">
        <v>78</v>
      </c>
      <c r="K530" s="5">
        <v>425.0</v>
      </c>
      <c r="L530" s="10" t="str">
        <f>IF(D530&lt;&gt;"",VLOOKUP(H530,TABLEITEM,2,FALSE),"")</f>
        <v>MAT ST</v>
      </c>
      <c r="M530" s="10" t="str">
        <f>IF(D530&lt;&gt;"",VLOOKUP(H530,TABLEITEM,3,FALSE),"")</f>
        <v>เหล็กรางน้ำ U' 6</v>
      </c>
      <c r="N530" s="7">
        <f>INSTOCK!$I530*INSTOCK!$K530</f>
        <v>7650</v>
      </c>
      <c r="O530" s="2"/>
      <c r="P530" s="2"/>
    </row>
    <row r="531" ht="18.0" hidden="1" customHeight="1">
      <c r="A531" s="1"/>
      <c r="B531" s="3">
        <v>530.0</v>
      </c>
      <c r="C531" s="4">
        <v>43344.0</v>
      </c>
      <c r="D531" s="2" t="s">
        <v>663</v>
      </c>
      <c r="E531" s="2">
        <v>6.108001061E9</v>
      </c>
      <c r="F531" s="3" t="s">
        <v>664</v>
      </c>
      <c r="G531" s="2" t="s">
        <v>153</v>
      </c>
      <c r="H531" s="2" t="s">
        <v>356</v>
      </c>
      <c r="I531" s="3">
        <v>6.0</v>
      </c>
      <c r="J531" s="11" t="s">
        <v>78</v>
      </c>
      <c r="K531" s="5">
        <v>240.0</v>
      </c>
      <c r="L531" s="6" t="str">
        <f>IF(D531&lt;&gt;"",VLOOKUP(H531,TABLEITEM,2,FALSE),"")</f>
        <v>MAT ST</v>
      </c>
      <c r="M531" s="6" t="str">
        <f>IF(D531&lt;&gt;"",VLOOKUP(H531,TABLEITEM,3,FALSE),"")</f>
        <v>เหล็กกล่อง 6x2 หนา 3.2 มิล</v>
      </c>
      <c r="N531" s="7">
        <f>INSTOCK!$I531*INSTOCK!$K531</f>
        <v>1440</v>
      </c>
      <c r="O531" s="2"/>
      <c r="P531" s="2"/>
    </row>
    <row r="532" ht="18.0" hidden="1" customHeight="1">
      <c r="A532" s="1"/>
      <c r="B532" s="3">
        <v>531.0</v>
      </c>
      <c r="C532" s="4">
        <v>43344.0</v>
      </c>
      <c r="D532" s="2" t="s">
        <v>665</v>
      </c>
      <c r="E532" s="2">
        <v>6.108000999E9</v>
      </c>
      <c r="F532" s="3" t="s">
        <v>161</v>
      </c>
      <c r="G532" s="2" t="s">
        <v>171</v>
      </c>
      <c r="H532" s="2" t="s">
        <v>21</v>
      </c>
      <c r="I532" s="3">
        <v>250.0</v>
      </c>
      <c r="J532" s="3"/>
      <c r="K532" s="5">
        <v>1146.0</v>
      </c>
      <c r="L532" s="6" t="str">
        <f>IF(D532&lt;&gt;"",VLOOKUP(H532,TABLEITEM,2,FALSE),"")</f>
        <v>MAT ST</v>
      </c>
      <c r="M532" s="6" t="str">
        <f>IF(D532&lt;&gt;"",VLOOKUP(H532,TABLEITEM,3,FALSE),"")</f>
        <v>เหล็กแผ่นขาว4'x8'T2.0</v>
      </c>
      <c r="N532" s="7">
        <f>INSTOCK!$I532*INSTOCK!$K532</f>
        <v>286500</v>
      </c>
      <c r="O532" s="2" t="s">
        <v>666</v>
      </c>
      <c r="P532" s="2"/>
    </row>
    <row r="533" ht="18.0" hidden="1" customHeight="1">
      <c r="A533" s="1"/>
      <c r="B533" s="3">
        <v>532.0</v>
      </c>
      <c r="C533" s="4">
        <v>43344.0</v>
      </c>
      <c r="D533" s="2" t="s">
        <v>667</v>
      </c>
      <c r="E533" s="2">
        <v>6.108000999E9</v>
      </c>
      <c r="F533" s="3" t="s">
        <v>161</v>
      </c>
      <c r="G533" s="2" t="s">
        <v>171</v>
      </c>
      <c r="H533" s="2" t="s">
        <v>21</v>
      </c>
      <c r="I533" s="3">
        <v>150.0</v>
      </c>
      <c r="J533" s="3"/>
      <c r="K533" s="5">
        <v>1146.0</v>
      </c>
      <c r="L533" s="6" t="str">
        <f>IF(D533&lt;&gt;"",VLOOKUP(H533,TABLEITEM,2,FALSE),"")</f>
        <v>MAT ST</v>
      </c>
      <c r="M533" s="6" t="str">
        <f>IF(D533&lt;&gt;"",VLOOKUP(H533,TABLEITEM,3,FALSE),"")</f>
        <v>เหล็กแผ่นขาว4'x8'T2.0</v>
      </c>
      <c r="N533" s="7">
        <f>INSTOCK!$I533*INSTOCK!$K533</f>
        <v>171900</v>
      </c>
      <c r="O533" s="2" t="s">
        <v>668</v>
      </c>
      <c r="P533" s="2"/>
    </row>
    <row r="534" ht="18.0" hidden="1" customHeight="1">
      <c r="A534" s="1"/>
      <c r="B534" s="3">
        <v>533.0</v>
      </c>
      <c r="C534" s="4">
        <v>43348.0</v>
      </c>
      <c r="D534" s="2" t="s">
        <v>636</v>
      </c>
      <c r="E534" s="2"/>
      <c r="F534" s="3" t="s">
        <v>161</v>
      </c>
      <c r="G534" s="2" t="s">
        <v>456</v>
      </c>
      <c r="H534" s="2" t="s">
        <v>637</v>
      </c>
      <c r="I534" s="3">
        <v>34.0</v>
      </c>
      <c r="J534" s="3"/>
      <c r="K534" s="5"/>
      <c r="L534" s="6" t="str">
        <f>IF(D534&lt;&gt;"",VLOOKUP(H534,TABLEITEM,2,FALSE),"")</f>
        <v>PART</v>
      </c>
      <c r="M534" s="6" t="str">
        <f>IF(D534&lt;&gt;"",VLOOKUP(H534,TABLEITEM,3,FALSE),"")</f>
        <v>ฉากรับกุญแจ 40x30x1963</v>
      </c>
      <c r="N534" s="7">
        <f>INSTOCK!$I534*INSTOCK!$K534</f>
        <v>0</v>
      </c>
      <c r="O534" s="2"/>
      <c r="P534" s="2"/>
    </row>
    <row r="535" ht="18.0" hidden="1" customHeight="1">
      <c r="A535" s="1"/>
      <c r="B535" s="3">
        <v>534.0</v>
      </c>
      <c r="C535" s="4">
        <v>43348.0</v>
      </c>
      <c r="D535" s="2" t="s">
        <v>669</v>
      </c>
      <c r="E535" s="2"/>
      <c r="F535" s="3" t="s">
        <v>161</v>
      </c>
      <c r="G535" s="2" t="s">
        <v>456</v>
      </c>
      <c r="H535" s="2" t="s">
        <v>670</v>
      </c>
      <c r="I535" s="3">
        <v>74.0</v>
      </c>
      <c r="J535" s="3"/>
      <c r="K535" s="5"/>
      <c r="L535" s="6" t="str">
        <f>IF(D535&lt;&gt;"",VLOOKUP(H535,TABLEITEM,2,FALSE),"")</f>
        <v>PART</v>
      </c>
      <c r="M535" s="6" t="str">
        <f>IF(D535&lt;&gt;"",VLOOKUP(H535,TABLEITEM,3,FALSE),"")</f>
        <v>ฉากรับเพลท 40x30x390</v>
      </c>
      <c r="N535" s="7">
        <f>INSTOCK!$I535*INSTOCK!$K535</f>
        <v>0</v>
      </c>
      <c r="O535" s="2"/>
      <c r="P535" s="2"/>
    </row>
    <row r="536" ht="18.0" hidden="1" customHeight="1">
      <c r="A536" s="1"/>
      <c r="B536" s="3">
        <v>535.0</v>
      </c>
      <c r="C536" s="4">
        <v>43348.0</v>
      </c>
      <c r="D536" s="2" t="s">
        <v>669</v>
      </c>
      <c r="E536" s="2"/>
      <c r="F536" s="3" t="s">
        <v>161</v>
      </c>
      <c r="G536" s="2" t="s">
        <v>456</v>
      </c>
      <c r="H536" s="2" t="s">
        <v>671</v>
      </c>
      <c r="I536" s="3">
        <v>26.0</v>
      </c>
      <c r="J536" s="3"/>
      <c r="K536" s="5"/>
      <c r="L536" s="6" t="str">
        <f>IF(D536&lt;&gt;"",VLOOKUP(H536,TABLEITEM,2,FALSE),"")</f>
        <v>PART</v>
      </c>
      <c r="M536" s="6" t="str">
        <f>IF(D536&lt;&gt;"",VLOOKUP(H536,TABLEITEM,3,FALSE),"")</f>
        <v>ฉากรับเพลท 40x30x790</v>
      </c>
      <c r="N536" s="7">
        <f>INSTOCK!$I536*INSTOCK!$K536</f>
        <v>0</v>
      </c>
      <c r="O536" s="2"/>
      <c r="P536" s="27"/>
    </row>
    <row r="537" ht="18.0" hidden="1" customHeight="1">
      <c r="A537" s="1"/>
      <c r="B537" s="3">
        <v>536.0</v>
      </c>
      <c r="C537" s="4">
        <v>43348.0</v>
      </c>
      <c r="D537" s="2" t="s">
        <v>639</v>
      </c>
      <c r="E537" s="2"/>
      <c r="F537" s="3" t="s">
        <v>161</v>
      </c>
      <c r="G537" s="2" t="s">
        <v>456</v>
      </c>
      <c r="H537" s="2" t="s">
        <v>491</v>
      </c>
      <c r="I537" s="3">
        <v>90.0</v>
      </c>
      <c r="J537" s="3"/>
      <c r="K537" s="5"/>
      <c r="L537" s="6" t="str">
        <f>IF(D537&lt;&gt;"",VLOOKUP(H537,TABLEITEM,2,FALSE),"")</f>
        <v>PART</v>
      </c>
      <c r="M537" s="6" t="str">
        <f>IF(D537&lt;&gt;"",VLOOKUP(H537,TABLEITEM,3,FALSE),"")</f>
        <v>เสาเสริม 40x50x1988</v>
      </c>
      <c r="N537" s="7">
        <f>INSTOCK!$I537*INSTOCK!$K537</f>
        <v>0</v>
      </c>
      <c r="O537" s="2"/>
      <c r="P537" s="2"/>
    </row>
    <row r="538" ht="18.0" hidden="1" customHeight="1">
      <c r="A538" s="1"/>
      <c r="B538" s="3">
        <v>537.0</v>
      </c>
      <c r="C538" s="4">
        <v>43348.0</v>
      </c>
      <c r="D538" s="2" t="s">
        <v>643</v>
      </c>
      <c r="E538" s="2"/>
      <c r="F538" s="3" t="s">
        <v>161</v>
      </c>
      <c r="G538" s="2" t="s">
        <v>456</v>
      </c>
      <c r="H538" s="2" t="s">
        <v>525</v>
      </c>
      <c r="I538" s="3">
        <v>90.0</v>
      </c>
      <c r="J538" s="3"/>
      <c r="K538" s="5"/>
      <c r="L538" s="6" t="str">
        <f>IF(D538&lt;&gt;"",VLOOKUP(H538,TABLEITEM,2,FALSE),"")</f>
        <v>PART</v>
      </c>
      <c r="M538" s="6" t="str">
        <f>IF(D538&lt;&gt;"",VLOOKUP(H538,TABLEITEM,3,FALSE),"")</f>
        <v>เสาเชื่อม2275x40x50</v>
      </c>
      <c r="N538" s="7">
        <f>INSTOCK!$I538*INSTOCK!$K538</f>
        <v>0</v>
      </c>
      <c r="O538" s="2"/>
      <c r="P538" s="2"/>
    </row>
    <row r="539" ht="18.0" hidden="1" customHeight="1">
      <c r="A539" s="1"/>
      <c r="B539" s="3">
        <v>538.0</v>
      </c>
      <c r="C539" s="4">
        <v>43348.0</v>
      </c>
      <c r="D539" s="2" t="s">
        <v>660</v>
      </c>
      <c r="E539" s="2"/>
      <c r="F539" s="3" t="s">
        <v>161</v>
      </c>
      <c r="G539" s="2" t="s">
        <v>456</v>
      </c>
      <c r="H539" s="2" t="s">
        <v>523</v>
      </c>
      <c r="I539" s="3">
        <v>200.0</v>
      </c>
      <c r="J539" s="3"/>
      <c r="K539" s="5"/>
      <c r="L539" s="6" t="str">
        <f>IF(D539&lt;&gt;"",VLOOKUP(H539,TABLEITEM,2,FALSE),"")</f>
        <v>PART</v>
      </c>
      <c r="M539" s="6" t="str">
        <f>IF(D539&lt;&gt;"",VLOOKUP(H539,TABLEITEM,3,FALSE),"")</f>
        <v>คานเชื่อม1000</v>
      </c>
      <c r="N539" s="7">
        <f>INSTOCK!$I539*INSTOCK!$K539</f>
        <v>0</v>
      </c>
      <c r="O539" s="2"/>
      <c r="P539" s="2"/>
    </row>
    <row r="540" ht="18.0" hidden="1" customHeight="1">
      <c r="A540" s="1"/>
      <c r="B540" s="3">
        <v>539.0</v>
      </c>
      <c r="C540" s="4">
        <v>43348.0</v>
      </c>
      <c r="D540" s="2" t="s">
        <v>630</v>
      </c>
      <c r="E540" s="2"/>
      <c r="F540" s="3" t="s">
        <v>161</v>
      </c>
      <c r="G540" s="2" t="s">
        <v>456</v>
      </c>
      <c r="H540" s="2" t="s">
        <v>487</v>
      </c>
      <c r="I540" s="3">
        <v>32.0</v>
      </c>
      <c r="J540" s="3"/>
      <c r="K540" s="5"/>
      <c r="L540" s="6" t="str">
        <f>IF(D540&lt;&gt;"",VLOOKUP(H540,TABLEITEM,2,FALSE),"")</f>
        <v>PART</v>
      </c>
      <c r="M540" s="6" t="str">
        <f>IF(D540&lt;&gt;"",VLOOKUP(H540,TABLEITEM,3,FALSE),"")</f>
        <v>กระเป๋าเอกสารรุ่น 316x224</v>
      </c>
      <c r="N540" s="7">
        <f>INSTOCK!$I540*INSTOCK!$K540</f>
        <v>0</v>
      </c>
      <c r="O540" s="2"/>
      <c r="P540" s="2"/>
    </row>
    <row r="541" ht="18.0" hidden="1" customHeight="1">
      <c r="A541" s="1"/>
      <c r="B541" s="3">
        <v>540.0</v>
      </c>
      <c r="C541" s="4">
        <v>43348.0</v>
      </c>
      <c r="D541" s="2" t="s">
        <v>642</v>
      </c>
      <c r="E541" s="2"/>
      <c r="F541" s="3" t="s">
        <v>161</v>
      </c>
      <c r="G541" s="2" t="s">
        <v>456</v>
      </c>
      <c r="H541" s="2" t="s">
        <v>652</v>
      </c>
      <c r="I541" s="3">
        <v>150.0</v>
      </c>
      <c r="J541" s="3"/>
      <c r="K541" s="5"/>
      <c r="L541" s="6" t="str">
        <f>IF(D541&lt;&gt;"",VLOOKUP(H541,TABLEITEM,2,FALSE),"")</f>
        <v>PART</v>
      </c>
      <c r="M541" s="6" t="str">
        <f>IF(D541&lt;&gt;"",VLOOKUP(H541,TABLEITEM,3,FALSE),"")</f>
        <v>ขายึดเทอมีนอล146x136</v>
      </c>
      <c r="N541" s="7">
        <f>INSTOCK!$I541*INSTOCK!$K541</f>
        <v>0</v>
      </c>
      <c r="O541" s="2"/>
      <c r="P541" s="2"/>
    </row>
    <row r="542" ht="18.0" hidden="1" customHeight="1">
      <c r="A542" s="1"/>
      <c r="B542" s="3">
        <v>541.0</v>
      </c>
      <c r="C542" s="4">
        <v>43348.0</v>
      </c>
      <c r="D542" s="2" t="s">
        <v>642</v>
      </c>
      <c r="E542" s="2"/>
      <c r="F542" s="3" t="s">
        <v>161</v>
      </c>
      <c r="G542" s="2" t="s">
        <v>456</v>
      </c>
      <c r="H542" s="2" t="s">
        <v>486</v>
      </c>
      <c r="I542" s="3">
        <v>24.0</v>
      </c>
      <c r="J542" s="3"/>
      <c r="K542" s="5"/>
      <c r="L542" s="6" t="str">
        <f>IF(D542&lt;&gt;"",VLOOKUP(H542,TABLEITEM,2,FALSE),"")</f>
        <v>PART</v>
      </c>
      <c r="M542" s="6" t="str">
        <f>IF(D542&lt;&gt;"",VLOOKUP(H542,TABLEITEM,3,FALSE),"")</f>
        <v>กระเป๋าเอกสารรุ่น 316x45</v>
      </c>
      <c r="N542" s="7">
        <f>INSTOCK!$I542*INSTOCK!$K542</f>
        <v>0</v>
      </c>
      <c r="O542" s="2"/>
      <c r="P542" s="2"/>
    </row>
    <row r="543" ht="18.0" hidden="1" customHeight="1">
      <c r="A543" s="1"/>
      <c r="B543" s="3">
        <v>542.0</v>
      </c>
      <c r="C543" s="4">
        <v>43348.0</v>
      </c>
      <c r="D543" s="2" t="s">
        <v>618</v>
      </c>
      <c r="E543" s="2"/>
      <c r="F543" s="3" t="s">
        <v>161</v>
      </c>
      <c r="G543" s="2" t="s">
        <v>456</v>
      </c>
      <c r="H543" s="2" t="s">
        <v>493</v>
      </c>
      <c r="I543" s="3">
        <v>180.0</v>
      </c>
      <c r="J543" s="3"/>
      <c r="K543" s="5"/>
      <c r="L543" s="6" t="str">
        <f>IF(D543&lt;&gt;"",VLOOKUP(H543,TABLEITEM,2,FALSE),"")</f>
        <v>PART</v>
      </c>
      <c r="M543" s="6" t="str">
        <f>IF(D543&lt;&gt;"",VLOOKUP(H543,TABLEITEM,3,FALSE),"")</f>
        <v>เสาเชื่อม2125x40x50</v>
      </c>
      <c r="N543" s="7">
        <f>INSTOCK!$I543*INSTOCK!$K543</f>
        <v>0</v>
      </c>
      <c r="O543" s="2"/>
      <c r="P543" s="2"/>
    </row>
    <row r="544" ht="18.0" hidden="1" customHeight="1">
      <c r="A544" s="1"/>
      <c r="B544" s="3">
        <v>543.0</v>
      </c>
      <c r="C544" s="4">
        <v>43344.0</v>
      </c>
      <c r="D544" s="2" t="s">
        <v>672</v>
      </c>
      <c r="E544" s="2">
        <v>6.108000999E9</v>
      </c>
      <c r="F544" s="3" t="s">
        <v>161</v>
      </c>
      <c r="G544" s="2" t="s">
        <v>171</v>
      </c>
      <c r="H544" s="2" t="s">
        <v>19</v>
      </c>
      <c r="I544" s="3">
        <v>400.0</v>
      </c>
      <c r="J544" s="3"/>
      <c r="K544" s="5">
        <v>911.0</v>
      </c>
      <c r="L544" s="6" t="str">
        <f>IF(D544&lt;&gt;"",VLOOKUP(H544,TABLEITEM,2,FALSE),"")</f>
        <v>MAT ST</v>
      </c>
      <c r="M544" s="6" t="str">
        <f>IF(D544&lt;&gt;"",VLOOKUP(H544,TABLEITEM,3,FALSE),"")</f>
        <v>เหล็กแผ่นขาว4'x8'T1.6</v>
      </c>
      <c r="N544" s="7">
        <f>INSTOCK!$I544*INSTOCK!$K544</f>
        <v>364400</v>
      </c>
      <c r="O544" s="2" t="s">
        <v>673</v>
      </c>
      <c r="P544" s="2"/>
    </row>
    <row r="545" ht="18.0" hidden="1" customHeight="1">
      <c r="A545" s="1"/>
      <c r="B545" s="3">
        <v>544.0</v>
      </c>
      <c r="C545" s="4">
        <v>43344.0</v>
      </c>
      <c r="D545" s="2" t="s">
        <v>674</v>
      </c>
      <c r="E545" s="2">
        <v>6.108000999E9</v>
      </c>
      <c r="F545" s="3" t="s">
        <v>161</v>
      </c>
      <c r="G545" s="2" t="s">
        <v>171</v>
      </c>
      <c r="H545" s="2" t="s">
        <v>25</v>
      </c>
      <c r="I545" s="3">
        <v>200.0</v>
      </c>
      <c r="J545" s="3"/>
      <c r="K545" s="5">
        <v>1808.0</v>
      </c>
      <c r="L545" s="6" t="str">
        <f>IF(D545&lt;&gt;"",VLOOKUP(H545,TABLEITEM,2,FALSE),"")</f>
        <v>MAT ST</v>
      </c>
      <c r="M545" s="6" t="str">
        <f>IF(D545&lt;&gt;"",VLOOKUP(H545,TABLEITEM,3,FALSE),"")</f>
        <v>เหล็กแผ่นขาว4'x8'T3.0</v>
      </c>
      <c r="N545" s="7">
        <f>INSTOCK!$I545*INSTOCK!$K545</f>
        <v>361600</v>
      </c>
      <c r="O545" s="2" t="s">
        <v>675</v>
      </c>
      <c r="P545" s="2"/>
    </row>
    <row r="546" ht="18.0" hidden="1" customHeight="1">
      <c r="A546" s="1"/>
      <c r="B546" s="3">
        <v>545.0</v>
      </c>
      <c r="C546" s="4">
        <v>43344.0</v>
      </c>
      <c r="D546" s="2" t="s">
        <v>676</v>
      </c>
      <c r="E546" s="2">
        <v>6.108000999E9</v>
      </c>
      <c r="F546" s="3" t="s">
        <v>161</v>
      </c>
      <c r="G546" s="2" t="s">
        <v>171</v>
      </c>
      <c r="H546" s="2" t="s">
        <v>16</v>
      </c>
      <c r="I546" s="3">
        <v>572.32</v>
      </c>
      <c r="J546" s="3"/>
      <c r="K546" s="5">
        <v>100.0</v>
      </c>
      <c r="L546" s="6" t="str">
        <f>IF(D546&lt;&gt;"",VLOOKUP(H546,TABLEITEM,2,FALSE),"")</f>
        <v>MAT ST</v>
      </c>
      <c r="M546" s="6" t="str">
        <f>IF(D546&lt;&gt;"",VLOOKUP(H546,TABLEITEM,3,FALSE),"")</f>
        <v>เหล็กแผ่นขาว4'x8'T1.0</v>
      </c>
      <c r="N546" s="7">
        <f>INSTOCK!$I546*INSTOCK!$K546</f>
        <v>57232</v>
      </c>
      <c r="O546" s="2" t="s">
        <v>677</v>
      </c>
      <c r="P546" s="2"/>
    </row>
    <row r="547" ht="18.0" hidden="1" customHeight="1">
      <c r="A547" s="1"/>
      <c r="B547" s="3">
        <v>546.0</v>
      </c>
      <c r="C547" s="4">
        <v>43344.0</v>
      </c>
      <c r="D547" s="2" t="s">
        <v>676</v>
      </c>
      <c r="E547" s="2">
        <v>6.108000999E9</v>
      </c>
      <c r="F547" s="3" t="s">
        <v>161</v>
      </c>
      <c r="G547" s="2" t="s">
        <v>171</v>
      </c>
      <c r="H547" s="2" t="s">
        <v>17</v>
      </c>
      <c r="I547" s="3">
        <v>100.0</v>
      </c>
      <c r="J547" s="3"/>
      <c r="K547" s="5">
        <v>687.0</v>
      </c>
      <c r="L547" s="6" t="str">
        <f>IF(D547&lt;&gt;"",VLOOKUP(H547,TABLEITEM,2,FALSE),"")</f>
        <v>MAT ST</v>
      </c>
      <c r="M547" s="6" t="str">
        <f>IF(D547&lt;&gt;"",VLOOKUP(H547,TABLEITEM,3,FALSE),"")</f>
        <v>เหล็กแผ่นขาว4'x8'T1.2</v>
      </c>
      <c r="N547" s="7">
        <f>INSTOCK!$I547*INSTOCK!$K547</f>
        <v>68700</v>
      </c>
      <c r="O547" s="2" t="s">
        <v>678</v>
      </c>
      <c r="P547" s="2"/>
    </row>
    <row r="548" ht="18.0" hidden="1" customHeight="1">
      <c r="A548" s="1"/>
      <c r="B548" s="3">
        <v>547.0</v>
      </c>
      <c r="C548" s="4">
        <v>43344.0</v>
      </c>
      <c r="D548" s="2" t="s">
        <v>679</v>
      </c>
      <c r="E548" s="2">
        <v>6.108000999E9</v>
      </c>
      <c r="F548" s="3" t="s">
        <v>161</v>
      </c>
      <c r="G548" s="2" t="s">
        <v>171</v>
      </c>
      <c r="H548" s="2" t="s">
        <v>42</v>
      </c>
      <c r="I548" s="3">
        <v>1280.16</v>
      </c>
      <c r="J548" s="3"/>
      <c r="K548" s="5">
        <v>200.0</v>
      </c>
      <c r="L548" s="6" t="str">
        <f>IF(D548&lt;&gt;"",VLOOKUP(H548,TABLEITEM,2,FALSE),"")</f>
        <v>MAT ST</v>
      </c>
      <c r="M548" s="6" t="str">
        <f>IF(D548&lt;&gt;"",VLOOKUP(H548,TABLEITEM,3,FALSE),"")</f>
        <v>เหล็กแผ่นEG4'x8'T2.0</v>
      </c>
      <c r="N548" s="7">
        <f>INSTOCK!$I548*INSTOCK!$K548</f>
        <v>256032</v>
      </c>
      <c r="O548" s="2" t="s">
        <v>680</v>
      </c>
      <c r="P548" s="2"/>
    </row>
    <row r="549" ht="18.0" hidden="1" customHeight="1">
      <c r="A549" s="1"/>
      <c r="B549" s="3">
        <v>548.0</v>
      </c>
      <c r="C549" s="4">
        <v>43344.0</v>
      </c>
      <c r="D549" s="2" t="s">
        <v>679</v>
      </c>
      <c r="E549" s="2">
        <v>6.108000999E9</v>
      </c>
      <c r="F549" s="3" t="s">
        <v>161</v>
      </c>
      <c r="G549" s="2" t="s">
        <v>171</v>
      </c>
      <c r="H549" s="2" t="s">
        <v>40</v>
      </c>
      <c r="I549" s="3">
        <v>1027.6</v>
      </c>
      <c r="J549" s="3"/>
      <c r="K549" s="5">
        <v>100.0</v>
      </c>
      <c r="L549" s="6" t="str">
        <f>IF(D549&lt;&gt;"",VLOOKUP(H549,TABLEITEM,2,FALSE),"")</f>
        <v>MAT ST</v>
      </c>
      <c r="M549" s="6" t="str">
        <f>IF(D549&lt;&gt;"",VLOOKUP(H549,TABLEITEM,3,FALSE),"")</f>
        <v>เหล็กแผ่นEG4'x8'T1.6</v>
      </c>
      <c r="N549" s="7">
        <f>INSTOCK!$I549*INSTOCK!$K549</f>
        <v>102760</v>
      </c>
      <c r="O549" s="2" t="s">
        <v>681</v>
      </c>
      <c r="P549" s="2"/>
    </row>
    <row r="550" ht="18.0" hidden="1" customHeight="1">
      <c r="A550" s="1"/>
      <c r="B550" s="3">
        <v>549.0</v>
      </c>
      <c r="C550" s="4">
        <v>43344.0</v>
      </c>
      <c r="D550" s="2" t="s">
        <v>682</v>
      </c>
      <c r="E550" s="2">
        <v>6.108001002E9</v>
      </c>
      <c r="F550" s="3" t="s">
        <v>161</v>
      </c>
      <c r="G550" s="2" t="s">
        <v>202</v>
      </c>
      <c r="H550" s="2" t="s">
        <v>79</v>
      </c>
      <c r="I550" s="3">
        <v>600.0</v>
      </c>
      <c r="J550" s="3" t="s">
        <v>78</v>
      </c>
      <c r="K550" s="5">
        <v>161.666</v>
      </c>
      <c r="L550" s="6" t="str">
        <f>IF(D550&lt;&gt;"",VLOOKUP(H550,TABLEITEM,2,FALSE),"")</f>
        <v>MAT ST</v>
      </c>
      <c r="M550" s="6" t="str">
        <f>IF(D550&lt;&gt;"",VLOOKUP(H550,TABLEITEM,3,FALSE),"")</f>
        <v>เหล็กรางน้ำ U' 3</v>
      </c>
      <c r="N550" s="7">
        <f>INSTOCK!$I550*INSTOCK!$K550</f>
        <v>96999.6</v>
      </c>
      <c r="O550" s="2"/>
      <c r="P550" s="2"/>
    </row>
    <row r="551" ht="18.0" hidden="1" customHeight="1">
      <c r="A551" s="1"/>
      <c r="B551" s="3">
        <v>550.0</v>
      </c>
      <c r="C551" s="4">
        <v>43344.0</v>
      </c>
      <c r="D551" s="2" t="s">
        <v>682</v>
      </c>
      <c r="E551" s="2">
        <v>6.108001002E9</v>
      </c>
      <c r="F551" s="3" t="s">
        <v>161</v>
      </c>
      <c r="G551" s="2" t="s">
        <v>202</v>
      </c>
      <c r="H551" s="2" t="s">
        <v>80</v>
      </c>
      <c r="I551" s="3">
        <v>240.0</v>
      </c>
      <c r="J551" s="3" t="s">
        <v>78</v>
      </c>
      <c r="K551" s="5">
        <v>216.666</v>
      </c>
      <c r="L551" s="6" t="str">
        <f>IF(D551&lt;&gt;"",VLOOKUP(H551,TABLEITEM,2,FALSE),"")</f>
        <v>MAT ST</v>
      </c>
      <c r="M551" s="6" t="str">
        <f>IF(D551&lt;&gt;"",VLOOKUP(H551,TABLEITEM,3,FALSE),"")</f>
        <v>เหล็กรางน้ำ U' 4</v>
      </c>
      <c r="N551" s="7">
        <f>INSTOCK!$I551*INSTOCK!$K551</f>
        <v>51999.84</v>
      </c>
      <c r="O551" s="2"/>
      <c r="P551" s="2"/>
    </row>
    <row r="552" ht="18.0" hidden="1" customHeight="1">
      <c r="A552" s="1"/>
      <c r="B552" s="3">
        <v>551.0</v>
      </c>
      <c r="C552" s="4">
        <v>43344.0</v>
      </c>
      <c r="D552" s="2" t="s">
        <v>682</v>
      </c>
      <c r="E552" s="2">
        <v>6.108001002E9</v>
      </c>
      <c r="F552" s="3" t="s">
        <v>161</v>
      </c>
      <c r="G552" s="2" t="s">
        <v>202</v>
      </c>
      <c r="H552" s="2" t="s">
        <v>52</v>
      </c>
      <c r="I552" s="3">
        <v>1840.0</v>
      </c>
      <c r="J552" s="3"/>
      <c r="K552" s="5">
        <v>50.0</v>
      </c>
      <c r="L552" s="6" t="str">
        <f>IF(D552&lt;&gt;"",VLOOKUP(H552,TABLEITEM,2,FALSE),"")</f>
        <v>MAT ST</v>
      </c>
      <c r="M552" s="6" t="str">
        <f>IF(D552&lt;&gt;"",VLOOKUP(H552,TABLEITEM,3,FALSE),"")</f>
        <v>เหล็กแผ่นดำ5'x10'T2.0</v>
      </c>
      <c r="N552" s="7">
        <f>INSTOCK!$I552*INSTOCK!$K552</f>
        <v>92000</v>
      </c>
      <c r="O552" s="2"/>
      <c r="P552" s="2"/>
    </row>
    <row r="553" ht="18.0" hidden="1" customHeight="1">
      <c r="A553" s="1"/>
      <c r="B553" s="3">
        <v>552.0</v>
      </c>
      <c r="C553" s="4">
        <v>43384.0</v>
      </c>
      <c r="D553" s="2" t="s">
        <v>683</v>
      </c>
      <c r="E553" s="2"/>
      <c r="F553" s="3" t="s">
        <v>161</v>
      </c>
      <c r="G553" s="2" t="s">
        <v>456</v>
      </c>
      <c r="H553" s="2" t="s">
        <v>684</v>
      </c>
      <c r="I553" s="3">
        <v>10.0</v>
      </c>
      <c r="J553" s="3"/>
      <c r="K553" s="5"/>
      <c r="L553" s="6" t="str">
        <f>IF(D553&lt;&gt;"",VLOOKUP(H553,TABLEITEM,2,FALSE),"")</f>
        <v>PART</v>
      </c>
      <c r="M553" s="6" t="str">
        <f>IF(D553&lt;&gt;"",VLOOKUP(H553,TABLEITEM,3,FALSE),"")</f>
        <v>ชุดฝากันระเบิด500X330</v>
      </c>
      <c r="N553" s="7">
        <f>INSTOCK!$I553*INSTOCK!$K553</f>
        <v>0</v>
      </c>
      <c r="O553" s="2"/>
      <c r="P553" s="2"/>
    </row>
    <row r="554" ht="18.0" hidden="1" customHeight="1">
      <c r="A554" s="1"/>
      <c r="B554" s="3">
        <v>553.0</v>
      </c>
      <c r="C554" s="4">
        <v>43368.0</v>
      </c>
      <c r="D554" s="2" t="s">
        <v>685</v>
      </c>
      <c r="E554" s="2"/>
      <c r="F554" s="3" t="s">
        <v>161</v>
      </c>
      <c r="G554" s="2" t="s">
        <v>456</v>
      </c>
      <c r="H554" s="2" t="s">
        <v>686</v>
      </c>
      <c r="I554" s="3">
        <v>27.0</v>
      </c>
      <c r="J554" s="3"/>
      <c r="K554" s="5"/>
      <c r="L554" s="6" t="str">
        <f>IF(D554&lt;&gt;"",VLOOKUP(H554,TABLEITEM,2,FALSE),"")</f>
        <v>PART</v>
      </c>
      <c r="M554" s="6" t="str">
        <f>IF(D554&lt;&gt;"",VLOOKUP(H554,TABLEITEM,3,FALSE),"")</f>
        <v>ชุดฝากันระเบิด 500x500</v>
      </c>
      <c r="N554" s="7">
        <f>INSTOCK!$I554*INSTOCK!$K554</f>
        <v>0</v>
      </c>
      <c r="O554" s="2"/>
      <c r="P554" s="2"/>
    </row>
    <row r="555" ht="18.0" hidden="1" customHeight="1">
      <c r="A555" s="1"/>
      <c r="B555" s="3">
        <v>554.0</v>
      </c>
      <c r="C555" s="4">
        <v>43388.0</v>
      </c>
      <c r="D555" s="2" t="s">
        <v>687</v>
      </c>
      <c r="E555" s="2"/>
      <c r="F555" s="3" t="s">
        <v>161</v>
      </c>
      <c r="G555" s="2" t="s">
        <v>456</v>
      </c>
      <c r="H555" s="2" t="s">
        <v>686</v>
      </c>
      <c r="I555" s="3">
        <v>33.0</v>
      </c>
      <c r="J555" s="3"/>
      <c r="K555" s="5"/>
      <c r="L555" s="6" t="str">
        <f>IF(D555&lt;&gt;"",VLOOKUP(H555,TABLEITEM,2,FALSE),"")</f>
        <v>PART</v>
      </c>
      <c r="M555" s="6" t="str">
        <f>IF(D555&lt;&gt;"",VLOOKUP(H555,TABLEITEM,3,FALSE),"")</f>
        <v>ชุดฝากันระเบิด 500x500</v>
      </c>
      <c r="N555" s="7">
        <f>INSTOCK!$I555*INSTOCK!$K555</f>
        <v>0</v>
      </c>
      <c r="O555" s="2"/>
      <c r="P555" s="2"/>
    </row>
    <row r="556" ht="18.0" hidden="1" customHeight="1">
      <c r="A556" s="1"/>
      <c r="B556" s="3">
        <v>555.0</v>
      </c>
      <c r="C556" s="4">
        <v>43361.0</v>
      </c>
      <c r="D556" s="2" t="s">
        <v>688</v>
      </c>
      <c r="E556" s="2"/>
      <c r="F556" s="3" t="s">
        <v>161</v>
      </c>
      <c r="G556" s="2" t="s">
        <v>456</v>
      </c>
      <c r="H556" s="2" t="s">
        <v>550</v>
      </c>
      <c r="I556" s="3">
        <v>717.0</v>
      </c>
      <c r="J556" s="3"/>
      <c r="K556" s="5"/>
      <c r="L556" s="6" t="str">
        <f>IF(D556&lt;&gt;"",VLOOKUP(H556,TABLEITEM,2,FALSE),"")</f>
        <v>PART</v>
      </c>
      <c r="M556" s="6" t="str">
        <f>IF(D556&lt;&gt;"",VLOOKUP(H556,TABLEITEM,3,FALSE),"")</f>
        <v>ฉากตัวZ รับแผ่นกั้น50x34x29</v>
      </c>
      <c r="N556" s="7">
        <f>INSTOCK!$I556*INSTOCK!$K556</f>
        <v>0</v>
      </c>
      <c r="O556" s="2"/>
      <c r="P556" s="2"/>
    </row>
    <row r="557" ht="18.0" hidden="1" customHeight="1">
      <c r="A557" s="1"/>
      <c r="B557" s="3">
        <v>556.0</v>
      </c>
      <c r="C557" s="4">
        <v>43372.0</v>
      </c>
      <c r="D557" s="2" t="s">
        <v>685</v>
      </c>
      <c r="E557" s="2"/>
      <c r="F557" s="3" t="s">
        <v>161</v>
      </c>
      <c r="G557" s="2" t="s">
        <v>456</v>
      </c>
      <c r="H557" s="2" t="s">
        <v>556</v>
      </c>
      <c r="I557" s="3">
        <v>25.0</v>
      </c>
      <c r="J557" s="3"/>
      <c r="K557" s="5"/>
      <c r="L557" s="6" t="str">
        <f>IF(D557&lt;&gt;"",VLOOKUP(H557,TABLEITEM,2,FALSE),"")</f>
        <v>PART</v>
      </c>
      <c r="M557" s="6" t="str">
        <f>IF(D557&lt;&gt;"",VLOOKUP(H557,TABLEITEM,3,FALSE),"")</f>
        <v>ชุดฝากันระเบิด 600x330</v>
      </c>
      <c r="N557" s="7">
        <f>INSTOCK!$I557*INSTOCK!$K557</f>
        <v>0</v>
      </c>
      <c r="O557" s="2"/>
      <c r="P557" s="2"/>
    </row>
    <row r="558" ht="18.0" hidden="1" customHeight="1">
      <c r="A558" s="1"/>
      <c r="B558" s="3">
        <v>557.0</v>
      </c>
      <c r="C558" s="4">
        <v>43388.0</v>
      </c>
      <c r="D558" s="2" t="s">
        <v>685</v>
      </c>
      <c r="E558" s="2"/>
      <c r="F558" s="3" t="s">
        <v>161</v>
      </c>
      <c r="G558" s="2" t="s">
        <v>456</v>
      </c>
      <c r="H558" s="2" t="s">
        <v>556</v>
      </c>
      <c r="I558" s="3">
        <v>4.0</v>
      </c>
      <c r="J558" s="3"/>
      <c r="K558" s="5"/>
      <c r="L558" s="6" t="str">
        <f>IF(D558&lt;&gt;"",VLOOKUP(H558,TABLEITEM,2,FALSE),"")</f>
        <v>PART</v>
      </c>
      <c r="M558" s="6" t="str">
        <f>IF(D558&lt;&gt;"",VLOOKUP(H558,TABLEITEM,3,FALSE),"")</f>
        <v>ชุดฝากันระเบิด 600x330</v>
      </c>
      <c r="N558" s="7">
        <f>INSTOCK!$I558*INSTOCK!$K558</f>
        <v>0</v>
      </c>
      <c r="O558" s="2"/>
      <c r="P558" s="2"/>
    </row>
    <row r="559" ht="18.0" hidden="1" customHeight="1">
      <c r="A559" s="1"/>
      <c r="B559" s="3">
        <v>558.0</v>
      </c>
      <c r="C559" s="4">
        <v>43372.0</v>
      </c>
      <c r="D559" s="2" t="s">
        <v>685</v>
      </c>
      <c r="E559" s="2"/>
      <c r="F559" s="3" t="s">
        <v>161</v>
      </c>
      <c r="G559" s="2" t="s">
        <v>456</v>
      </c>
      <c r="H559" s="2" t="s">
        <v>515</v>
      </c>
      <c r="I559" s="3">
        <v>54.0</v>
      </c>
      <c r="J559" s="3"/>
      <c r="K559" s="5"/>
      <c r="L559" s="6" t="str">
        <f>IF(D559&lt;&gt;"",VLOOKUP(H559,TABLEITEM,2,FALSE),"")</f>
        <v>PART</v>
      </c>
      <c r="M559" s="6" t="str">
        <f>IF(D559&lt;&gt;"",VLOOKUP(H559,TABLEITEM,3,FALSE),"")</f>
        <v>ชุดฝากันระเบิด 600x500</v>
      </c>
      <c r="N559" s="7">
        <f>INSTOCK!$I559*INSTOCK!$K559</f>
        <v>0</v>
      </c>
      <c r="O559" s="2"/>
      <c r="P559" s="2"/>
    </row>
    <row r="560" ht="18.0" hidden="1" customHeight="1">
      <c r="A560" s="1"/>
      <c r="B560" s="3">
        <v>559.0</v>
      </c>
      <c r="C560" s="4">
        <v>43388.0</v>
      </c>
      <c r="D560" s="2" t="s">
        <v>685</v>
      </c>
      <c r="E560" s="2"/>
      <c r="F560" s="3" t="s">
        <v>161</v>
      </c>
      <c r="G560" s="2" t="s">
        <v>456</v>
      </c>
      <c r="H560" s="2" t="s">
        <v>515</v>
      </c>
      <c r="I560" s="3">
        <v>20.0</v>
      </c>
      <c r="J560" s="3"/>
      <c r="K560" s="5"/>
      <c r="L560" s="6" t="str">
        <f>IF(D560&lt;&gt;"",VLOOKUP(H560,TABLEITEM,2,FALSE),"")</f>
        <v>PART</v>
      </c>
      <c r="M560" s="6" t="str">
        <f>IF(D560&lt;&gt;"",VLOOKUP(H560,TABLEITEM,3,FALSE),"")</f>
        <v>ชุดฝากันระเบิด 600x500</v>
      </c>
      <c r="N560" s="7">
        <f>INSTOCK!$I560*INSTOCK!$K560</f>
        <v>0</v>
      </c>
      <c r="O560" s="2"/>
      <c r="P560" s="2"/>
    </row>
    <row r="561" ht="18.0" customHeight="1">
      <c r="A561" s="1"/>
      <c r="B561" s="3">
        <v>560.0</v>
      </c>
      <c r="C561" s="4">
        <v>43360.0</v>
      </c>
      <c r="D561" s="2" t="s">
        <v>689</v>
      </c>
      <c r="E561" s="2">
        <v>6.109001138E9</v>
      </c>
      <c r="F561" s="3" t="s">
        <v>690</v>
      </c>
      <c r="G561" s="2" t="s">
        <v>165</v>
      </c>
      <c r="H561" s="2" t="s">
        <v>691</v>
      </c>
      <c r="I561" s="3">
        <v>1.0</v>
      </c>
      <c r="J561" s="3"/>
      <c r="K561" s="5">
        <v>1400.0</v>
      </c>
      <c r="L561" s="6" t="str">
        <f>IF(D561&lt;&gt;"",VLOOKUP(H561,TABLEITEM,2,FALSE),"")</f>
        <v>MAT ST</v>
      </c>
      <c r="M561" s="6" t="str">
        <f>IF(D561&lt;&gt;"",VLOOKUP(H561,TABLEITEM,3,FALSE),"")</f>
        <v>แผ่นอะคริลิคใส 445x1134 T10.0</v>
      </c>
      <c r="N561" s="7">
        <f>INSTOCK!$I561*INSTOCK!$K561</f>
        <v>1400</v>
      </c>
      <c r="O561" s="2"/>
      <c r="P561" s="2"/>
    </row>
    <row r="562" ht="18.0" customHeight="1">
      <c r="A562" s="1"/>
      <c r="B562" s="3">
        <v>561.0</v>
      </c>
      <c r="C562" s="4">
        <v>43288.0</v>
      </c>
      <c r="D562" s="2" t="s">
        <v>692</v>
      </c>
      <c r="E562" s="2">
        <v>6.107000827E9</v>
      </c>
      <c r="F562" s="3" t="s">
        <v>693</v>
      </c>
      <c r="G562" s="2" t="s">
        <v>165</v>
      </c>
      <c r="H562" s="2" t="s">
        <v>694</v>
      </c>
      <c r="I562" s="3">
        <v>5.0</v>
      </c>
      <c r="J562" s="3"/>
      <c r="K562" s="5">
        <v>2480.0</v>
      </c>
      <c r="L562" s="6" t="str">
        <f>IF(D562&lt;&gt;"",VLOOKUP(H562,TABLEITEM,2,FALSE),"")</f>
        <v>PART</v>
      </c>
      <c r="M562" s="6" t="str">
        <f>IF(D562&lt;&gt;"",VLOOKUP(H562,TABLEITEM,3,FALSE),"")</f>
        <v>แผ่นอะคิลิค4x8..T5.0</v>
      </c>
      <c r="N562" s="7">
        <f>INSTOCK!$I562*INSTOCK!$K562</f>
        <v>12400</v>
      </c>
      <c r="O562" s="2"/>
      <c r="P562" s="2"/>
    </row>
    <row r="563" ht="18.0" customHeight="1">
      <c r="A563" s="1"/>
      <c r="B563" s="3">
        <v>562.0</v>
      </c>
      <c r="C563" s="4">
        <v>43283.0</v>
      </c>
      <c r="D563" s="2" t="s">
        <v>695</v>
      </c>
      <c r="E563" s="2">
        <v>6.106000795E9</v>
      </c>
      <c r="F563" s="3" t="s">
        <v>696</v>
      </c>
      <c r="G563" s="2" t="s">
        <v>165</v>
      </c>
      <c r="H563" s="2" t="s">
        <v>694</v>
      </c>
      <c r="I563" s="3">
        <v>1.0</v>
      </c>
      <c r="J563" s="3"/>
      <c r="K563" s="5">
        <v>2480.0</v>
      </c>
      <c r="L563" s="6" t="str">
        <f>IF(D563&lt;&gt;"",VLOOKUP(H563,TABLEITEM,2,FALSE),"")</f>
        <v>PART</v>
      </c>
      <c r="M563" s="6" t="str">
        <f>IF(D563&lt;&gt;"",VLOOKUP(H563,TABLEITEM,3,FALSE),"")</f>
        <v>แผ่นอะคิลิค4x8..T5.0</v>
      </c>
      <c r="N563" s="7">
        <f>INSTOCK!$I563*INSTOCK!$K563</f>
        <v>2480</v>
      </c>
      <c r="O563" s="2"/>
      <c r="P563" s="2"/>
    </row>
    <row r="564" ht="18.0" hidden="1" customHeight="1">
      <c r="A564" s="1"/>
      <c r="B564" s="3">
        <v>563.0</v>
      </c>
      <c r="C564" s="4">
        <v>43361.0</v>
      </c>
      <c r="D564" s="2" t="s">
        <v>642</v>
      </c>
      <c r="E564" s="2"/>
      <c r="F564" s="3" t="s">
        <v>161</v>
      </c>
      <c r="G564" s="2" t="s">
        <v>456</v>
      </c>
      <c r="H564" s="2" t="s">
        <v>652</v>
      </c>
      <c r="I564" s="3">
        <v>80.0</v>
      </c>
      <c r="J564" s="3"/>
      <c r="K564" s="5"/>
      <c r="L564" s="6" t="str">
        <f>IF(D564&lt;&gt;"",VLOOKUP(H564,TABLEITEM,2,FALSE),"")</f>
        <v>PART</v>
      </c>
      <c r="M564" s="6" t="str">
        <f>IF(D564&lt;&gt;"",VLOOKUP(H564,TABLEITEM,3,FALSE),"")</f>
        <v>ขายึดเทอมีนอล146x136</v>
      </c>
      <c r="N564" s="7">
        <f>INSTOCK!$I564*INSTOCK!$K564</f>
        <v>0</v>
      </c>
      <c r="O564" s="2"/>
      <c r="P564" s="2"/>
    </row>
    <row r="565" ht="18.0" hidden="1" customHeight="1">
      <c r="A565" s="1"/>
      <c r="B565" s="3">
        <v>564.0</v>
      </c>
      <c r="C565" s="4">
        <v>43383.0</v>
      </c>
      <c r="D565" s="2" t="s">
        <v>642</v>
      </c>
      <c r="E565" s="2"/>
      <c r="F565" s="3" t="s">
        <v>161</v>
      </c>
      <c r="G565" s="2" t="s">
        <v>456</v>
      </c>
      <c r="H565" s="2" t="s">
        <v>652</v>
      </c>
      <c r="I565" s="3">
        <v>80.0</v>
      </c>
      <c r="J565" s="3"/>
      <c r="K565" s="5"/>
      <c r="L565" s="6" t="str">
        <f>IF(D565&lt;&gt;"",VLOOKUP(H565,TABLEITEM,2,FALSE),"")</f>
        <v>PART</v>
      </c>
      <c r="M565" s="6" t="str">
        <f>IF(D565&lt;&gt;"",VLOOKUP(H565,TABLEITEM,3,FALSE),"")</f>
        <v>ขายึดเทอมีนอล146x136</v>
      </c>
      <c r="N565" s="7">
        <f>INSTOCK!$I565*INSTOCK!$K565</f>
        <v>0</v>
      </c>
      <c r="O565" s="2"/>
      <c r="P565" s="2"/>
    </row>
    <row r="566" ht="18.0" hidden="1" customHeight="1">
      <c r="A566" s="1"/>
      <c r="B566" s="3">
        <v>565.0</v>
      </c>
      <c r="C566" s="4">
        <v>43283.0</v>
      </c>
      <c r="D566" s="2" t="s">
        <v>695</v>
      </c>
      <c r="E566" s="2">
        <v>6.106000795E9</v>
      </c>
      <c r="F566" s="3" t="s">
        <v>696</v>
      </c>
      <c r="G566" s="2" t="s">
        <v>165</v>
      </c>
      <c r="H566" s="2" t="s">
        <v>75</v>
      </c>
      <c r="I566" s="3">
        <v>5.0</v>
      </c>
      <c r="J566" s="3"/>
      <c r="K566" s="5">
        <v>3450.0</v>
      </c>
      <c r="L566" s="6" t="str">
        <f>IF(D566&lt;&gt;"",VLOOKUP(H566,TABLEITEM,2,FALSE),"")</f>
        <v>PART</v>
      </c>
      <c r="M566" s="6" t="str">
        <f>IF(D566&lt;&gt;"",VLOOKUP(H566,TABLEITEM,3,FALSE),"")</f>
        <v>แผ่นเบกไลท์ 1220x2440T5.0</v>
      </c>
      <c r="N566" s="7">
        <f>INSTOCK!$I566*INSTOCK!$K566</f>
        <v>17250</v>
      </c>
      <c r="O566" s="2"/>
      <c r="P566" s="2"/>
    </row>
    <row r="567" ht="18.0" hidden="1" customHeight="1">
      <c r="A567" s="1"/>
      <c r="B567" s="3">
        <v>566.0</v>
      </c>
      <c r="C567" s="4">
        <v>43377.0</v>
      </c>
      <c r="D567" s="2" t="s">
        <v>585</v>
      </c>
      <c r="E567" s="2"/>
      <c r="F567" s="3" t="s">
        <v>161</v>
      </c>
      <c r="G567" s="2" t="s">
        <v>456</v>
      </c>
      <c r="H567" s="2" t="s">
        <v>586</v>
      </c>
      <c r="I567" s="3">
        <v>51.0</v>
      </c>
      <c r="J567" s="3"/>
      <c r="K567" s="5"/>
      <c r="L567" s="6" t="str">
        <f>IF(D567&lt;&gt;"",VLOOKUP(H567,TABLEITEM,2,FALSE),"")</f>
        <v>PART</v>
      </c>
      <c r="M567" s="6" t="str">
        <f>IF(D567&lt;&gt;"",VLOOKUP(H567,TABLEITEM,3,FALSE),"")</f>
        <v>หมวกตู้ 40x775</v>
      </c>
      <c r="N567" s="7">
        <f>INSTOCK!$I567*INSTOCK!$K567</f>
        <v>0</v>
      </c>
      <c r="O567" s="2"/>
      <c r="P567" s="2"/>
    </row>
    <row r="568" ht="18.0" hidden="1" customHeight="1">
      <c r="A568" s="1"/>
      <c r="B568" s="3">
        <v>567.0</v>
      </c>
      <c r="C568" s="4">
        <v>43377.0</v>
      </c>
      <c r="D568" s="2" t="s">
        <v>697</v>
      </c>
      <c r="E568" s="2"/>
      <c r="F568" s="3" t="s">
        <v>161</v>
      </c>
      <c r="G568" s="2" t="s">
        <v>456</v>
      </c>
      <c r="H568" s="2" t="s">
        <v>698</v>
      </c>
      <c r="I568" s="3">
        <v>34.0</v>
      </c>
      <c r="J568" s="3"/>
      <c r="K568" s="5"/>
      <c r="L568" s="6" t="str">
        <f>IF(D568&lt;&gt;"",VLOOKUP(H568,TABLEITEM,2,FALSE),"")</f>
        <v>PART</v>
      </c>
      <c r="M568" s="6" t="str">
        <f>IF(D568&lt;&gt;"",VLOOKUP(H568,TABLEITEM,3,FALSE),"")</f>
        <v>หมวกตู้ 40x975</v>
      </c>
      <c r="N568" s="7">
        <f>INSTOCK!$I568*INSTOCK!$K568</f>
        <v>0</v>
      </c>
      <c r="O568" s="2"/>
      <c r="P568" s="2"/>
    </row>
    <row r="569" ht="18.0" hidden="1" customHeight="1">
      <c r="A569" s="1"/>
      <c r="B569" s="3">
        <v>568.0</v>
      </c>
      <c r="C569" s="4">
        <v>43372.0</v>
      </c>
      <c r="D569" s="2" t="s">
        <v>633</v>
      </c>
      <c r="E569" s="2"/>
      <c r="F569" s="3" t="s">
        <v>161</v>
      </c>
      <c r="G569" s="2" t="s">
        <v>456</v>
      </c>
      <c r="H569" s="2" t="s">
        <v>699</v>
      </c>
      <c r="I569" s="3">
        <v>53.0</v>
      </c>
      <c r="J569" s="3"/>
      <c r="K569" s="5"/>
      <c r="L569" s="6" t="str">
        <f>IF(D569&lt;&gt;"",VLOOKUP(H569,TABLEITEM,2,FALSE),"")</f>
        <v>PART</v>
      </c>
      <c r="M569" s="6" t="str">
        <f>IF(D569&lt;&gt;"",VLOOKUP(H569,TABLEITEM,3,FALSE),"")</f>
        <v>หมวกตู้ 60x475</v>
      </c>
      <c r="N569" s="7">
        <f>INSTOCK!$I569*INSTOCK!$K569</f>
        <v>0</v>
      </c>
      <c r="O569" s="2"/>
      <c r="P569" s="2"/>
    </row>
    <row r="570" ht="18.0" hidden="1" customHeight="1">
      <c r="A570" s="1"/>
      <c r="B570" s="3">
        <v>569.0</v>
      </c>
      <c r="C570" s="4">
        <v>43384.0</v>
      </c>
      <c r="D570" s="2" t="s">
        <v>633</v>
      </c>
      <c r="E570" s="2"/>
      <c r="F570" s="3" t="s">
        <v>161</v>
      </c>
      <c r="G570" s="2" t="s">
        <v>456</v>
      </c>
      <c r="H570" s="2" t="s">
        <v>588</v>
      </c>
      <c r="I570" s="3">
        <v>100.0</v>
      </c>
      <c r="J570" s="3"/>
      <c r="K570" s="5"/>
      <c r="L570" s="6" t="str">
        <f>IF(D570&lt;&gt;"",VLOOKUP(H570,TABLEITEM,2,FALSE),"")</f>
        <v>PART</v>
      </c>
      <c r="M570" s="6" t="str">
        <f>IF(D570&lt;&gt;"",VLOOKUP(H570,TABLEITEM,3,FALSE),"")</f>
        <v>หมวกตู้ 60x575</v>
      </c>
      <c r="N570" s="7">
        <f>INSTOCK!$I570*INSTOCK!$K570</f>
        <v>0</v>
      </c>
      <c r="O570" s="2" t="s">
        <v>700</v>
      </c>
      <c r="P570" s="2"/>
    </row>
    <row r="571" ht="18.0" hidden="1" customHeight="1">
      <c r="A571" s="1"/>
      <c r="B571" s="3">
        <v>570.0</v>
      </c>
      <c r="C571" s="4">
        <v>43383.0</v>
      </c>
      <c r="D571" s="2" t="s">
        <v>647</v>
      </c>
      <c r="E571" s="2"/>
      <c r="F571" s="3" t="s">
        <v>161</v>
      </c>
      <c r="G571" s="2" t="s">
        <v>456</v>
      </c>
      <c r="H571" s="2" t="s">
        <v>701</v>
      </c>
      <c r="I571" s="3">
        <v>49.0</v>
      </c>
      <c r="J571" s="3"/>
      <c r="K571" s="5"/>
      <c r="L571" s="6" t="str">
        <f>IF(D571&lt;&gt;"",VLOOKUP(H571,TABLEITEM,2,FALSE),"")</f>
        <v>PART</v>
      </c>
      <c r="M571" s="6" t="str">
        <f>IF(D571&lt;&gt;"",VLOOKUP(H571,TABLEITEM,3,FALSE),"")</f>
        <v>เพลทเบรกเกอร์ 225x220</v>
      </c>
      <c r="N571" s="7">
        <f>INSTOCK!$I571*INSTOCK!$K571</f>
        <v>0</v>
      </c>
      <c r="O571" s="2"/>
      <c r="P571" s="2"/>
    </row>
    <row r="572" ht="18.0" hidden="1" customHeight="1">
      <c r="A572" s="1"/>
      <c r="B572" s="3">
        <v>571.0</v>
      </c>
      <c r="C572" s="4">
        <v>43378.0</v>
      </c>
      <c r="D572" s="2" t="s">
        <v>702</v>
      </c>
      <c r="E572" s="2"/>
      <c r="F572" s="3" t="s">
        <v>161</v>
      </c>
      <c r="G572" s="2" t="s">
        <v>456</v>
      </c>
      <c r="H572" s="2" t="s">
        <v>563</v>
      </c>
      <c r="I572" s="3">
        <v>20.0</v>
      </c>
      <c r="J572" s="3"/>
      <c r="K572" s="5"/>
      <c r="L572" s="6" t="str">
        <f>IF(D572&lt;&gt;"",VLOOKUP(H572,TABLEITEM,2,FALSE),"")</f>
        <v>PART</v>
      </c>
      <c r="M572" s="6" t="str">
        <f>IF(D572&lt;&gt;"",VLOOKUP(H572,TABLEITEM,3,FALSE),"")</f>
        <v>เพลทเบกเกอร์ 525x280</v>
      </c>
      <c r="N572" s="7">
        <f>INSTOCK!$I572*INSTOCK!$K572</f>
        <v>0</v>
      </c>
      <c r="O572" s="2"/>
      <c r="P572" s="2"/>
    </row>
    <row r="573" ht="18.0" hidden="1" customHeight="1">
      <c r="A573" s="1"/>
      <c r="B573" s="3">
        <v>572.0</v>
      </c>
      <c r="C573" s="4">
        <v>43378.0</v>
      </c>
      <c r="D573" s="2" t="s">
        <v>703</v>
      </c>
      <c r="E573" s="2"/>
      <c r="F573" s="3" t="s">
        <v>161</v>
      </c>
      <c r="G573" s="2" t="s">
        <v>456</v>
      </c>
      <c r="H573" s="2" t="s">
        <v>704</v>
      </c>
      <c r="I573" s="3">
        <v>30.0</v>
      </c>
      <c r="J573" s="3"/>
      <c r="K573" s="5"/>
      <c r="L573" s="6" t="str">
        <f>IF(D573&lt;&gt;"",VLOOKUP(H573,TABLEITEM,2,FALSE),"")</f>
        <v>PART</v>
      </c>
      <c r="M573" s="6" t="str">
        <f>IF(D573&lt;&gt;"",VLOOKUP(H573,TABLEITEM,3,FALSE),"")</f>
        <v>เพลทเบกเกอร์ 414x140</v>
      </c>
      <c r="N573" s="7">
        <f>INSTOCK!$I573*INSTOCK!$K573</f>
        <v>0</v>
      </c>
      <c r="O573" s="2"/>
      <c r="P573" s="2"/>
    </row>
    <row r="574" ht="18.0" hidden="1" customHeight="1">
      <c r="A574" s="1"/>
      <c r="B574" s="3">
        <v>573.0</v>
      </c>
      <c r="C574" s="4">
        <v>43378.0</v>
      </c>
      <c r="D574" s="2" t="s">
        <v>646</v>
      </c>
      <c r="E574" s="2"/>
      <c r="F574" s="3" t="s">
        <v>161</v>
      </c>
      <c r="G574" s="2" t="s">
        <v>456</v>
      </c>
      <c r="H574" s="2" t="s">
        <v>705</v>
      </c>
      <c r="I574" s="3">
        <v>20.0</v>
      </c>
      <c r="J574" s="3"/>
      <c r="K574" s="5"/>
      <c r="L574" s="6" t="str">
        <f>IF(D574&lt;&gt;"",VLOOKUP(H574,TABLEITEM,2,FALSE),"")</f>
        <v>PART</v>
      </c>
      <c r="M574" s="6" t="str">
        <f>IF(D574&lt;&gt;"",VLOOKUP(H574,TABLEITEM,3,FALSE),"")</f>
        <v>เพลทเบกเกอร์ 614x140</v>
      </c>
      <c r="N574" s="7">
        <f>INSTOCK!$I574*INSTOCK!$K574</f>
        <v>0</v>
      </c>
      <c r="O574" s="2"/>
      <c r="P574" s="2"/>
    </row>
    <row r="575" ht="18.0" hidden="1" customHeight="1">
      <c r="A575" s="1"/>
      <c r="B575" s="3">
        <v>574.0</v>
      </c>
      <c r="C575" s="4">
        <v>43378.0</v>
      </c>
      <c r="D575" s="2" t="s">
        <v>706</v>
      </c>
      <c r="E575" s="2"/>
      <c r="F575" s="3" t="s">
        <v>161</v>
      </c>
      <c r="G575" s="2" t="s">
        <v>456</v>
      </c>
      <c r="H575" s="2" t="s">
        <v>707</v>
      </c>
      <c r="I575" s="3">
        <v>21.0</v>
      </c>
      <c r="J575" s="3"/>
      <c r="K575" s="5"/>
      <c r="L575" s="6" t="str">
        <f>IF(D575&lt;&gt;"",VLOOKUP(H575,TABLEITEM,2,FALSE),"")</f>
        <v>PART</v>
      </c>
      <c r="M575" s="6" t="str">
        <f>IF(D575&lt;&gt;"",VLOOKUP(H575,TABLEITEM,3,FALSE),"")</f>
        <v>ฝาข้าง-ฝาหลัง 1875x320</v>
      </c>
      <c r="N575" s="7">
        <f>INSTOCK!$I575*INSTOCK!$K575</f>
        <v>0</v>
      </c>
      <c r="O575" s="2"/>
      <c r="P575" s="2"/>
    </row>
    <row r="576" ht="18.0" hidden="1" customHeight="1">
      <c r="A576" s="1"/>
      <c r="B576" s="3">
        <v>575.0</v>
      </c>
      <c r="C576" s="4">
        <v>43378.0</v>
      </c>
      <c r="D576" s="2" t="s">
        <v>706</v>
      </c>
      <c r="E576" s="2"/>
      <c r="F576" s="3" t="s">
        <v>161</v>
      </c>
      <c r="G576" s="2" t="s">
        <v>456</v>
      </c>
      <c r="H576" s="2" t="s">
        <v>481</v>
      </c>
      <c r="I576" s="3">
        <v>15.0</v>
      </c>
      <c r="J576" s="3"/>
      <c r="K576" s="5"/>
      <c r="L576" s="6" t="str">
        <f>IF(D576&lt;&gt;"",VLOOKUP(H576,TABLEITEM,2,FALSE),"")</f>
        <v>PART</v>
      </c>
      <c r="M576" s="6" t="str">
        <f>IF(D576&lt;&gt;"",VLOOKUP(H576,TABLEITEM,3,FALSE),"")</f>
        <v>ฝาข้าง-ฝาหลัง 2075x870</v>
      </c>
      <c r="N576" s="7">
        <f>INSTOCK!$I576*INSTOCK!$K576</f>
        <v>0</v>
      </c>
      <c r="O576" s="2"/>
      <c r="P576" s="2"/>
    </row>
    <row r="577" ht="18.0" hidden="1" customHeight="1">
      <c r="A577" s="1"/>
      <c r="B577" s="3">
        <v>576.0</v>
      </c>
      <c r="C577" s="4">
        <v>43378.0</v>
      </c>
      <c r="D577" s="2" t="s">
        <v>708</v>
      </c>
      <c r="E577" s="2"/>
      <c r="F577" s="3" t="s">
        <v>161</v>
      </c>
      <c r="G577" s="2" t="s">
        <v>456</v>
      </c>
      <c r="H577" s="2" t="s">
        <v>653</v>
      </c>
      <c r="I577" s="3">
        <v>20.0</v>
      </c>
      <c r="J577" s="3"/>
      <c r="K577" s="5"/>
      <c r="L577" s="6" t="str">
        <f>IF(D577&lt;&gt;"",VLOOKUP(H577,TABLEITEM,2,FALSE),"")</f>
        <v>PART</v>
      </c>
      <c r="M577" s="6" t="str">
        <f>IF(D577&lt;&gt;"",VLOOKUP(H577,TABLEITEM,3,FALSE),"")</f>
        <v>ฝาข้าง-ฝาหลัง 2075x970</v>
      </c>
      <c r="N577" s="7">
        <f>INSTOCK!$I577*INSTOCK!$K577</f>
        <v>0</v>
      </c>
      <c r="O577" s="2"/>
      <c r="P577" s="2"/>
    </row>
    <row r="578" ht="18.0" hidden="1" customHeight="1">
      <c r="A578" s="1"/>
      <c r="B578" s="3">
        <v>577.0</v>
      </c>
      <c r="C578" s="4">
        <v>43356.0</v>
      </c>
      <c r="D578" s="2" t="s">
        <v>709</v>
      </c>
      <c r="E578" s="2"/>
      <c r="F578" s="3" t="s">
        <v>161</v>
      </c>
      <c r="G578" s="2" t="s">
        <v>456</v>
      </c>
      <c r="H578" s="2" t="s">
        <v>710</v>
      </c>
      <c r="I578" s="3">
        <v>150.0</v>
      </c>
      <c r="J578" s="3"/>
      <c r="K578" s="5"/>
      <c r="L578" s="6" t="str">
        <f>IF(D578&lt;&gt;"",VLOOKUP(H578,TABLEITEM,2,FALSE),"")</f>
        <v>PART</v>
      </c>
      <c r="M578" s="6" t="str">
        <f>IF(D578&lt;&gt;"",VLOOKUP(H578,TABLEITEM,3,FALSE),"")</f>
        <v>คานฝาหน้า 50x22x720</v>
      </c>
      <c r="N578" s="7">
        <f>INSTOCK!$I578*INSTOCK!$K578</f>
        <v>0</v>
      </c>
      <c r="O578" s="2"/>
      <c r="P578" s="2"/>
    </row>
    <row r="579" ht="18.0" hidden="1" customHeight="1">
      <c r="A579" s="1"/>
      <c r="B579" s="3">
        <v>578.0</v>
      </c>
      <c r="C579" s="4">
        <v>43372.0</v>
      </c>
      <c r="D579" s="2" t="s">
        <v>709</v>
      </c>
      <c r="E579" s="2"/>
      <c r="F579" s="3" t="s">
        <v>161</v>
      </c>
      <c r="G579" s="2" t="s">
        <v>456</v>
      </c>
      <c r="H579" s="2" t="s">
        <v>710</v>
      </c>
      <c r="I579" s="3">
        <v>45.0</v>
      </c>
      <c r="J579" s="3"/>
      <c r="K579" s="5"/>
      <c r="L579" s="6" t="str">
        <f>IF(D579&lt;&gt;"",VLOOKUP(H579,TABLEITEM,2,FALSE),"")</f>
        <v>PART</v>
      </c>
      <c r="M579" s="6" t="str">
        <f>IF(D579&lt;&gt;"",VLOOKUP(H579,TABLEITEM,3,FALSE),"")</f>
        <v>คานฝาหน้า 50x22x720</v>
      </c>
      <c r="N579" s="7">
        <f>INSTOCK!$I579*INSTOCK!$K579</f>
        <v>0</v>
      </c>
      <c r="O579" s="2"/>
      <c r="P579" s="2"/>
    </row>
    <row r="580" ht="18.0" hidden="1" customHeight="1">
      <c r="A580" s="1"/>
      <c r="B580" s="3">
        <v>579.0</v>
      </c>
      <c r="C580" s="4">
        <v>43378.0</v>
      </c>
      <c r="D580" s="2" t="s">
        <v>711</v>
      </c>
      <c r="E580" s="2"/>
      <c r="F580" s="3" t="s">
        <v>161</v>
      </c>
      <c r="G580" s="2" t="s">
        <v>456</v>
      </c>
      <c r="H580" s="2" t="s">
        <v>712</v>
      </c>
      <c r="I580" s="3">
        <v>45.0</v>
      </c>
      <c r="J580" s="3"/>
      <c r="K580" s="5"/>
      <c r="L580" s="6" t="str">
        <f>IF(D580&lt;&gt;"",VLOOKUP(H580,TABLEITEM,2,FALSE),"")</f>
        <v>PART</v>
      </c>
      <c r="M580" s="6" t="str">
        <f>IF(D580&lt;&gt;"",VLOOKUP(H580,TABLEITEM,3,FALSE),"")</f>
        <v>คานฝาหน้า 50x22x920</v>
      </c>
      <c r="N580" s="7">
        <f>INSTOCK!$I580*INSTOCK!$K580</f>
        <v>0</v>
      </c>
      <c r="O580" s="2"/>
      <c r="P580" s="2"/>
    </row>
    <row r="581" ht="18.0" hidden="1" customHeight="1">
      <c r="A581" s="1"/>
      <c r="B581" s="3">
        <v>580.0</v>
      </c>
      <c r="C581" s="4">
        <v>43378.0</v>
      </c>
      <c r="D581" s="2" t="s">
        <v>581</v>
      </c>
      <c r="E581" s="2"/>
      <c r="F581" s="3" t="s">
        <v>161</v>
      </c>
      <c r="G581" s="2" t="s">
        <v>456</v>
      </c>
      <c r="H581" s="2" t="s">
        <v>582</v>
      </c>
      <c r="I581" s="3">
        <v>42.0</v>
      </c>
      <c r="J581" s="3"/>
      <c r="K581" s="5"/>
      <c r="L581" s="6" t="str">
        <f>IF(D581&lt;&gt;"",VLOOKUP(H581,TABLEITEM,2,FALSE),"")</f>
        <v>PART</v>
      </c>
      <c r="M581" s="6" t="str">
        <f>IF(D581&lt;&gt;"",VLOOKUP(H581,TABLEITEM,3,FALSE),"")</f>
        <v>คานรับลูกถ้วย 50x40x720</v>
      </c>
      <c r="N581" s="7">
        <f>INSTOCK!$I581*INSTOCK!$K581</f>
        <v>0</v>
      </c>
      <c r="O581" s="2"/>
      <c r="P581" s="2"/>
    </row>
    <row r="582" ht="18.0" hidden="1" customHeight="1">
      <c r="A582" s="1"/>
      <c r="B582" s="3">
        <v>581.0</v>
      </c>
      <c r="C582" s="4">
        <v>43356.0</v>
      </c>
      <c r="D582" s="2" t="s">
        <v>713</v>
      </c>
      <c r="E582" s="2"/>
      <c r="F582" s="3" t="s">
        <v>161</v>
      </c>
      <c r="G582" s="2" t="s">
        <v>456</v>
      </c>
      <c r="H582" s="2" t="s">
        <v>484</v>
      </c>
      <c r="I582" s="3">
        <v>300.0</v>
      </c>
      <c r="J582" s="3"/>
      <c r="K582" s="5"/>
      <c r="L582" s="6" t="str">
        <f>IF(D582&lt;&gt;"",VLOOKUP(H582,TABLEITEM,2,FALSE),"")</f>
        <v>PART</v>
      </c>
      <c r="M582" s="6" t="str">
        <f>IF(D582&lt;&gt;"",VLOOKUP(H582,TABLEITEM,3,FALSE),"")</f>
        <v>คานต่อโครง3mm 68x45x720</v>
      </c>
      <c r="N582" s="7">
        <f>INSTOCK!$I582*INSTOCK!$K582</f>
        <v>0</v>
      </c>
      <c r="O582" s="2"/>
      <c r="P582" s="2"/>
    </row>
    <row r="583" ht="18.0" hidden="1" customHeight="1">
      <c r="A583" s="1"/>
      <c r="B583" s="3">
        <v>582.0</v>
      </c>
      <c r="C583" s="4">
        <v>43372.0</v>
      </c>
      <c r="D583" s="2" t="s">
        <v>713</v>
      </c>
      <c r="E583" s="2"/>
      <c r="F583" s="3" t="s">
        <v>161</v>
      </c>
      <c r="G583" s="2" t="s">
        <v>456</v>
      </c>
      <c r="H583" s="2" t="s">
        <v>484</v>
      </c>
      <c r="I583" s="3">
        <v>146.0</v>
      </c>
      <c r="J583" s="3"/>
      <c r="K583" s="5"/>
      <c r="L583" s="6" t="str">
        <f>IF(D583&lt;&gt;"",VLOOKUP(H583,TABLEITEM,2,FALSE),"")</f>
        <v>PART</v>
      </c>
      <c r="M583" s="6" t="str">
        <f>IF(D583&lt;&gt;"",VLOOKUP(H583,TABLEITEM,3,FALSE),"")</f>
        <v>คานต่อโครง3mm 68x45x720</v>
      </c>
      <c r="N583" s="7">
        <f>INSTOCK!$I583*INSTOCK!$K583</f>
        <v>0</v>
      </c>
      <c r="O583" s="2"/>
      <c r="P583" s="2"/>
    </row>
    <row r="584" ht="18.0" hidden="1" customHeight="1">
      <c r="A584" s="1"/>
      <c r="B584" s="3">
        <v>583.0</v>
      </c>
      <c r="C584" s="4">
        <v>43385.0</v>
      </c>
      <c r="D584" s="2" t="s">
        <v>713</v>
      </c>
      <c r="E584" s="2"/>
      <c r="F584" s="3" t="s">
        <v>161</v>
      </c>
      <c r="G584" s="2" t="s">
        <v>456</v>
      </c>
      <c r="H584" s="2" t="s">
        <v>484</v>
      </c>
      <c r="I584" s="3">
        <v>73.0</v>
      </c>
      <c r="J584" s="3"/>
      <c r="K584" s="5"/>
      <c r="L584" s="6" t="str">
        <f>IF(D584&lt;&gt;"",VLOOKUP(H584,TABLEITEM,2,FALSE),"")</f>
        <v>PART</v>
      </c>
      <c r="M584" s="6" t="str">
        <f>IF(D584&lt;&gt;"",VLOOKUP(H584,TABLEITEM,3,FALSE),"")</f>
        <v>คานต่อโครง3mm 68x45x720</v>
      </c>
      <c r="N584" s="7">
        <f>INSTOCK!$I584*INSTOCK!$K584</f>
        <v>0</v>
      </c>
      <c r="O584" s="2"/>
      <c r="P584" s="2"/>
    </row>
    <row r="585" ht="18.0" hidden="1" customHeight="1">
      <c r="A585" s="1"/>
      <c r="B585" s="3">
        <v>584.0</v>
      </c>
      <c r="C585" s="4">
        <v>43388.0</v>
      </c>
      <c r="D585" s="2" t="s">
        <v>713</v>
      </c>
      <c r="E585" s="2"/>
      <c r="F585" s="3" t="s">
        <v>161</v>
      </c>
      <c r="G585" s="2" t="s">
        <v>456</v>
      </c>
      <c r="H585" s="2" t="s">
        <v>484</v>
      </c>
      <c r="I585" s="3">
        <v>159.0</v>
      </c>
      <c r="J585" s="3"/>
      <c r="K585" s="5"/>
      <c r="L585" s="6" t="str">
        <f>IF(D585&lt;&gt;"",VLOOKUP(H585,TABLEITEM,2,FALSE),"")</f>
        <v>PART</v>
      </c>
      <c r="M585" s="6" t="str">
        <f>IF(D585&lt;&gt;"",VLOOKUP(H585,TABLEITEM,3,FALSE),"")</f>
        <v>คานต่อโครง3mm 68x45x720</v>
      </c>
      <c r="N585" s="7">
        <f>INSTOCK!$I585*INSTOCK!$K585</f>
        <v>0</v>
      </c>
      <c r="O585" s="2"/>
      <c r="P585" s="2"/>
    </row>
    <row r="586" ht="18.0" hidden="1" customHeight="1">
      <c r="A586" s="1"/>
      <c r="B586" s="3">
        <v>585.0</v>
      </c>
      <c r="C586" s="4">
        <v>43383.0</v>
      </c>
      <c r="D586" s="2" t="s">
        <v>714</v>
      </c>
      <c r="E586" s="2"/>
      <c r="F586" s="3" t="s">
        <v>161</v>
      </c>
      <c r="G586" s="2" t="s">
        <v>456</v>
      </c>
      <c r="H586" s="2" t="s">
        <v>715</v>
      </c>
      <c r="I586" s="3">
        <v>100.0</v>
      </c>
      <c r="J586" s="3"/>
      <c r="K586" s="5"/>
      <c r="L586" s="6" t="str">
        <f>IF(D586&lt;&gt;"",VLOOKUP(H586,TABLEITEM,2,FALSE),"")</f>
        <v>PART</v>
      </c>
      <c r="M586" s="6" t="str">
        <f>IF(D586&lt;&gt;"",VLOOKUP(H586,TABLEITEM,3,FALSE),"")</f>
        <v>คานต่อโครง3mm 68x45x820</v>
      </c>
      <c r="N586" s="7">
        <f>INSTOCK!$I586*INSTOCK!$K586</f>
        <v>0</v>
      </c>
      <c r="O586" s="2"/>
      <c r="P586" s="2"/>
    </row>
    <row r="587" ht="18.0" hidden="1" customHeight="1">
      <c r="A587" s="1"/>
      <c r="B587" s="3">
        <v>586.0</v>
      </c>
      <c r="C587" s="4">
        <v>43383.0</v>
      </c>
      <c r="D587" s="2" t="s">
        <v>716</v>
      </c>
      <c r="E587" s="2"/>
      <c r="F587" s="3" t="s">
        <v>161</v>
      </c>
      <c r="G587" s="2" t="s">
        <v>456</v>
      </c>
      <c r="H587" s="2" t="s">
        <v>621</v>
      </c>
      <c r="I587" s="3">
        <v>155.0</v>
      </c>
      <c r="J587" s="3"/>
      <c r="K587" s="5"/>
      <c r="L587" s="6" t="str">
        <f>IF(D587&lt;&gt;"",VLOOKUP(H587,TABLEITEM,2,FALSE),"")</f>
        <v>PART</v>
      </c>
      <c r="M587" s="6" t="str">
        <f>IF(D587&lt;&gt;"",VLOOKUP(H587,TABLEITEM,3,FALSE),"")</f>
        <v>คานต่อโครง 80x45x3mmx620</v>
      </c>
      <c r="N587" s="7">
        <f>INSTOCK!$I587*INSTOCK!$K587</f>
        <v>0</v>
      </c>
      <c r="O587" s="2"/>
      <c r="P587" s="2"/>
    </row>
    <row r="588" ht="18.0" hidden="1" customHeight="1">
      <c r="A588" s="1"/>
      <c r="B588" s="3">
        <v>587.0</v>
      </c>
      <c r="C588" s="4">
        <v>43362.0</v>
      </c>
      <c r="D588" s="2" t="s">
        <v>716</v>
      </c>
      <c r="E588" s="2"/>
      <c r="F588" s="3" t="s">
        <v>161</v>
      </c>
      <c r="G588" s="2" t="s">
        <v>456</v>
      </c>
      <c r="H588" s="2" t="s">
        <v>624</v>
      </c>
      <c r="I588" s="3">
        <v>30.0</v>
      </c>
      <c r="J588" s="3"/>
      <c r="K588" s="5"/>
      <c r="L588" s="6" t="str">
        <f>IF(D588&lt;&gt;"",VLOOKUP(H588,TABLEITEM,2,FALSE),"")</f>
        <v>PART</v>
      </c>
      <c r="M588" s="6" t="str">
        <f>IF(D588&lt;&gt;"",VLOOKUP(H588,TABLEITEM,3,FALSE),"")</f>
        <v>คานต่อโครง 80x45x3mmx920</v>
      </c>
      <c r="N588" s="7">
        <f>INSTOCK!$I588*INSTOCK!$K588</f>
        <v>0</v>
      </c>
      <c r="O588" s="2"/>
      <c r="P588" s="2"/>
    </row>
    <row r="589" ht="18.0" hidden="1" customHeight="1">
      <c r="A589" s="1"/>
      <c r="B589" s="3">
        <v>588.0</v>
      </c>
      <c r="C589" s="4">
        <v>43377.0</v>
      </c>
      <c r="D589" s="2" t="s">
        <v>716</v>
      </c>
      <c r="E589" s="2"/>
      <c r="F589" s="3" t="s">
        <v>161</v>
      </c>
      <c r="G589" s="2" t="s">
        <v>456</v>
      </c>
      <c r="H589" s="2" t="s">
        <v>624</v>
      </c>
      <c r="I589" s="3">
        <v>77.0</v>
      </c>
      <c r="J589" s="3"/>
      <c r="K589" s="5"/>
      <c r="L589" s="6" t="str">
        <f>IF(D589&lt;&gt;"",VLOOKUP(H589,TABLEITEM,2,FALSE),"")</f>
        <v>PART</v>
      </c>
      <c r="M589" s="6" t="str">
        <f>IF(D589&lt;&gt;"",VLOOKUP(H589,TABLEITEM,3,FALSE),"")</f>
        <v>คานต่อโครง 80x45x3mmx920</v>
      </c>
      <c r="N589" s="7">
        <f>INSTOCK!$I589*INSTOCK!$K589</f>
        <v>0</v>
      </c>
      <c r="O589" s="2"/>
      <c r="P589" s="2"/>
    </row>
    <row r="590" ht="18.0" hidden="1" customHeight="1">
      <c r="A590" s="1"/>
      <c r="B590" s="3">
        <v>589.0</v>
      </c>
      <c r="C590" s="4">
        <v>43356.0</v>
      </c>
      <c r="D590" s="2" t="s">
        <v>717</v>
      </c>
      <c r="E590" s="2"/>
      <c r="F590" s="3" t="s">
        <v>161</v>
      </c>
      <c r="G590" s="2" t="s">
        <v>456</v>
      </c>
      <c r="H590" s="2" t="s">
        <v>718</v>
      </c>
      <c r="I590" s="3">
        <v>50.0</v>
      </c>
      <c r="J590" s="3"/>
      <c r="K590" s="5"/>
      <c r="L590" s="6" t="str">
        <f>IF(D590&lt;&gt;"",VLOOKUP(H590,TABLEITEM,2,FALSE),"")</f>
        <v>PART</v>
      </c>
      <c r="M590" s="6" t="str">
        <f>IF(D590&lt;&gt;"",VLOOKUP(H590,TABLEITEM,3,FALSE),"")</f>
        <v>คานต่อโครงรับลูกถ้วย720x68x45</v>
      </c>
      <c r="N590" s="7">
        <f>INSTOCK!$I590*INSTOCK!$K590</f>
        <v>0</v>
      </c>
      <c r="O590" s="2"/>
      <c r="P590" s="2"/>
    </row>
    <row r="591" ht="18.0" hidden="1" customHeight="1">
      <c r="A591" s="1"/>
      <c r="B591" s="3">
        <v>590.0</v>
      </c>
      <c r="C591" s="4">
        <v>43372.0</v>
      </c>
      <c r="D591" s="2" t="s">
        <v>717</v>
      </c>
      <c r="E591" s="2"/>
      <c r="F591" s="3" t="s">
        <v>161</v>
      </c>
      <c r="G591" s="2" t="s">
        <v>456</v>
      </c>
      <c r="H591" s="2" t="s">
        <v>718</v>
      </c>
      <c r="I591" s="3">
        <v>75.0</v>
      </c>
      <c r="J591" s="3"/>
      <c r="K591" s="5"/>
      <c r="L591" s="6" t="str">
        <f>IF(D591&lt;&gt;"",VLOOKUP(H591,TABLEITEM,2,FALSE),"")</f>
        <v>PART</v>
      </c>
      <c r="M591" s="6" t="str">
        <f>IF(D591&lt;&gt;"",VLOOKUP(H591,TABLEITEM,3,FALSE),"")</f>
        <v>คานต่อโครงรับลูกถ้วย720x68x45</v>
      </c>
      <c r="N591" s="7">
        <f>INSTOCK!$I591*INSTOCK!$K591</f>
        <v>0</v>
      </c>
      <c r="O591" s="2"/>
      <c r="P591" s="2"/>
    </row>
    <row r="592" ht="18.0" hidden="1" customHeight="1">
      <c r="A592" s="1"/>
      <c r="B592" s="3">
        <v>591.0</v>
      </c>
      <c r="C592" s="4">
        <v>43377.0</v>
      </c>
      <c r="D592" s="2" t="s">
        <v>716</v>
      </c>
      <c r="E592" s="2"/>
      <c r="F592" s="3" t="s">
        <v>161</v>
      </c>
      <c r="G592" s="2" t="s">
        <v>456</v>
      </c>
      <c r="H592" s="2" t="s">
        <v>719</v>
      </c>
      <c r="I592" s="3">
        <v>40.0</v>
      </c>
      <c r="J592" s="3"/>
      <c r="K592" s="5"/>
      <c r="L592" s="6" t="str">
        <f>IF(D592&lt;&gt;"",VLOOKUP(H592,TABLEITEM,2,FALSE),"")</f>
        <v>PART</v>
      </c>
      <c r="M592" s="6" t="str">
        <f>IF(D592&lt;&gt;"",VLOOKUP(H592,TABLEITEM,3,FALSE),"")</f>
        <v>คานต่อโครงรับลูกถ้วย920X68X45</v>
      </c>
      <c r="N592" s="7">
        <f>INSTOCK!$I592*INSTOCK!$K592</f>
        <v>0</v>
      </c>
      <c r="O592" s="2"/>
      <c r="P592" s="2"/>
    </row>
    <row r="593" ht="18.0" hidden="1" customHeight="1">
      <c r="A593" s="1"/>
      <c r="B593" s="3">
        <v>592.0</v>
      </c>
      <c r="C593" s="4">
        <v>43356.0</v>
      </c>
      <c r="D593" s="2" t="s">
        <v>717</v>
      </c>
      <c r="E593" s="2"/>
      <c r="F593" s="3" t="s">
        <v>161</v>
      </c>
      <c r="G593" s="2" t="s">
        <v>456</v>
      </c>
      <c r="H593" s="2" t="s">
        <v>483</v>
      </c>
      <c r="I593" s="3">
        <v>150.0</v>
      </c>
      <c r="J593" s="3"/>
      <c r="K593" s="5"/>
      <c r="L593" s="6" t="str">
        <f>IF(D593&lt;&gt;"",VLOOKUP(H593,TABLEITEM,2,FALSE),"")</f>
        <v>PART</v>
      </c>
      <c r="M593" s="6" t="str">
        <f>IF(D593&lt;&gt;"",VLOOKUP(H593,TABLEITEM,3,FALSE),"")</f>
        <v>คานต่อโครง4รู 68x45x3mmx720</v>
      </c>
      <c r="N593" s="7">
        <f>INSTOCK!$I593*INSTOCK!$K593</f>
        <v>0</v>
      </c>
      <c r="O593" s="2"/>
      <c r="P593" s="2"/>
    </row>
    <row r="594" ht="18.0" hidden="1" customHeight="1">
      <c r="A594" s="1"/>
      <c r="B594" s="3">
        <v>593.0</v>
      </c>
      <c r="C594" s="4">
        <v>43356.0</v>
      </c>
      <c r="D594" s="2" t="s">
        <v>717</v>
      </c>
      <c r="E594" s="2"/>
      <c r="F594" s="3" t="s">
        <v>161</v>
      </c>
      <c r="G594" s="2" t="s">
        <v>456</v>
      </c>
      <c r="H594" s="2" t="s">
        <v>720</v>
      </c>
      <c r="I594" s="3">
        <v>50.0</v>
      </c>
      <c r="J594" s="3"/>
      <c r="K594" s="5"/>
      <c r="L594" s="6" t="str">
        <f>IF(D594&lt;&gt;"",VLOOKUP(H594,TABLEITEM,2,FALSE),"")</f>
        <v>PART</v>
      </c>
      <c r="M594" s="6" t="str">
        <f>IF(D594&lt;&gt;"",VLOOKUP(H594,TABLEITEM,3,FALSE),"")</f>
        <v>คานต่อโครง4รูดาม720x68x45</v>
      </c>
      <c r="N594" s="7">
        <f>INSTOCK!$I594*INSTOCK!$K594</f>
        <v>0</v>
      </c>
      <c r="O594" s="2"/>
      <c r="P594" s="2"/>
    </row>
    <row r="595" ht="18.0" hidden="1" customHeight="1">
      <c r="A595" s="1"/>
      <c r="B595" s="3">
        <v>594.0</v>
      </c>
      <c r="C595" s="4">
        <v>43377.0</v>
      </c>
      <c r="D595" s="2" t="s">
        <v>716</v>
      </c>
      <c r="E595" s="2"/>
      <c r="F595" s="3" t="s">
        <v>161</v>
      </c>
      <c r="G595" s="2" t="s">
        <v>456</v>
      </c>
      <c r="H595" s="2" t="s">
        <v>721</v>
      </c>
      <c r="I595" s="3">
        <v>23.0</v>
      </c>
      <c r="J595" s="3"/>
      <c r="K595" s="5"/>
      <c r="L595" s="6" t="str">
        <f>IF(D595&lt;&gt;"",VLOOKUP(H595,TABLEITEM,2,FALSE),"")</f>
        <v>PART</v>
      </c>
      <c r="M595" s="6" t="str">
        <f>IF(D595&lt;&gt;"",VLOOKUP(H595,TABLEITEM,3,FALSE),"")</f>
        <v>คานต่อโครง4รูดาม920x68x45</v>
      </c>
      <c r="N595" s="7">
        <f>INSTOCK!$I595*INSTOCK!$K595</f>
        <v>0</v>
      </c>
      <c r="O595" s="2"/>
      <c r="P595" s="2"/>
    </row>
    <row r="596" ht="18.0" hidden="1" customHeight="1">
      <c r="A596" s="1"/>
      <c r="B596" s="3">
        <v>595.0</v>
      </c>
      <c r="C596" s="4">
        <v>43383.0</v>
      </c>
      <c r="D596" s="2" t="s">
        <v>722</v>
      </c>
      <c r="E596" s="2"/>
      <c r="F596" s="3" t="s">
        <v>161</v>
      </c>
      <c r="G596" s="2" t="s">
        <v>456</v>
      </c>
      <c r="H596" s="2" t="s">
        <v>523</v>
      </c>
      <c r="I596" s="3">
        <v>200.0</v>
      </c>
      <c r="J596" s="3"/>
      <c r="K596" s="5"/>
      <c r="L596" s="6" t="str">
        <f>IF(D596&lt;&gt;"",VLOOKUP(H596,TABLEITEM,2,FALSE),"")</f>
        <v>PART</v>
      </c>
      <c r="M596" s="6" t="str">
        <f>IF(D596&lt;&gt;"",VLOOKUP(H596,TABLEITEM,3,FALSE),"")</f>
        <v>คานเชื่อม1000</v>
      </c>
      <c r="N596" s="7">
        <f>INSTOCK!$I596*INSTOCK!$K596</f>
        <v>0</v>
      </c>
      <c r="O596" s="2"/>
      <c r="P596" s="2"/>
    </row>
    <row r="597" ht="18.0" hidden="1" customHeight="1">
      <c r="A597" s="1"/>
      <c r="B597" s="3">
        <v>596.0</v>
      </c>
      <c r="C597" s="4">
        <v>43356.0</v>
      </c>
      <c r="D597" s="2" t="s">
        <v>660</v>
      </c>
      <c r="E597" s="2"/>
      <c r="F597" s="3" t="s">
        <v>161</v>
      </c>
      <c r="G597" s="2" t="s">
        <v>456</v>
      </c>
      <c r="H597" s="2" t="s">
        <v>723</v>
      </c>
      <c r="I597" s="3">
        <v>100.0</v>
      </c>
      <c r="J597" s="3"/>
      <c r="K597" s="5"/>
      <c r="L597" s="6" t="str">
        <f>IF(D597&lt;&gt;"",VLOOKUP(H597,TABLEITEM,2,FALSE),"")</f>
        <v>PART</v>
      </c>
      <c r="M597" s="6" t="str">
        <f>IF(D597&lt;&gt;"",VLOOKUP(H597,TABLEITEM,3,FALSE),"")</f>
        <v>คานเชื่อม600</v>
      </c>
      <c r="N597" s="7">
        <f>INSTOCK!$I597*INSTOCK!$K597</f>
        <v>0</v>
      </c>
      <c r="O597" s="2"/>
      <c r="P597" s="2"/>
    </row>
    <row r="598" ht="18.0" hidden="1" customHeight="1">
      <c r="A598" s="1"/>
      <c r="B598" s="3">
        <v>597.0</v>
      </c>
      <c r="C598" s="4">
        <v>43350.0</v>
      </c>
      <c r="D598" s="2" t="s">
        <v>724</v>
      </c>
      <c r="E598" s="2"/>
      <c r="F598" s="3" t="s">
        <v>161</v>
      </c>
      <c r="G598" s="2" t="s">
        <v>456</v>
      </c>
      <c r="H598" s="2" t="s">
        <v>495</v>
      </c>
      <c r="I598" s="3">
        <v>300.0</v>
      </c>
      <c r="J598" s="3"/>
      <c r="K598" s="5"/>
      <c r="L598" s="6" t="str">
        <f>IF(D598&lt;&gt;"",VLOOKUP(H598,TABLEITEM,2,FALSE),"")</f>
        <v>PART</v>
      </c>
      <c r="M598" s="6" t="str">
        <f>IF(D598&lt;&gt;"",VLOOKUP(H598,TABLEITEM,3,FALSE),"")</f>
        <v>คานเชื่อม800</v>
      </c>
      <c r="N598" s="7">
        <f>INSTOCK!$I598*INSTOCK!$K598</f>
        <v>0</v>
      </c>
      <c r="O598" s="2"/>
      <c r="P598" s="2"/>
    </row>
    <row r="599" ht="18.0" hidden="1" customHeight="1">
      <c r="A599" s="1"/>
      <c r="B599" s="3">
        <v>598.0</v>
      </c>
      <c r="C599" s="4">
        <v>43388.0</v>
      </c>
      <c r="D599" s="2" t="s">
        <v>725</v>
      </c>
      <c r="E599" s="2"/>
      <c r="F599" s="3" t="s">
        <v>161</v>
      </c>
      <c r="G599" s="2" t="s">
        <v>456</v>
      </c>
      <c r="H599" s="2" t="s">
        <v>495</v>
      </c>
      <c r="I599" s="3">
        <v>405.0</v>
      </c>
      <c r="J599" s="3"/>
      <c r="K599" s="5"/>
      <c r="L599" s="6" t="str">
        <f>IF(D599&lt;&gt;"",VLOOKUP(H599,TABLEITEM,2,FALSE),"")</f>
        <v>PART</v>
      </c>
      <c r="M599" s="6" t="str">
        <f>IF(D599&lt;&gt;"",VLOOKUP(H599,TABLEITEM,3,FALSE),"")</f>
        <v>คานเชื่อม800</v>
      </c>
      <c r="N599" s="7">
        <f>INSTOCK!$I599*INSTOCK!$K599</f>
        <v>0</v>
      </c>
      <c r="O599" s="2"/>
      <c r="P599" s="2"/>
    </row>
    <row r="600" ht="18.0" hidden="1" customHeight="1">
      <c r="A600" s="1"/>
      <c r="B600" s="3">
        <v>599.0</v>
      </c>
      <c r="C600" s="4">
        <v>43351.0</v>
      </c>
      <c r="D600" s="2" t="s">
        <v>618</v>
      </c>
      <c r="E600" s="2"/>
      <c r="F600" s="3" t="s">
        <v>161</v>
      </c>
      <c r="G600" s="2" t="s">
        <v>456</v>
      </c>
      <c r="H600" s="2" t="s">
        <v>513</v>
      </c>
      <c r="I600" s="3">
        <v>180.0</v>
      </c>
      <c r="J600" s="3"/>
      <c r="K600" s="5"/>
      <c r="L600" s="6" t="str">
        <f>IF(D600&lt;&gt;"",VLOOKUP(H600,TABLEITEM,2,FALSE),"")</f>
        <v>PART</v>
      </c>
      <c r="M600" s="6" t="str">
        <f>IF(D600&lt;&gt;"",VLOOKUP(H600,TABLEITEM,3,FALSE),"")</f>
        <v>เสาเชื่อม1925x40x50</v>
      </c>
      <c r="N600" s="7">
        <f>INSTOCK!$I600*INSTOCK!$K600</f>
        <v>0</v>
      </c>
      <c r="O600" s="2"/>
      <c r="P600" s="2"/>
    </row>
    <row r="601" ht="18.0" hidden="1" customHeight="1">
      <c r="A601" s="1"/>
      <c r="B601" s="3">
        <v>600.0</v>
      </c>
      <c r="C601" s="4">
        <v>43384.0</v>
      </c>
      <c r="D601" s="2" t="s">
        <v>726</v>
      </c>
      <c r="E601" s="2"/>
      <c r="F601" s="3" t="s">
        <v>161</v>
      </c>
      <c r="G601" s="2" t="s">
        <v>456</v>
      </c>
      <c r="H601" s="2" t="s">
        <v>513</v>
      </c>
      <c r="I601" s="3">
        <v>180.0</v>
      </c>
      <c r="J601" s="3"/>
      <c r="K601" s="5"/>
      <c r="L601" s="6" t="str">
        <f>IF(D601&lt;&gt;"",VLOOKUP(H601,TABLEITEM,2,FALSE),"")</f>
        <v>PART</v>
      </c>
      <c r="M601" s="6" t="str">
        <f>IF(D601&lt;&gt;"",VLOOKUP(H601,TABLEITEM,3,FALSE),"")</f>
        <v>เสาเชื่อม1925x40x50</v>
      </c>
      <c r="N601" s="7">
        <f>INSTOCK!$I601*INSTOCK!$K601</f>
        <v>0</v>
      </c>
      <c r="O601" s="2"/>
      <c r="P601" s="2"/>
    </row>
    <row r="602" ht="18.0" hidden="1" customHeight="1">
      <c r="A602" s="1"/>
      <c r="B602" s="3">
        <v>601.0</v>
      </c>
      <c r="C602" s="4">
        <v>43351.0</v>
      </c>
      <c r="D602" s="2" t="s">
        <v>643</v>
      </c>
      <c r="E602" s="2"/>
      <c r="F602" s="3" t="s">
        <v>161</v>
      </c>
      <c r="G602" s="2" t="s">
        <v>456</v>
      </c>
      <c r="H602" s="2" t="s">
        <v>727</v>
      </c>
      <c r="I602" s="3">
        <v>12.0</v>
      </c>
      <c r="J602" s="3"/>
      <c r="K602" s="5"/>
      <c r="L602" s="6" t="str">
        <f>IF(D602&lt;&gt;"",VLOOKUP(H602,TABLEITEM,2,FALSE),"")</f>
        <v>PART</v>
      </c>
      <c r="M602" s="6" t="str">
        <f>IF(D602&lt;&gt;"",VLOOKUP(H602,TABLEITEM,3,FALSE),"")</f>
        <v>เสาเชื่อม 2000x40x50</v>
      </c>
      <c r="N602" s="7">
        <f>INSTOCK!$I602*INSTOCK!$K602</f>
        <v>0</v>
      </c>
      <c r="O602" s="2"/>
      <c r="P602" s="2"/>
    </row>
    <row r="603" ht="18.0" hidden="1" customHeight="1">
      <c r="A603" s="1"/>
      <c r="B603" s="3">
        <v>602.0</v>
      </c>
      <c r="C603" s="4">
        <v>43351.0</v>
      </c>
      <c r="D603" s="2" t="s">
        <v>643</v>
      </c>
      <c r="E603" s="2"/>
      <c r="F603" s="3" t="s">
        <v>161</v>
      </c>
      <c r="G603" s="2" t="s">
        <v>456</v>
      </c>
      <c r="H603" s="2" t="s">
        <v>728</v>
      </c>
      <c r="I603" s="3">
        <v>22.0</v>
      </c>
      <c r="J603" s="3"/>
      <c r="K603" s="5"/>
      <c r="L603" s="6" t="str">
        <f>IF(D603&lt;&gt;"",VLOOKUP(H603,TABLEITEM,2,FALSE),"")</f>
        <v>PART</v>
      </c>
      <c r="M603" s="6" t="str">
        <f>IF(D603&lt;&gt;"",VLOOKUP(H603,TABLEITEM,3,FALSE),"")</f>
        <v>เสาเชื่อม 2100x40x50</v>
      </c>
      <c r="N603" s="7">
        <f>INSTOCK!$I603*INSTOCK!$K603</f>
        <v>0</v>
      </c>
      <c r="O603" s="2"/>
      <c r="P603" s="2"/>
    </row>
    <row r="604" ht="18.0" hidden="1" customHeight="1">
      <c r="A604" s="1"/>
      <c r="B604" s="3">
        <v>603.0</v>
      </c>
      <c r="C604" s="4">
        <v>43356.0</v>
      </c>
      <c r="D604" s="2" t="s">
        <v>618</v>
      </c>
      <c r="E604" s="2"/>
      <c r="F604" s="3" t="s">
        <v>161</v>
      </c>
      <c r="G604" s="2" t="s">
        <v>456</v>
      </c>
      <c r="H604" s="2" t="s">
        <v>493</v>
      </c>
      <c r="I604" s="3">
        <v>180.0</v>
      </c>
      <c r="J604" s="3"/>
      <c r="K604" s="5"/>
      <c r="L604" s="6" t="str">
        <f>IF(D604&lt;&gt;"",VLOOKUP(H604,TABLEITEM,2,FALSE),"")</f>
        <v>PART</v>
      </c>
      <c r="M604" s="6" t="str">
        <f>IF(D604&lt;&gt;"",VLOOKUP(H604,TABLEITEM,3,FALSE),"")</f>
        <v>เสาเชื่อม2125x40x50</v>
      </c>
      <c r="N604" s="7">
        <f>INSTOCK!$I604*INSTOCK!$K604</f>
        <v>0</v>
      </c>
      <c r="O604" s="2"/>
      <c r="P604" s="2"/>
    </row>
    <row r="605" ht="18.0" hidden="1" customHeight="1">
      <c r="A605" s="1"/>
      <c r="B605" s="3">
        <v>604.0</v>
      </c>
      <c r="C605" s="4">
        <v>43384.0</v>
      </c>
      <c r="D605" s="2" t="s">
        <v>726</v>
      </c>
      <c r="E605" s="2"/>
      <c r="F605" s="3" t="s">
        <v>161</v>
      </c>
      <c r="G605" s="2" t="s">
        <v>456</v>
      </c>
      <c r="H605" s="2" t="s">
        <v>493</v>
      </c>
      <c r="I605" s="3">
        <v>180.0</v>
      </c>
      <c r="J605" s="3"/>
      <c r="K605" s="5"/>
      <c r="L605" s="6" t="str">
        <f>IF(D605&lt;&gt;"",VLOOKUP(H605,TABLEITEM,2,FALSE),"")</f>
        <v>PART</v>
      </c>
      <c r="M605" s="6" t="str">
        <f>IF(D605&lt;&gt;"",VLOOKUP(H605,TABLEITEM,3,FALSE),"")</f>
        <v>เสาเชื่อม2125x40x50</v>
      </c>
      <c r="N605" s="7">
        <f>INSTOCK!$I605*INSTOCK!$K605</f>
        <v>0</v>
      </c>
      <c r="O605" s="2"/>
      <c r="P605" s="2"/>
    </row>
    <row r="606" ht="18.0" hidden="1" customHeight="1">
      <c r="A606" s="1"/>
      <c r="B606" s="3">
        <v>605.0</v>
      </c>
      <c r="C606" s="4">
        <v>43351.0</v>
      </c>
      <c r="D606" s="2" t="s">
        <v>643</v>
      </c>
      <c r="E606" s="2"/>
      <c r="F606" s="3" t="s">
        <v>161</v>
      </c>
      <c r="G606" s="2" t="s">
        <v>456</v>
      </c>
      <c r="H606" s="2" t="s">
        <v>525</v>
      </c>
      <c r="I606" s="3">
        <v>90.0</v>
      </c>
      <c r="J606" s="3"/>
      <c r="K606" s="5"/>
      <c r="L606" s="6" t="str">
        <f>IF(D606&lt;&gt;"",VLOOKUP(H606,TABLEITEM,2,FALSE),"")</f>
        <v>PART</v>
      </c>
      <c r="M606" s="6" t="str">
        <f>IF(D606&lt;&gt;"",VLOOKUP(H606,TABLEITEM,3,FALSE),"")</f>
        <v>เสาเชื่อม2275x40x50</v>
      </c>
      <c r="N606" s="7">
        <f>INSTOCK!$I606*INSTOCK!$K606</f>
        <v>0</v>
      </c>
      <c r="O606" s="2"/>
      <c r="P606" s="2"/>
    </row>
    <row r="607" ht="18.0" hidden="1" customHeight="1">
      <c r="A607" s="1"/>
      <c r="B607" s="3">
        <v>606.0</v>
      </c>
      <c r="C607" s="4">
        <v>43383.0</v>
      </c>
      <c r="D607" s="2" t="s">
        <v>726</v>
      </c>
      <c r="E607" s="2"/>
      <c r="F607" s="3" t="s">
        <v>161</v>
      </c>
      <c r="G607" s="2" t="s">
        <v>456</v>
      </c>
      <c r="H607" s="2" t="s">
        <v>525</v>
      </c>
      <c r="I607" s="3">
        <v>90.0</v>
      </c>
      <c r="J607" s="3"/>
      <c r="K607" s="5"/>
      <c r="L607" s="6" t="str">
        <f>IF(D607&lt;&gt;"",VLOOKUP(H607,TABLEITEM,2,FALSE),"")</f>
        <v>PART</v>
      </c>
      <c r="M607" s="6" t="str">
        <f>IF(D607&lt;&gt;"",VLOOKUP(H607,TABLEITEM,3,FALSE),"")</f>
        <v>เสาเชื่อม2275x40x50</v>
      </c>
      <c r="N607" s="7">
        <f>INSTOCK!$I607*INSTOCK!$K607</f>
        <v>0</v>
      </c>
      <c r="O607" s="2"/>
      <c r="P607" s="2"/>
    </row>
    <row r="608" ht="18.0" hidden="1" customHeight="1">
      <c r="A608" s="1"/>
      <c r="B608" s="3">
        <v>607.0</v>
      </c>
      <c r="C608" s="4">
        <v>43350.0</v>
      </c>
      <c r="D608" s="2" t="s">
        <v>729</v>
      </c>
      <c r="E608" s="2"/>
      <c r="F608" s="3" t="s">
        <v>161</v>
      </c>
      <c r="G608" s="2" t="s">
        <v>456</v>
      </c>
      <c r="H608" s="2" t="s">
        <v>644</v>
      </c>
      <c r="I608" s="3">
        <v>9.0</v>
      </c>
      <c r="J608" s="3"/>
      <c r="K608" s="5"/>
      <c r="L608" s="6" t="str">
        <f>IF(D608&lt;&gt;"",VLOOKUP(H608,TABLEITEM,2,FALSE),"")</f>
        <v>PART</v>
      </c>
      <c r="M608" s="6" t="str">
        <f>IF(D608&lt;&gt;"",VLOOKUP(H608,TABLEITEM,3,FALSE),"")</f>
        <v>เสาเชื่อม 2425X40X50</v>
      </c>
      <c r="N608" s="7">
        <f>INSTOCK!$I608*INSTOCK!$K608</f>
        <v>0</v>
      </c>
      <c r="O608" s="2"/>
      <c r="P608" s="2"/>
    </row>
    <row r="609" ht="18.0" hidden="1" customHeight="1">
      <c r="A609" s="1"/>
      <c r="B609" s="3">
        <v>608.0</v>
      </c>
      <c r="C609" s="4">
        <v>43365.0</v>
      </c>
      <c r="D609" s="2" t="s">
        <v>730</v>
      </c>
      <c r="E609" s="2"/>
      <c r="F609" s="3" t="s">
        <v>161</v>
      </c>
      <c r="G609" s="2" t="s">
        <v>456</v>
      </c>
      <c r="H609" s="2" t="s">
        <v>731</v>
      </c>
      <c r="I609" s="3">
        <v>50.0</v>
      </c>
      <c r="J609" s="3"/>
      <c r="K609" s="5"/>
      <c r="L609" s="6" t="str">
        <f>IF(D609&lt;&gt;"",VLOOKUP(H609,TABLEITEM,2,FALSE),"")</f>
        <v>PART</v>
      </c>
      <c r="M609" s="6" t="str">
        <f>IF(D609&lt;&gt;"",VLOOKUP(H609,TABLEITEM,3,FALSE),"")</f>
        <v>คานยืดหลอดไฟ 40x620</v>
      </c>
      <c r="N609" s="7">
        <f>INSTOCK!$I609*INSTOCK!$K609</f>
        <v>0</v>
      </c>
      <c r="O609" s="2"/>
      <c r="P609" s="2"/>
    </row>
    <row r="610" ht="18.0" hidden="1" customHeight="1">
      <c r="A610" s="1"/>
      <c r="B610" s="3">
        <v>609.0</v>
      </c>
      <c r="C610" s="4">
        <v>43377.0</v>
      </c>
      <c r="D610" s="2" t="s">
        <v>639</v>
      </c>
      <c r="E610" s="2"/>
      <c r="F610" s="3" t="s">
        <v>161</v>
      </c>
      <c r="G610" s="2" t="s">
        <v>456</v>
      </c>
      <c r="H610" s="2" t="s">
        <v>511</v>
      </c>
      <c r="I610" s="3">
        <v>90.0</v>
      </c>
      <c r="J610" s="3"/>
      <c r="K610" s="5"/>
      <c r="L610" s="6" t="str">
        <f>IF(D610&lt;&gt;"",VLOOKUP(H610,TABLEITEM,2,FALSE),"")</f>
        <v>PART</v>
      </c>
      <c r="M610" s="6" t="str">
        <f>IF(D610&lt;&gt;"",VLOOKUP(H610,TABLEITEM,3,FALSE),"")</f>
        <v>เสาเสริม 40x50x1788</v>
      </c>
      <c r="N610" s="7">
        <f>INSTOCK!$I610*INSTOCK!$K610</f>
        <v>0</v>
      </c>
      <c r="O610" s="2"/>
      <c r="P610" s="2"/>
    </row>
    <row r="611" ht="18.0" hidden="1" customHeight="1">
      <c r="A611" s="1"/>
      <c r="B611" s="3">
        <v>610.0</v>
      </c>
      <c r="C611" s="4">
        <v>43377.0</v>
      </c>
      <c r="D611" s="2" t="s">
        <v>639</v>
      </c>
      <c r="E611" s="2"/>
      <c r="F611" s="3" t="s">
        <v>161</v>
      </c>
      <c r="G611" s="2" t="s">
        <v>456</v>
      </c>
      <c r="H611" s="2" t="s">
        <v>491</v>
      </c>
      <c r="I611" s="3">
        <v>90.0</v>
      </c>
      <c r="J611" s="3"/>
      <c r="K611" s="5"/>
      <c r="L611" s="6" t="str">
        <f>IF(D611&lt;&gt;"",VLOOKUP(H611,TABLEITEM,2,FALSE),"")</f>
        <v>PART</v>
      </c>
      <c r="M611" s="6" t="str">
        <f>IF(D611&lt;&gt;"",VLOOKUP(H611,TABLEITEM,3,FALSE),"")</f>
        <v>เสาเสริม 40x50x1988</v>
      </c>
      <c r="N611" s="7">
        <f>INSTOCK!$I611*INSTOCK!$K611</f>
        <v>0</v>
      </c>
      <c r="O611" s="2"/>
      <c r="P611" s="2"/>
    </row>
    <row r="612" ht="18.0" hidden="1" customHeight="1">
      <c r="A612" s="1"/>
      <c r="B612" s="3">
        <v>611.0</v>
      </c>
      <c r="C612" s="4">
        <v>43340.0</v>
      </c>
      <c r="D612" s="2" t="s">
        <v>732</v>
      </c>
      <c r="E612" s="2">
        <v>6.108001005E9</v>
      </c>
      <c r="F612" s="3"/>
      <c r="G612" s="2" t="s">
        <v>733</v>
      </c>
      <c r="H612" s="2" t="s">
        <v>734</v>
      </c>
      <c r="I612" s="3">
        <v>2.0</v>
      </c>
      <c r="J612" s="3"/>
      <c r="K612" s="5">
        <v>25.0</v>
      </c>
      <c r="L612" s="6" t="str">
        <f>IF(D612&lt;&gt;"",VLOOKUP(H612,TABLEITEM,2,FALSE),"")</f>
        <v>MAT GL</v>
      </c>
      <c r="M612" s="6" t="str">
        <f>IF(D612&lt;&gt;"",VLOOKUP(H612,TABLEITEM,3,FALSE),"")</f>
        <v>กระจก103X268T3.0</v>
      </c>
      <c r="N612" s="7">
        <f>INSTOCK!$I612*INSTOCK!$K612</f>
        <v>50</v>
      </c>
      <c r="O612" s="2"/>
      <c r="P612" s="2"/>
    </row>
    <row r="613" ht="18.0" hidden="1" customHeight="1">
      <c r="A613" s="1"/>
      <c r="B613" s="3">
        <v>612.0</v>
      </c>
      <c r="C613" s="4">
        <v>43276.0</v>
      </c>
      <c r="D613" s="2" t="s">
        <v>735</v>
      </c>
      <c r="E613" s="2">
        <v>6.106000716E9</v>
      </c>
      <c r="F613" s="3"/>
      <c r="G613" s="2" t="s">
        <v>733</v>
      </c>
      <c r="H613" s="2" t="s">
        <v>734</v>
      </c>
      <c r="I613" s="3">
        <v>10.0</v>
      </c>
      <c r="J613" s="3"/>
      <c r="K613" s="5">
        <v>25.0</v>
      </c>
      <c r="L613" s="6" t="str">
        <f>IF(D613&lt;&gt;"",VLOOKUP(H613,TABLEITEM,2,FALSE),"")</f>
        <v>MAT GL</v>
      </c>
      <c r="M613" s="6" t="str">
        <f>IF(D613&lt;&gt;"",VLOOKUP(H613,TABLEITEM,3,FALSE),"")</f>
        <v>กระจก103X268T3.0</v>
      </c>
      <c r="N613" s="7">
        <f>INSTOCK!$I613*INSTOCK!$K613</f>
        <v>250</v>
      </c>
      <c r="O613" s="2"/>
      <c r="P613" s="2"/>
    </row>
    <row r="614" ht="18.0" hidden="1" customHeight="1">
      <c r="A614" s="1"/>
      <c r="B614" s="3">
        <v>613.0</v>
      </c>
      <c r="C614" s="4">
        <v>43276.0</v>
      </c>
      <c r="D614" s="2" t="s">
        <v>736</v>
      </c>
      <c r="E614" s="2">
        <v>6.105000536E9</v>
      </c>
      <c r="F614" s="3"/>
      <c r="G614" s="2" t="s">
        <v>733</v>
      </c>
      <c r="H614" s="2" t="s">
        <v>734</v>
      </c>
      <c r="I614" s="3">
        <v>1.0</v>
      </c>
      <c r="J614" s="3"/>
      <c r="K614" s="5">
        <v>25.0</v>
      </c>
      <c r="L614" s="6" t="str">
        <f>IF(D614&lt;&gt;"",VLOOKUP(H614,TABLEITEM,2,FALSE),"")</f>
        <v>MAT GL</v>
      </c>
      <c r="M614" s="6" t="str">
        <f>IF(D614&lt;&gt;"",VLOOKUP(H614,TABLEITEM,3,FALSE),"")</f>
        <v>กระจก103X268T3.0</v>
      </c>
      <c r="N614" s="7">
        <f>INSTOCK!$I614*INSTOCK!$K614</f>
        <v>25</v>
      </c>
      <c r="O614" s="2"/>
      <c r="P614" s="2"/>
    </row>
    <row r="615" ht="18.0" hidden="1" customHeight="1">
      <c r="A615" s="1"/>
      <c r="B615" s="3">
        <v>614.0</v>
      </c>
      <c r="C615" s="4">
        <v>43276.0</v>
      </c>
      <c r="D615" s="2" t="s">
        <v>736</v>
      </c>
      <c r="E615" s="2">
        <v>6.105000536E9</v>
      </c>
      <c r="F615" s="3"/>
      <c r="G615" s="2" t="s">
        <v>733</v>
      </c>
      <c r="H615" s="2" t="s">
        <v>734</v>
      </c>
      <c r="I615" s="3">
        <v>1.0</v>
      </c>
      <c r="J615" s="3"/>
      <c r="K615" s="5">
        <v>25.0</v>
      </c>
      <c r="L615" s="6" t="str">
        <f>IF(D615&lt;&gt;"",VLOOKUP(H615,TABLEITEM,2,FALSE),"")</f>
        <v>MAT GL</v>
      </c>
      <c r="M615" s="6" t="str">
        <f>IF(D615&lt;&gt;"",VLOOKUP(H615,TABLEITEM,3,FALSE),"")</f>
        <v>กระจก103X268T3.0</v>
      </c>
      <c r="N615" s="7">
        <f>INSTOCK!$I615*INSTOCK!$K615</f>
        <v>25</v>
      </c>
      <c r="O615" s="2"/>
      <c r="P615" s="2"/>
    </row>
    <row r="616" ht="18.0" hidden="1" customHeight="1">
      <c r="A616" s="1"/>
      <c r="B616" s="3">
        <v>615.0</v>
      </c>
      <c r="C616" s="4">
        <v>43358.0</v>
      </c>
      <c r="D616" s="2" t="s">
        <v>737</v>
      </c>
      <c r="E616" s="2">
        <v>6.109001174E9</v>
      </c>
      <c r="F616" s="3" t="s">
        <v>738</v>
      </c>
      <c r="G616" s="2" t="s">
        <v>733</v>
      </c>
      <c r="H616" s="2" t="s">
        <v>734</v>
      </c>
      <c r="I616" s="3">
        <v>1.0</v>
      </c>
      <c r="J616" s="3"/>
      <c r="K616" s="5">
        <v>25.0</v>
      </c>
      <c r="L616" s="6" t="str">
        <f>IF(D616&lt;&gt;"",VLOOKUP(H616,TABLEITEM,2,FALSE),"")</f>
        <v>MAT GL</v>
      </c>
      <c r="M616" s="6" t="str">
        <f>IF(D616&lt;&gt;"",VLOOKUP(H616,TABLEITEM,3,FALSE),"")</f>
        <v>กระจก103X268T3.0</v>
      </c>
      <c r="N616" s="7">
        <f>INSTOCK!$I616*INSTOCK!$K616</f>
        <v>25</v>
      </c>
      <c r="O616" s="2" t="s">
        <v>739</v>
      </c>
      <c r="P616" s="2"/>
    </row>
    <row r="617" ht="18.0" hidden="1" customHeight="1">
      <c r="A617" s="1"/>
      <c r="B617" s="3">
        <v>616.0</v>
      </c>
      <c r="C617" s="4">
        <v>43157.0</v>
      </c>
      <c r="D617" s="2" t="s">
        <v>740</v>
      </c>
      <c r="E617" s="2">
        <v>6.102000153E9</v>
      </c>
      <c r="F617" s="3"/>
      <c r="G617" s="2" t="s">
        <v>733</v>
      </c>
      <c r="H617" s="2" t="s">
        <v>741</v>
      </c>
      <c r="I617" s="3">
        <v>12.0</v>
      </c>
      <c r="J617" s="3"/>
      <c r="K617" s="5">
        <v>25.0</v>
      </c>
      <c r="L617" s="6" t="str">
        <f>IF(D617&lt;&gt;"",VLOOKUP(H617,TABLEITEM,2,FALSE),"")</f>
        <v>MAT GL</v>
      </c>
      <c r="M617" s="6" t="str">
        <f>IF(D617&lt;&gt;"",VLOOKUP(H617,TABLEITEM,3,FALSE),"")</f>
        <v>กระจก108X108T3.0</v>
      </c>
      <c r="N617" s="7">
        <f>INSTOCK!$I617*INSTOCK!$K617</f>
        <v>300</v>
      </c>
      <c r="O617" s="2"/>
      <c r="P617" s="2"/>
    </row>
    <row r="618" ht="18.0" hidden="1" customHeight="1">
      <c r="A618" s="1"/>
      <c r="B618" s="3">
        <v>617.0</v>
      </c>
      <c r="C618" s="4">
        <v>43157.0</v>
      </c>
      <c r="D618" s="2" t="s">
        <v>742</v>
      </c>
      <c r="E618" s="2">
        <v>6.102000153E9</v>
      </c>
      <c r="F618" s="3"/>
      <c r="G618" s="2" t="s">
        <v>733</v>
      </c>
      <c r="H618" s="2" t="s">
        <v>741</v>
      </c>
      <c r="I618" s="3">
        <v>60.0</v>
      </c>
      <c r="J618" s="3"/>
      <c r="K618" s="5">
        <v>25.0</v>
      </c>
      <c r="L618" s="6" t="str">
        <f>IF(D618&lt;&gt;"",VLOOKUP(H618,TABLEITEM,2,FALSE),"")</f>
        <v>MAT GL</v>
      </c>
      <c r="M618" s="6" t="str">
        <f>IF(D618&lt;&gt;"",VLOOKUP(H618,TABLEITEM,3,FALSE),"")</f>
        <v>กระจก108X108T3.0</v>
      </c>
      <c r="N618" s="7">
        <f>INSTOCK!$I618*INSTOCK!$K618</f>
        <v>1500</v>
      </c>
      <c r="O618" s="2"/>
      <c r="P618" s="2"/>
    </row>
    <row r="619" ht="18.0" hidden="1" customHeight="1">
      <c r="A619" s="1"/>
      <c r="B619" s="3">
        <v>618.0</v>
      </c>
      <c r="C619" s="4">
        <v>43277.0</v>
      </c>
      <c r="D619" s="2" t="s">
        <v>743</v>
      </c>
      <c r="E619" s="40" t="s">
        <v>744</v>
      </c>
      <c r="F619" s="3"/>
      <c r="G619" s="2" t="s">
        <v>733</v>
      </c>
      <c r="H619" s="2" t="s">
        <v>745</v>
      </c>
      <c r="I619" s="3">
        <v>1.0</v>
      </c>
      <c r="J619" s="3"/>
      <c r="K619" s="5">
        <v>35.0</v>
      </c>
      <c r="L619" s="6" t="str">
        <f>IF(D619&lt;&gt;"",VLOOKUP(H619,TABLEITEM,2,FALSE),"")</f>
        <v>MAT GL</v>
      </c>
      <c r="M619" s="6" t="str">
        <f>IF(D619&lt;&gt;"",VLOOKUP(H619,TABLEITEM,3,FALSE),"")</f>
        <v>กระจก108x308T3.0</v>
      </c>
      <c r="N619" s="7">
        <f>INSTOCK!$I619*INSTOCK!$K619</f>
        <v>35</v>
      </c>
      <c r="O619" s="2"/>
      <c r="P619" s="2"/>
    </row>
    <row r="620" ht="18.0" hidden="1" customHeight="1">
      <c r="A620" s="1"/>
      <c r="B620" s="3">
        <v>619.0</v>
      </c>
      <c r="C620" s="4">
        <v>43157.0</v>
      </c>
      <c r="D620" s="2" t="s">
        <v>740</v>
      </c>
      <c r="E620" s="2">
        <v>6.102000268E9</v>
      </c>
      <c r="F620" s="3"/>
      <c r="G620" s="2" t="s">
        <v>733</v>
      </c>
      <c r="H620" s="2" t="s">
        <v>746</v>
      </c>
      <c r="I620" s="3">
        <v>1.0</v>
      </c>
      <c r="J620" s="3"/>
      <c r="K620" s="5">
        <v>25.0</v>
      </c>
      <c r="L620" s="6" t="str">
        <f>IF(D620&lt;&gt;"",VLOOKUP(H620,TABLEITEM,2,FALSE),"")</f>
        <v>MAT GL</v>
      </c>
      <c r="M620" s="6" t="str">
        <f>IF(D620&lt;&gt;"",VLOOKUP(H620,TABLEITEM,3,FALSE),"")</f>
        <v>กระจก108x308T3.0</v>
      </c>
      <c r="N620" s="7">
        <f>INSTOCK!$I620*INSTOCK!$K620</f>
        <v>25</v>
      </c>
      <c r="O620" s="2"/>
      <c r="P620" s="2"/>
    </row>
    <row r="621" ht="18.0" hidden="1" customHeight="1">
      <c r="A621" s="1"/>
      <c r="B621" s="3">
        <v>620.0</v>
      </c>
      <c r="C621" s="4">
        <v>43339.0</v>
      </c>
      <c r="D621" s="2" t="s">
        <v>747</v>
      </c>
      <c r="E621" s="2">
        <v>6.10700089E9</v>
      </c>
      <c r="F621" s="3"/>
      <c r="G621" s="2" t="s">
        <v>733</v>
      </c>
      <c r="H621" s="2" t="s">
        <v>748</v>
      </c>
      <c r="I621" s="3">
        <v>1.0</v>
      </c>
      <c r="J621" s="3"/>
      <c r="K621" s="5">
        <v>38.0</v>
      </c>
      <c r="L621" s="6" t="str">
        <f>IF(D621&lt;&gt;"",VLOOKUP(H621,TABLEITEM,2,FALSE),"")</f>
        <v>MAT GL</v>
      </c>
      <c r="M621" s="6" t="str">
        <f>IF(D621&lt;&gt;"",VLOOKUP(H621,TABLEITEM,3,FALSE),"")</f>
        <v>กระจก112x312T3.0</v>
      </c>
      <c r="N621" s="7">
        <f>INSTOCK!$I621*INSTOCK!$K621</f>
        <v>38</v>
      </c>
      <c r="O621" s="2"/>
      <c r="P621" s="2"/>
    </row>
    <row r="622" ht="18.0" hidden="1" customHeight="1">
      <c r="A622" s="1"/>
      <c r="B622" s="3">
        <v>621.0</v>
      </c>
      <c r="C622" s="4">
        <v>43340.0</v>
      </c>
      <c r="D622" s="2" t="s">
        <v>749</v>
      </c>
      <c r="E622" s="2">
        <v>6.10700089E9</v>
      </c>
      <c r="F622" s="3"/>
      <c r="G622" s="2" t="s">
        <v>733</v>
      </c>
      <c r="H622" s="2" t="s">
        <v>750</v>
      </c>
      <c r="I622" s="3">
        <v>1.0</v>
      </c>
      <c r="J622" s="3"/>
      <c r="K622" s="5">
        <v>25.0</v>
      </c>
      <c r="L622" s="6" t="str">
        <f>IF(D622&lt;&gt;"",VLOOKUP(H622,TABLEITEM,2,FALSE),"")</f>
        <v>MAT GL</v>
      </c>
      <c r="M622" s="6" t="str">
        <f>IF(D622&lt;&gt;"",VLOOKUP(H622,TABLEITEM,3,FALSE),"")</f>
        <v>กระจก118x260T3.0</v>
      </c>
      <c r="N622" s="7">
        <f>INSTOCK!$I622*INSTOCK!$K622</f>
        <v>25</v>
      </c>
      <c r="O622" s="2"/>
      <c r="P622" s="2"/>
    </row>
    <row r="623" ht="18.0" hidden="1" customHeight="1">
      <c r="A623" s="1"/>
      <c r="B623" s="3">
        <v>622.0</v>
      </c>
      <c r="C623" s="4">
        <v>43340.0</v>
      </c>
      <c r="D623" s="2" t="s">
        <v>749</v>
      </c>
      <c r="E623" s="2">
        <v>6.10700089E9</v>
      </c>
      <c r="F623" s="3"/>
      <c r="G623" s="2" t="s">
        <v>733</v>
      </c>
      <c r="H623" s="2" t="s">
        <v>751</v>
      </c>
      <c r="I623" s="3">
        <v>2.0</v>
      </c>
      <c r="J623" s="3"/>
      <c r="K623" s="5">
        <v>38.0</v>
      </c>
      <c r="L623" s="6" t="str">
        <f>IF(D623&lt;&gt;"",VLOOKUP(H623,TABLEITEM,2,FALSE),"")</f>
        <v>MAT GL</v>
      </c>
      <c r="M623" s="6" t="str">
        <f>IF(D623&lt;&gt;"",VLOOKUP(H623,TABLEITEM,3,FALSE),"")</f>
        <v>กระจก118x308T3.0</v>
      </c>
      <c r="N623" s="7">
        <f>INSTOCK!$I623*INSTOCK!$K623</f>
        <v>76</v>
      </c>
      <c r="O623" s="2"/>
      <c r="P623" s="2"/>
    </row>
    <row r="624" ht="18.0" hidden="1" customHeight="1">
      <c r="A624" s="1"/>
      <c r="B624" s="3">
        <v>623.0</v>
      </c>
      <c r="C624" s="4">
        <v>43157.0</v>
      </c>
      <c r="D624" s="2" t="s">
        <v>742</v>
      </c>
      <c r="E624" s="2">
        <v>6.102000153E9</v>
      </c>
      <c r="F624" s="3"/>
      <c r="G624" s="2" t="s">
        <v>733</v>
      </c>
      <c r="H624" s="2" t="s">
        <v>752</v>
      </c>
      <c r="I624" s="3">
        <v>14.0</v>
      </c>
      <c r="J624" s="3"/>
      <c r="K624" s="5">
        <v>25.0</v>
      </c>
      <c r="L624" s="6" t="str">
        <f>IF(D624&lt;&gt;"",VLOOKUP(H624,TABLEITEM,2,FALSE),"")</f>
        <v>MAT GL</v>
      </c>
      <c r="M624" s="6" t="str">
        <f>IF(D624&lt;&gt;"",VLOOKUP(H624,TABLEITEM,3,FALSE),"")</f>
        <v>กระจก128X128T3.0</v>
      </c>
      <c r="N624" s="7">
        <f>INSTOCK!$I624*INSTOCK!$K624</f>
        <v>350</v>
      </c>
      <c r="O624" s="2"/>
      <c r="P624" s="2"/>
    </row>
    <row r="625" ht="18.0" hidden="1" customHeight="1">
      <c r="A625" s="1"/>
      <c r="B625" s="3">
        <v>624.0</v>
      </c>
      <c r="C625" s="4">
        <v>43370.0</v>
      </c>
      <c r="D625" s="2" t="s">
        <v>753</v>
      </c>
      <c r="E625" s="2">
        <v>6.110001246E9</v>
      </c>
      <c r="F625" s="3" t="s">
        <v>754</v>
      </c>
      <c r="G625" s="2" t="s">
        <v>733</v>
      </c>
      <c r="H625" s="2" t="s">
        <v>752</v>
      </c>
      <c r="I625" s="3">
        <v>24.0</v>
      </c>
      <c r="J625" s="3"/>
      <c r="K625" s="5">
        <v>25.0</v>
      </c>
      <c r="L625" s="6" t="str">
        <f>IF(D625&lt;&gt;"",VLOOKUP(H625,TABLEITEM,2,FALSE),"")</f>
        <v>MAT GL</v>
      </c>
      <c r="M625" s="6" t="str">
        <f>IF(D625&lt;&gt;"",VLOOKUP(H625,TABLEITEM,3,FALSE),"")</f>
        <v>กระจก128X128T3.0</v>
      </c>
      <c r="N625" s="7">
        <f>INSTOCK!$I625*INSTOCK!$K625</f>
        <v>600</v>
      </c>
      <c r="O625" s="2" t="s">
        <v>755</v>
      </c>
      <c r="P625" s="2"/>
    </row>
    <row r="626" ht="18.0" hidden="1" customHeight="1">
      <c r="A626" s="1"/>
      <c r="B626" s="3">
        <v>625.0</v>
      </c>
      <c r="C626" s="4">
        <v>43340.0</v>
      </c>
      <c r="D626" s="2" t="s">
        <v>756</v>
      </c>
      <c r="E626" s="2">
        <v>6.109001068E9</v>
      </c>
      <c r="F626" s="3" t="s">
        <v>757</v>
      </c>
      <c r="G626" s="2" t="s">
        <v>733</v>
      </c>
      <c r="H626" s="2" t="s">
        <v>758</v>
      </c>
      <c r="I626" s="3">
        <v>4.0</v>
      </c>
      <c r="J626" s="3"/>
      <c r="K626" s="5">
        <v>38.0</v>
      </c>
      <c r="L626" s="6" t="str">
        <f>IF(D626&lt;&gt;"",VLOOKUP(H626,TABLEITEM,2,FALSE),"")</f>
        <v>MAT GL</v>
      </c>
      <c r="M626" s="6" t="str">
        <f>IF(D626&lt;&gt;"",VLOOKUP(H626,TABLEITEM,3,FALSE),"")</f>
        <v>กระจก128x308T3.0</v>
      </c>
      <c r="N626" s="7">
        <f>INSTOCK!$I626*INSTOCK!$K626</f>
        <v>152</v>
      </c>
      <c r="O626" s="2" t="s">
        <v>739</v>
      </c>
      <c r="P626" s="2"/>
    </row>
    <row r="627" ht="18.0" hidden="1" customHeight="1">
      <c r="A627" s="1"/>
      <c r="B627" s="3">
        <v>626.0</v>
      </c>
      <c r="C627" s="4">
        <v>43356.0</v>
      </c>
      <c r="D627" s="2" t="s">
        <v>759</v>
      </c>
      <c r="E627" s="2">
        <v>6.109001174E9</v>
      </c>
      <c r="F627" s="3" t="s">
        <v>760</v>
      </c>
      <c r="G627" s="2" t="s">
        <v>733</v>
      </c>
      <c r="H627" s="2" t="s">
        <v>758</v>
      </c>
      <c r="I627" s="3">
        <v>2.0</v>
      </c>
      <c r="J627" s="3"/>
      <c r="K627" s="5">
        <v>38.0</v>
      </c>
      <c r="L627" s="6" t="str">
        <f>IF(D627&lt;&gt;"",VLOOKUP(H627,TABLEITEM,2,FALSE),"")</f>
        <v>MAT GL</v>
      </c>
      <c r="M627" s="6" t="str">
        <f>IF(D627&lt;&gt;"",VLOOKUP(H627,TABLEITEM,3,FALSE),"")</f>
        <v>กระจก128x308T3.0</v>
      </c>
      <c r="N627" s="7">
        <f>INSTOCK!$I627*INSTOCK!$K627</f>
        <v>76</v>
      </c>
      <c r="O627" s="2" t="s">
        <v>739</v>
      </c>
      <c r="P627" s="2"/>
    </row>
    <row r="628" ht="18.0" hidden="1" customHeight="1">
      <c r="A628" s="1"/>
      <c r="B628" s="3">
        <v>627.0</v>
      </c>
      <c r="C628" s="4">
        <v>43381.0</v>
      </c>
      <c r="D628" s="2" t="s">
        <v>761</v>
      </c>
      <c r="E628" s="2">
        <v>6.110001276E9</v>
      </c>
      <c r="F628" s="3" t="s">
        <v>762</v>
      </c>
      <c r="G628" s="2" t="s">
        <v>733</v>
      </c>
      <c r="H628" s="2" t="s">
        <v>758</v>
      </c>
      <c r="I628" s="3">
        <v>1.0</v>
      </c>
      <c r="J628" s="3"/>
      <c r="K628" s="5">
        <v>38.0</v>
      </c>
      <c r="L628" s="6" t="str">
        <f>IF(D628&lt;&gt;"",VLOOKUP(H628,TABLEITEM,2,FALSE),"")</f>
        <v>MAT GL</v>
      </c>
      <c r="M628" s="6" t="str">
        <f>IF(D628&lt;&gt;"",VLOOKUP(H628,TABLEITEM,3,FALSE),"")</f>
        <v>กระจก128x308T3.0</v>
      </c>
      <c r="N628" s="7">
        <f>INSTOCK!$I628*INSTOCK!$K628</f>
        <v>38</v>
      </c>
      <c r="O628" s="2" t="s">
        <v>700</v>
      </c>
      <c r="P628" s="2"/>
    </row>
    <row r="629" ht="18.0" hidden="1" customHeight="1">
      <c r="A629" s="1"/>
      <c r="B629" s="3">
        <v>628.0</v>
      </c>
      <c r="C629" s="4">
        <v>43276.0</v>
      </c>
      <c r="D629" s="2" t="s">
        <v>735</v>
      </c>
      <c r="E629" s="2">
        <v>6.106000716E9</v>
      </c>
      <c r="F629" s="3"/>
      <c r="G629" s="2" t="s">
        <v>733</v>
      </c>
      <c r="H629" s="2" t="s">
        <v>763</v>
      </c>
      <c r="I629" s="3">
        <v>1.0</v>
      </c>
      <c r="J629" s="3"/>
      <c r="K629" s="5">
        <v>25.0</v>
      </c>
      <c r="L629" s="6" t="str">
        <f>IF(D629&lt;&gt;"",VLOOKUP(H629,TABLEITEM,2,FALSE),"")</f>
        <v>MAT GL</v>
      </c>
      <c r="M629" s="6" t="str">
        <f>IF(D629&lt;&gt;"",VLOOKUP(H629,TABLEITEM,3,FALSE),"")</f>
        <v>กระจก132X132T3.0</v>
      </c>
      <c r="N629" s="7">
        <f>INSTOCK!$I629*INSTOCK!$K629</f>
        <v>25</v>
      </c>
      <c r="O629" s="2"/>
      <c r="P629" s="2"/>
    </row>
    <row r="630" ht="18.0" hidden="1" customHeight="1">
      <c r="A630" s="1"/>
      <c r="B630" s="3">
        <v>629.0</v>
      </c>
      <c r="C630" s="4">
        <v>43340.0</v>
      </c>
      <c r="D630" s="2" t="s">
        <v>732</v>
      </c>
      <c r="E630" s="2">
        <v>6.109001066E9</v>
      </c>
      <c r="F630" s="3"/>
      <c r="G630" s="2" t="s">
        <v>733</v>
      </c>
      <c r="H630" s="2" t="s">
        <v>764</v>
      </c>
      <c r="I630" s="3">
        <v>3.0</v>
      </c>
      <c r="J630" s="3"/>
      <c r="K630" s="5">
        <v>25.0</v>
      </c>
      <c r="L630" s="6" t="str">
        <f>IF(D630&lt;&gt;"",VLOOKUP(H630,TABLEITEM,2,FALSE),"")</f>
        <v>MAT GL</v>
      </c>
      <c r="M630" s="6" t="str">
        <f>IF(D630&lt;&gt;"",VLOOKUP(H630,TABLEITEM,3,FALSE),"")</f>
        <v>กระจก143X223T3.0</v>
      </c>
      <c r="N630" s="7">
        <f>INSTOCK!$I630*INSTOCK!$K630</f>
        <v>75</v>
      </c>
      <c r="O630" s="2"/>
      <c r="P630" s="2"/>
    </row>
    <row r="631" ht="18.0" hidden="1" customHeight="1">
      <c r="A631" s="1"/>
      <c r="B631" s="3">
        <v>630.0</v>
      </c>
      <c r="C631" s="4">
        <v>43276.0</v>
      </c>
      <c r="D631" s="2" t="s">
        <v>765</v>
      </c>
      <c r="E631" s="2">
        <v>6.105000574E9</v>
      </c>
      <c r="F631" s="3"/>
      <c r="G631" s="2" t="s">
        <v>733</v>
      </c>
      <c r="H631" s="2" t="s">
        <v>766</v>
      </c>
      <c r="I631" s="3">
        <v>9.0</v>
      </c>
      <c r="J631" s="3"/>
      <c r="K631" s="5">
        <v>25.0</v>
      </c>
      <c r="L631" s="6" t="str">
        <f>IF(D631&lt;&gt;"",VLOOKUP(H631,TABLEITEM,2,FALSE),"")</f>
        <v>MAT GL</v>
      </c>
      <c r="M631" s="6" t="str">
        <f>IF(D631&lt;&gt;"",VLOOKUP(H631,TABLEITEM,3,FALSE),"")</f>
        <v>กระจก158x208T3.0</v>
      </c>
      <c r="N631" s="7">
        <f>INSTOCK!$I631*INSTOCK!$K631</f>
        <v>225</v>
      </c>
      <c r="O631" s="2"/>
      <c r="P631" s="2"/>
    </row>
    <row r="632" ht="18.0" hidden="1" customHeight="1">
      <c r="A632" s="1"/>
      <c r="B632" s="3">
        <v>631.0</v>
      </c>
      <c r="C632" s="4">
        <v>43215.0</v>
      </c>
      <c r="D632" s="2" t="s">
        <v>767</v>
      </c>
      <c r="E632" s="2">
        <v>6.104000506E9</v>
      </c>
      <c r="F632" s="3"/>
      <c r="G632" s="2" t="s">
        <v>733</v>
      </c>
      <c r="H632" s="2" t="s">
        <v>766</v>
      </c>
      <c r="I632" s="3">
        <v>3.0</v>
      </c>
      <c r="J632" s="3"/>
      <c r="K632" s="5">
        <v>25.0</v>
      </c>
      <c r="L632" s="6" t="str">
        <f>IF(D632&lt;&gt;"",VLOOKUP(H632,TABLEITEM,2,FALSE),"")</f>
        <v>MAT GL</v>
      </c>
      <c r="M632" s="6" t="str">
        <f>IF(D632&lt;&gt;"",VLOOKUP(H632,TABLEITEM,3,FALSE),"")</f>
        <v>กระจก158x208T3.0</v>
      </c>
      <c r="N632" s="7">
        <f>INSTOCK!$I632*INSTOCK!$K632</f>
        <v>75</v>
      </c>
      <c r="O632" s="2"/>
      <c r="P632" s="2"/>
    </row>
    <row r="633" ht="18.0" hidden="1" customHeight="1">
      <c r="A633" s="1"/>
      <c r="B633" s="3">
        <v>632.0</v>
      </c>
      <c r="C633" s="4">
        <v>43340.0</v>
      </c>
      <c r="D633" s="2" t="s">
        <v>732</v>
      </c>
      <c r="E633" s="2">
        <v>6.108000944E9</v>
      </c>
      <c r="F633" s="3"/>
      <c r="G633" s="2" t="s">
        <v>733</v>
      </c>
      <c r="H633" s="2" t="s">
        <v>768</v>
      </c>
      <c r="I633" s="3">
        <v>2.0</v>
      </c>
      <c r="J633" s="3"/>
      <c r="K633" s="5">
        <v>38.0</v>
      </c>
      <c r="L633" s="6" t="str">
        <f>IF(D633&lt;&gt;"",VLOOKUP(H633,TABLEITEM,2,FALSE),"")</f>
        <v>MAT GL</v>
      </c>
      <c r="M633" s="6" t="str">
        <f>IF(D633&lt;&gt;"",VLOOKUP(H633,TABLEITEM,3,FALSE),"")</f>
        <v>กระจก158x308T3.0</v>
      </c>
      <c r="N633" s="7">
        <f>INSTOCK!$I633*INSTOCK!$K633</f>
        <v>76</v>
      </c>
      <c r="O633" s="2"/>
      <c r="P633" s="2"/>
    </row>
    <row r="634" ht="18.0" hidden="1" customHeight="1">
      <c r="A634" s="1"/>
      <c r="B634" s="3">
        <v>633.0</v>
      </c>
      <c r="C634" s="4">
        <v>43340.0</v>
      </c>
      <c r="D634" s="2" t="s">
        <v>749</v>
      </c>
      <c r="E634" s="2">
        <v>6.108001005E9</v>
      </c>
      <c r="F634" s="3"/>
      <c r="G634" s="2" t="s">
        <v>733</v>
      </c>
      <c r="H634" s="2" t="s">
        <v>768</v>
      </c>
      <c r="I634" s="3">
        <v>2.0</v>
      </c>
      <c r="J634" s="3"/>
      <c r="K634" s="5">
        <v>38.0</v>
      </c>
      <c r="L634" s="6" t="str">
        <f>IF(D634&lt;&gt;"",VLOOKUP(H634,TABLEITEM,2,FALSE),"")</f>
        <v>MAT GL</v>
      </c>
      <c r="M634" s="6" t="str">
        <f>IF(D634&lt;&gt;"",VLOOKUP(H634,TABLEITEM,3,FALSE),"")</f>
        <v>กระจก158x308T3.0</v>
      </c>
      <c r="N634" s="7">
        <f>INSTOCK!$I634*INSTOCK!$K634</f>
        <v>76</v>
      </c>
      <c r="O634" s="2"/>
      <c r="P634" s="2"/>
    </row>
    <row r="635" ht="18.0" hidden="1" customHeight="1">
      <c r="A635" s="1"/>
      <c r="B635" s="3">
        <v>634.0</v>
      </c>
      <c r="C635" s="4">
        <v>43339.0</v>
      </c>
      <c r="D635" s="2" t="s">
        <v>747</v>
      </c>
      <c r="E635" s="2">
        <v>6.1060008E9</v>
      </c>
      <c r="F635" s="3"/>
      <c r="G635" s="2" t="s">
        <v>733</v>
      </c>
      <c r="H635" s="2" t="s">
        <v>768</v>
      </c>
      <c r="I635" s="3">
        <v>6.0</v>
      </c>
      <c r="J635" s="3"/>
      <c r="K635" s="5">
        <v>38.0</v>
      </c>
      <c r="L635" s="6" t="str">
        <f>IF(D635&lt;&gt;"",VLOOKUP(H635,TABLEITEM,2,FALSE),"")</f>
        <v>MAT GL</v>
      </c>
      <c r="M635" s="6" t="str">
        <f>IF(D635&lt;&gt;"",VLOOKUP(H635,TABLEITEM,3,FALSE),"")</f>
        <v>กระจก158x308T3.0</v>
      </c>
      <c r="N635" s="7">
        <f>INSTOCK!$I635*INSTOCK!$K635</f>
        <v>228</v>
      </c>
      <c r="O635" s="2"/>
      <c r="P635" s="2"/>
    </row>
    <row r="636" ht="18.0" hidden="1" customHeight="1">
      <c r="A636" s="1"/>
      <c r="B636" s="3">
        <v>635.0</v>
      </c>
      <c r="C636" s="4">
        <v>43367.0</v>
      </c>
      <c r="D636" s="2" t="s">
        <v>769</v>
      </c>
      <c r="E636" s="2">
        <v>6.109001219E9</v>
      </c>
      <c r="F636" s="3" t="s">
        <v>770</v>
      </c>
      <c r="G636" s="2" t="s">
        <v>733</v>
      </c>
      <c r="H636" s="2" t="s">
        <v>771</v>
      </c>
      <c r="I636" s="3">
        <v>1.0</v>
      </c>
      <c r="J636" s="3"/>
      <c r="K636" s="5">
        <v>38.0</v>
      </c>
      <c r="L636" s="6" t="str">
        <f>IF(D636&lt;&gt;"",VLOOKUP(H636,TABLEITEM,2,FALSE),"")</f>
        <v>MAT GL</v>
      </c>
      <c r="M636" s="6" t="str">
        <f>IF(D636&lt;&gt;"",VLOOKUP(H636,TABLEITEM,3,FALSE),"")</f>
        <v>กระจก158x358T3.0</v>
      </c>
      <c r="N636" s="7">
        <f>INSTOCK!$I636*INSTOCK!$K636</f>
        <v>38</v>
      </c>
      <c r="O636" s="2" t="s">
        <v>739</v>
      </c>
      <c r="P636" s="2"/>
    </row>
    <row r="637" ht="18.0" hidden="1" customHeight="1">
      <c r="A637" s="1"/>
      <c r="B637" s="3">
        <v>636.0</v>
      </c>
      <c r="C637" s="4">
        <v>43370.0</v>
      </c>
      <c r="D637" s="2" t="s">
        <v>772</v>
      </c>
      <c r="E637" s="2">
        <v>6.110001246E9</v>
      </c>
      <c r="F637" s="3" t="s">
        <v>773</v>
      </c>
      <c r="G637" s="2" t="s">
        <v>733</v>
      </c>
      <c r="H637" s="2" t="s">
        <v>771</v>
      </c>
      <c r="I637" s="3">
        <v>1.0</v>
      </c>
      <c r="J637" s="3"/>
      <c r="K637" s="5">
        <v>45.0</v>
      </c>
      <c r="L637" s="6" t="str">
        <f>IF(D637&lt;&gt;"",VLOOKUP(H637,TABLEITEM,2,FALSE),"")</f>
        <v>MAT GL</v>
      </c>
      <c r="M637" s="6" t="str">
        <f>IF(D637&lt;&gt;"",VLOOKUP(H637,TABLEITEM,3,FALSE),"")</f>
        <v>กระจก158x358T3.0</v>
      </c>
      <c r="N637" s="7">
        <f>INSTOCK!$I637*INSTOCK!$K637</f>
        <v>45</v>
      </c>
      <c r="O637" s="2" t="s">
        <v>755</v>
      </c>
      <c r="P637" s="2"/>
    </row>
    <row r="638" ht="18.0" hidden="1" customHeight="1">
      <c r="A638" s="1"/>
      <c r="B638" s="3">
        <v>637.0</v>
      </c>
      <c r="C638" s="4">
        <v>43276.0</v>
      </c>
      <c r="D638" s="2" t="s">
        <v>765</v>
      </c>
      <c r="E638" s="2">
        <v>6.105000574E9</v>
      </c>
      <c r="F638" s="3"/>
      <c r="G638" s="2" t="s">
        <v>733</v>
      </c>
      <c r="H638" s="2" t="s">
        <v>774</v>
      </c>
      <c r="I638" s="3">
        <v>4.0</v>
      </c>
      <c r="J638" s="3"/>
      <c r="K638" s="5">
        <v>40.0</v>
      </c>
      <c r="L638" s="6" t="str">
        <f>IF(D638&lt;&gt;"",VLOOKUP(H638,TABLEITEM,2,FALSE),"")</f>
        <v>MAT GL</v>
      </c>
      <c r="M638" s="6" t="str">
        <f>IF(D638&lt;&gt;"",VLOOKUP(H638,TABLEITEM,3,FALSE),"")</f>
        <v>กระจก158x408T3.0</v>
      </c>
      <c r="N638" s="7">
        <f>INSTOCK!$I638*INSTOCK!$K638</f>
        <v>160</v>
      </c>
      <c r="O638" s="2"/>
      <c r="P638" s="2"/>
    </row>
    <row r="639" ht="18.0" hidden="1" customHeight="1">
      <c r="A639" s="1"/>
      <c r="B639" s="3">
        <v>638.0</v>
      </c>
      <c r="C639" s="4">
        <v>43277.0</v>
      </c>
      <c r="D639" s="2" t="s">
        <v>743</v>
      </c>
      <c r="E639" s="2">
        <v>6.105000626E9</v>
      </c>
      <c r="F639" s="3"/>
      <c r="G639" s="2" t="s">
        <v>733</v>
      </c>
      <c r="H639" s="2" t="s">
        <v>774</v>
      </c>
      <c r="I639" s="3">
        <v>1.0</v>
      </c>
      <c r="J639" s="3"/>
      <c r="K639" s="5">
        <v>40.0</v>
      </c>
      <c r="L639" s="6" t="str">
        <f>IF(D639&lt;&gt;"",VLOOKUP(H639,TABLEITEM,2,FALSE),"")</f>
        <v>MAT GL</v>
      </c>
      <c r="M639" s="6" t="str">
        <f>IF(D639&lt;&gt;"",VLOOKUP(H639,TABLEITEM,3,FALSE),"")</f>
        <v>กระจก158x408T3.0</v>
      </c>
      <c r="N639" s="7">
        <f>INSTOCK!$I639*INSTOCK!$K639</f>
        <v>40</v>
      </c>
      <c r="O639" s="2"/>
      <c r="P639" s="2"/>
    </row>
    <row r="640" ht="18.0" hidden="1" customHeight="1">
      <c r="A640" s="1"/>
      <c r="B640" s="3">
        <v>639.0</v>
      </c>
      <c r="C640" s="4">
        <v>43358.0</v>
      </c>
      <c r="D640" s="2" t="s">
        <v>775</v>
      </c>
      <c r="E640" s="2">
        <v>6.109001174E9</v>
      </c>
      <c r="F640" s="3" t="s">
        <v>776</v>
      </c>
      <c r="G640" s="2" t="s">
        <v>733</v>
      </c>
      <c r="H640" s="2" t="s">
        <v>777</v>
      </c>
      <c r="I640" s="3">
        <v>1.0</v>
      </c>
      <c r="J640" s="3"/>
      <c r="K640" s="5">
        <v>40.0</v>
      </c>
      <c r="L640" s="6" t="str">
        <f>IF(D640&lt;&gt;"",VLOOKUP(H640,TABLEITEM,2,FALSE),"")</f>
        <v>MAT GL</v>
      </c>
      <c r="M640" s="6" t="str">
        <f>IF(D640&lt;&gt;"",VLOOKUP(H640,TABLEITEM,3,FALSE),"")</f>
        <v>กระจก162x412T3.0</v>
      </c>
      <c r="N640" s="7">
        <f>INSTOCK!$I640*INSTOCK!$K640</f>
        <v>40</v>
      </c>
      <c r="O640" s="2" t="s">
        <v>739</v>
      </c>
      <c r="P640" s="2"/>
    </row>
    <row r="641" ht="18.0" hidden="1" customHeight="1">
      <c r="A641" s="1"/>
      <c r="B641" s="3">
        <v>640.0</v>
      </c>
      <c r="C641" s="4">
        <v>43360.0</v>
      </c>
      <c r="D641" s="2" t="s">
        <v>778</v>
      </c>
      <c r="E641" s="2">
        <v>6.109001174E9</v>
      </c>
      <c r="F641" s="3" t="s">
        <v>779</v>
      </c>
      <c r="G641" s="2" t="s">
        <v>733</v>
      </c>
      <c r="H641" s="2" t="s">
        <v>780</v>
      </c>
      <c r="I641" s="3">
        <v>12.0</v>
      </c>
      <c r="J641" s="3"/>
      <c r="K641" s="5">
        <v>25.0</v>
      </c>
      <c r="L641" s="6" t="str">
        <f>IF(D641&lt;&gt;"",VLOOKUP(H641,TABLEITEM,2,FALSE),"")</f>
        <v>MAT GL</v>
      </c>
      <c r="M641" s="6" t="str">
        <f>IF(D641&lt;&gt;"",VLOOKUP(H641,TABLEITEM,3,FALSE),"")</f>
        <v>กระจก168x168T3.0</v>
      </c>
      <c r="N641" s="7">
        <f>INSTOCK!$I641*INSTOCK!$K641</f>
        <v>300</v>
      </c>
      <c r="O641" s="2" t="s">
        <v>739</v>
      </c>
      <c r="P641" s="2"/>
    </row>
    <row r="642" ht="18.0" hidden="1" customHeight="1">
      <c r="A642" s="1"/>
      <c r="B642" s="3">
        <v>641.0</v>
      </c>
      <c r="C642" s="4">
        <v>43376.0</v>
      </c>
      <c r="D642" s="2" t="s">
        <v>781</v>
      </c>
      <c r="E642" s="2">
        <v>6.110001276E9</v>
      </c>
      <c r="F642" s="3" t="s">
        <v>782</v>
      </c>
      <c r="G642" s="2" t="s">
        <v>733</v>
      </c>
      <c r="H642" s="2" t="s">
        <v>783</v>
      </c>
      <c r="I642" s="3">
        <v>12.0</v>
      </c>
      <c r="J642" s="3"/>
      <c r="K642" s="5">
        <v>25.0</v>
      </c>
      <c r="L642" s="6" t="str">
        <f>IF(D642&lt;&gt;"",VLOOKUP(H642,TABLEITEM,2,FALSE),"")</f>
        <v>MAT GL</v>
      </c>
      <c r="M642" s="6" t="str">
        <f>IF(D642&lt;&gt;"",VLOOKUP(H642,TABLEITEM,3,FALSE),"")</f>
        <v>กระจก178x178T3.0</v>
      </c>
      <c r="N642" s="7">
        <f>INSTOCK!$I642*INSTOCK!$K642</f>
        <v>300</v>
      </c>
      <c r="O642" s="2" t="s">
        <v>700</v>
      </c>
      <c r="P642" s="2"/>
    </row>
    <row r="643" ht="18.0" hidden="1" customHeight="1">
      <c r="A643" s="1"/>
      <c r="B643" s="3">
        <v>642.0</v>
      </c>
      <c r="C643" s="4">
        <v>43276.0</v>
      </c>
      <c r="D643" s="2" t="s">
        <v>784</v>
      </c>
      <c r="E643" s="2">
        <v>6.106000776E9</v>
      </c>
      <c r="F643" s="3"/>
      <c r="G643" s="2" t="s">
        <v>733</v>
      </c>
      <c r="H643" s="2" t="s">
        <v>785</v>
      </c>
      <c r="I643" s="3">
        <v>4.0</v>
      </c>
      <c r="J643" s="3"/>
      <c r="K643" s="5">
        <v>35.0</v>
      </c>
      <c r="L643" s="6" t="str">
        <f>IF(D643&lt;&gt;"",VLOOKUP(H643,TABLEITEM,2,FALSE),"")</f>
        <v>MAT GL</v>
      </c>
      <c r="M643" s="6" t="str">
        <f>IF(D643&lt;&gt;"",VLOOKUP(H643,TABLEITEM,3,FALSE),"")</f>
        <v>กระจก183x388T3.0</v>
      </c>
      <c r="N643" s="7">
        <f>INSTOCK!$I643*INSTOCK!$K643</f>
        <v>140</v>
      </c>
      <c r="O643" s="2"/>
      <c r="P643" s="2"/>
    </row>
    <row r="644" ht="18.0" hidden="1" customHeight="1">
      <c r="A644" s="1"/>
      <c r="B644" s="3">
        <v>643.0</v>
      </c>
      <c r="C644" s="4">
        <v>43357.0</v>
      </c>
      <c r="D644" s="2" t="s">
        <v>786</v>
      </c>
      <c r="E644" s="2">
        <v>6.109001174E9</v>
      </c>
      <c r="F644" s="3" t="s">
        <v>787</v>
      </c>
      <c r="G644" s="2" t="s">
        <v>733</v>
      </c>
      <c r="H644" s="2" t="s">
        <v>785</v>
      </c>
      <c r="I644" s="3">
        <v>1.0</v>
      </c>
      <c r="J644" s="3"/>
      <c r="K644" s="5">
        <v>38.0</v>
      </c>
      <c r="L644" s="6" t="str">
        <f>IF(D644&lt;&gt;"",VLOOKUP(H644,TABLEITEM,2,FALSE),"")</f>
        <v>MAT GL</v>
      </c>
      <c r="M644" s="6" t="str">
        <f>IF(D644&lt;&gt;"",VLOOKUP(H644,TABLEITEM,3,FALSE),"")</f>
        <v>กระจก183x388T3.0</v>
      </c>
      <c r="N644" s="7">
        <f>INSTOCK!$I644*INSTOCK!$K644</f>
        <v>38</v>
      </c>
      <c r="O644" s="2" t="s">
        <v>739</v>
      </c>
      <c r="P644" s="2"/>
    </row>
    <row r="645" ht="18.0" hidden="1" customHeight="1">
      <c r="A645" s="1"/>
      <c r="B645" s="3">
        <v>644.0</v>
      </c>
      <c r="C645" s="4">
        <v>43363.0</v>
      </c>
      <c r="D645" s="2" t="s">
        <v>788</v>
      </c>
      <c r="E645" s="2">
        <v>6.109001219E9</v>
      </c>
      <c r="F645" s="3" t="s">
        <v>789</v>
      </c>
      <c r="G645" s="2" t="s">
        <v>733</v>
      </c>
      <c r="H645" s="2" t="s">
        <v>785</v>
      </c>
      <c r="I645" s="3">
        <v>2.0</v>
      </c>
      <c r="J645" s="3"/>
      <c r="K645" s="5">
        <v>40.0</v>
      </c>
      <c r="L645" s="6" t="str">
        <f>IF(D645&lt;&gt;"",VLOOKUP(H645,TABLEITEM,2,FALSE),"")</f>
        <v>MAT GL</v>
      </c>
      <c r="M645" s="6" t="str">
        <f>IF(D645&lt;&gt;"",VLOOKUP(H645,TABLEITEM,3,FALSE),"")</f>
        <v>กระจก183x388T3.0</v>
      </c>
      <c r="N645" s="7">
        <f>INSTOCK!$I645*INSTOCK!$K645</f>
        <v>80</v>
      </c>
      <c r="O645" s="2" t="s">
        <v>739</v>
      </c>
      <c r="P645" s="2"/>
    </row>
    <row r="646" ht="18.0" hidden="1" customHeight="1">
      <c r="A646" s="1"/>
      <c r="B646" s="3">
        <v>645.0</v>
      </c>
      <c r="C646" s="4">
        <v>43339.0</v>
      </c>
      <c r="D646" s="2" t="s">
        <v>747</v>
      </c>
      <c r="E646" s="2">
        <v>6.107000882E9</v>
      </c>
      <c r="F646" s="3"/>
      <c r="G646" s="2" t="s">
        <v>733</v>
      </c>
      <c r="H646" s="2" t="s">
        <v>790</v>
      </c>
      <c r="I646" s="3">
        <v>5.0</v>
      </c>
      <c r="J646" s="3"/>
      <c r="K646" s="5">
        <v>25.0</v>
      </c>
      <c r="L646" s="6" t="str">
        <f>IF(D646&lt;&gt;"",VLOOKUP(H646,TABLEITEM,2,FALSE),"")</f>
        <v>MAT GL</v>
      </c>
      <c r="M646" s="6" t="str">
        <f>IF(D646&lt;&gt;"",VLOOKUP(H646,TABLEITEM,3,FALSE),"")</f>
        <v>กระจก188x198T3.0</v>
      </c>
      <c r="N646" s="7">
        <f>INSTOCK!$I646*INSTOCK!$K646</f>
        <v>125</v>
      </c>
      <c r="O646" s="2"/>
      <c r="P646" s="2"/>
    </row>
    <row r="647" ht="18.0" hidden="1" customHeight="1">
      <c r="A647" s="1"/>
      <c r="B647" s="3">
        <v>646.0</v>
      </c>
      <c r="C647" s="4">
        <v>43277.0</v>
      </c>
      <c r="D647" s="2" t="s">
        <v>743</v>
      </c>
      <c r="E647" s="2">
        <v>6.105000658E9</v>
      </c>
      <c r="F647" s="3"/>
      <c r="G647" s="2" t="s">
        <v>733</v>
      </c>
      <c r="H647" s="2" t="s">
        <v>791</v>
      </c>
      <c r="I647" s="3">
        <v>1.0</v>
      </c>
      <c r="J647" s="3"/>
      <c r="K647" s="5">
        <v>25.0</v>
      </c>
      <c r="L647" s="6" t="str">
        <f>IF(D647&lt;&gt;"",VLOOKUP(H647,TABLEITEM,2,FALSE),"")</f>
        <v>MAT GL</v>
      </c>
      <c r="M647" s="6" t="str">
        <f>IF(D647&lt;&gt;"",VLOOKUP(H647,TABLEITEM,3,FALSE),"")</f>
        <v>กระจก203x228T3.0</v>
      </c>
      <c r="N647" s="7">
        <f>INSTOCK!$I647*INSTOCK!$K647</f>
        <v>25</v>
      </c>
      <c r="O647" s="2"/>
      <c r="P647" s="2"/>
    </row>
    <row r="648" ht="18.0" hidden="1" customHeight="1">
      <c r="A648" s="1"/>
      <c r="B648" s="3">
        <v>647.0</v>
      </c>
      <c r="C648" s="4">
        <v>43155.0</v>
      </c>
      <c r="D648" s="2" t="s">
        <v>792</v>
      </c>
      <c r="E648" s="2">
        <v>6.10100009E9</v>
      </c>
      <c r="F648" s="3"/>
      <c r="G648" s="2" t="s">
        <v>733</v>
      </c>
      <c r="H648" s="2" t="s">
        <v>793</v>
      </c>
      <c r="I648" s="3">
        <v>1.0</v>
      </c>
      <c r="J648" s="3"/>
      <c r="K648" s="5">
        <v>35.0</v>
      </c>
      <c r="L648" s="6" t="str">
        <f>IF(D648&lt;&gt;"",VLOOKUP(H648,TABLEITEM,2,FALSE),"")</f>
        <v>MAT GL</v>
      </c>
      <c r="M648" s="6" t="str">
        <f>IF(D648&lt;&gt;"",VLOOKUP(H648,TABLEITEM,3,FALSE),"")</f>
        <v>กระจก208x358T3.0</v>
      </c>
      <c r="N648" s="7">
        <f>INSTOCK!$I648*INSTOCK!$K648</f>
        <v>35</v>
      </c>
      <c r="O648" s="2"/>
      <c r="P648" s="2"/>
    </row>
    <row r="649" ht="18.0" hidden="1" customHeight="1">
      <c r="A649" s="1"/>
      <c r="B649" s="3">
        <v>648.0</v>
      </c>
      <c r="C649" s="4">
        <v>43277.0</v>
      </c>
      <c r="D649" s="2" t="s">
        <v>743</v>
      </c>
      <c r="E649" s="40" t="s">
        <v>744</v>
      </c>
      <c r="F649" s="3"/>
      <c r="G649" s="2" t="s">
        <v>733</v>
      </c>
      <c r="H649" s="2" t="s">
        <v>794</v>
      </c>
      <c r="I649" s="3">
        <v>1.0</v>
      </c>
      <c r="J649" s="3"/>
      <c r="K649" s="5">
        <v>50.0</v>
      </c>
      <c r="L649" s="6" t="str">
        <f>IF(D649&lt;&gt;"",VLOOKUP(H649,TABLEITEM,2,FALSE),"")</f>
        <v>MAT GL</v>
      </c>
      <c r="M649" s="6" t="str">
        <f>IF(D649&lt;&gt;"",VLOOKUP(H649,TABLEITEM,3,FALSE),"")</f>
        <v>กระจก208X408T3.0</v>
      </c>
      <c r="N649" s="7">
        <f>INSTOCK!$I649*INSTOCK!$K649</f>
        <v>50</v>
      </c>
      <c r="O649" s="2"/>
      <c r="P649" s="2"/>
    </row>
    <row r="650" ht="18.0" hidden="1" customHeight="1">
      <c r="A650" s="1"/>
      <c r="B650" s="3">
        <v>649.0</v>
      </c>
      <c r="C650" s="4">
        <v>43157.0</v>
      </c>
      <c r="D650" s="2" t="s">
        <v>740</v>
      </c>
      <c r="E650" s="2">
        <v>6.102000268E9</v>
      </c>
      <c r="F650" s="3"/>
      <c r="G650" s="2" t="s">
        <v>733</v>
      </c>
      <c r="H650" s="2" t="s">
        <v>795</v>
      </c>
      <c r="I650" s="3">
        <v>1.0</v>
      </c>
      <c r="J650" s="3"/>
      <c r="K650" s="5">
        <v>40.0</v>
      </c>
      <c r="L650" s="6" t="str">
        <f>IF(D650&lt;&gt;"",VLOOKUP(H650,TABLEITEM,2,FALSE),"")</f>
        <v>MAT GL</v>
      </c>
      <c r="M650" s="6" t="str">
        <f>IF(D650&lt;&gt;"",VLOOKUP(H650,TABLEITEM,3,FALSE),"")</f>
        <v>กระจก208X408T3.0</v>
      </c>
      <c r="N650" s="7">
        <f>INSTOCK!$I650*INSTOCK!$K650</f>
        <v>40</v>
      </c>
      <c r="O650" s="2"/>
      <c r="P650" s="2"/>
    </row>
    <row r="651" ht="18.0" hidden="1" customHeight="1">
      <c r="A651" s="1"/>
      <c r="B651" s="3">
        <v>650.0</v>
      </c>
      <c r="C651" s="4">
        <v>43158.0</v>
      </c>
      <c r="D651" s="2" t="s">
        <v>796</v>
      </c>
      <c r="E651" s="2">
        <v>6.102000268E9</v>
      </c>
      <c r="F651" s="3"/>
      <c r="G651" s="2" t="s">
        <v>733</v>
      </c>
      <c r="H651" s="2" t="s">
        <v>797</v>
      </c>
      <c r="I651" s="3">
        <v>1.0</v>
      </c>
      <c r="J651" s="3"/>
      <c r="K651" s="5">
        <v>50.0</v>
      </c>
      <c r="L651" s="6" t="str">
        <f>IF(D651&lt;&gt;"",VLOOKUP(H651,TABLEITEM,2,FALSE),"")</f>
        <v>MAT GL</v>
      </c>
      <c r="M651" s="6" t="str">
        <f>IF(D651&lt;&gt;"",VLOOKUP(H651,TABLEITEM,3,FALSE),"")</f>
        <v>กระจก208x458T3.0</v>
      </c>
      <c r="N651" s="7">
        <f>INSTOCK!$I651*INSTOCK!$K651</f>
        <v>50</v>
      </c>
      <c r="O651" s="2"/>
      <c r="P651" s="2"/>
    </row>
    <row r="652" ht="18.0" hidden="1" customHeight="1">
      <c r="A652" s="1"/>
      <c r="B652" s="3">
        <v>651.0</v>
      </c>
      <c r="C652" s="4">
        <v>43277.0</v>
      </c>
      <c r="D652" s="2" t="s">
        <v>743</v>
      </c>
      <c r="E652" s="2">
        <v>6.105000658E9</v>
      </c>
      <c r="F652" s="3"/>
      <c r="G652" s="2" t="s">
        <v>733</v>
      </c>
      <c r="H652" s="2" t="s">
        <v>798</v>
      </c>
      <c r="I652" s="3">
        <v>1.0</v>
      </c>
      <c r="J652" s="3"/>
      <c r="K652" s="5">
        <v>50.0</v>
      </c>
      <c r="L652" s="6" t="str">
        <f>IF(D652&lt;&gt;"",VLOOKUP(H652,TABLEITEM,2,FALSE),"")</f>
        <v>MAT GL</v>
      </c>
      <c r="M652" s="6" t="str">
        <f>IF(D652&lt;&gt;"",VLOOKUP(H652,TABLEITEM,3,FALSE),"")</f>
        <v>กระจก208x508T3.0</v>
      </c>
      <c r="N652" s="7">
        <f>INSTOCK!$I652*INSTOCK!$K652</f>
        <v>50</v>
      </c>
      <c r="O652" s="2"/>
      <c r="P652" s="2"/>
    </row>
    <row r="653" ht="18.0" hidden="1" customHeight="1">
      <c r="A653" s="1"/>
      <c r="B653" s="3">
        <v>652.0</v>
      </c>
      <c r="C653" s="4">
        <v>43215.0</v>
      </c>
      <c r="D653" s="2" t="s">
        <v>799</v>
      </c>
      <c r="E653" s="2">
        <v>6.103000397E9</v>
      </c>
      <c r="F653" s="3"/>
      <c r="G653" s="2" t="s">
        <v>733</v>
      </c>
      <c r="H653" s="2" t="s">
        <v>798</v>
      </c>
      <c r="I653" s="3">
        <v>1.0</v>
      </c>
      <c r="J653" s="3"/>
      <c r="K653" s="5">
        <v>50.0</v>
      </c>
      <c r="L653" s="6" t="str">
        <f>IF(D653&lt;&gt;"",VLOOKUP(H653,TABLEITEM,2,FALSE),"")</f>
        <v>MAT GL</v>
      </c>
      <c r="M653" s="6" t="str">
        <f>IF(D653&lt;&gt;"",VLOOKUP(H653,TABLEITEM,3,FALSE),"")</f>
        <v>กระจก208x508T3.0</v>
      </c>
      <c r="N653" s="7">
        <f>INSTOCK!$I653*INSTOCK!$K653</f>
        <v>50</v>
      </c>
      <c r="O653" s="2"/>
      <c r="P653" s="2"/>
    </row>
    <row r="654" ht="18.0" hidden="1" customHeight="1">
      <c r="A654" s="1"/>
      <c r="B654" s="3">
        <v>653.0</v>
      </c>
      <c r="C654" s="4">
        <v>43277.0</v>
      </c>
      <c r="D654" s="2" t="s">
        <v>743</v>
      </c>
      <c r="E654" s="2">
        <v>6.105000626E9</v>
      </c>
      <c r="F654" s="3"/>
      <c r="G654" s="2" t="s">
        <v>733</v>
      </c>
      <c r="H654" s="2" t="s">
        <v>800</v>
      </c>
      <c r="I654" s="3">
        <v>1.0</v>
      </c>
      <c r="J654" s="3"/>
      <c r="K654" s="5">
        <v>65.0</v>
      </c>
      <c r="L654" s="6" t="str">
        <f>IF(D654&lt;&gt;"",VLOOKUP(H654,TABLEITEM,2,FALSE),"")</f>
        <v>MAT GL</v>
      </c>
      <c r="M654" s="6" t="str">
        <f>IF(D654&lt;&gt;"",VLOOKUP(H654,TABLEITEM,3,FALSE),"")</f>
        <v>กระจก208X628T30</v>
      </c>
      <c r="N654" s="7">
        <f>INSTOCK!$I654*INSTOCK!$K654</f>
        <v>65</v>
      </c>
      <c r="O654" s="2"/>
      <c r="P654" s="2"/>
    </row>
    <row r="655" ht="18.0" hidden="1" customHeight="1">
      <c r="A655" s="1"/>
      <c r="B655" s="3">
        <v>654.0</v>
      </c>
      <c r="C655" s="4">
        <v>43157.0</v>
      </c>
      <c r="D655" s="2" t="s">
        <v>740</v>
      </c>
      <c r="E655" s="2">
        <v>6.102000268E9</v>
      </c>
      <c r="F655" s="3"/>
      <c r="G655" s="2" t="s">
        <v>733</v>
      </c>
      <c r="H655" s="2" t="s">
        <v>800</v>
      </c>
      <c r="I655" s="3">
        <v>1.0</v>
      </c>
      <c r="J655" s="3"/>
      <c r="K655" s="5">
        <v>65.0</v>
      </c>
      <c r="L655" s="6" t="str">
        <f>IF(D655&lt;&gt;"",VLOOKUP(H655,TABLEITEM,2,FALSE),"")</f>
        <v>MAT GL</v>
      </c>
      <c r="M655" s="6" t="str">
        <f>IF(D655&lt;&gt;"",VLOOKUP(H655,TABLEITEM,3,FALSE),"")</f>
        <v>กระจก208X628T30</v>
      </c>
      <c r="N655" s="7">
        <f>INSTOCK!$I655*INSTOCK!$K655</f>
        <v>65</v>
      </c>
      <c r="O655" s="2"/>
      <c r="P655" s="2"/>
    </row>
    <row r="656" ht="18.0" hidden="1" customHeight="1">
      <c r="A656" s="1"/>
      <c r="B656" s="3">
        <v>655.0</v>
      </c>
      <c r="C656" s="4">
        <v>43155.0</v>
      </c>
      <c r="D656" s="2" t="s">
        <v>792</v>
      </c>
      <c r="E656" s="2">
        <v>6.101000048E9</v>
      </c>
      <c r="F656" s="3"/>
      <c r="G656" s="2" t="s">
        <v>733</v>
      </c>
      <c r="H656" s="2" t="s">
        <v>801</v>
      </c>
      <c r="I656" s="3">
        <v>1.0</v>
      </c>
      <c r="J656" s="3"/>
      <c r="K656" s="5">
        <v>25.0</v>
      </c>
      <c r="L656" s="6" t="str">
        <f>IF(D656&lt;&gt;"",VLOOKUP(H656,TABLEITEM,2,FALSE),"")</f>
        <v>MAT GL</v>
      </c>
      <c r="M656" s="6" t="str">
        <f>IF(D656&lt;&gt;"",VLOOKUP(H656,TABLEITEM,3,FALSE),"")</f>
        <v>กระจก223X293T3.0</v>
      </c>
      <c r="N656" s="7">
        <f>INSTOCK!$I656*INSTOCK!$K656</f>
        <v>25</v>
      </c>
      <c r="O656" s="2"/>
      <c r="P656" s="2"/>
    </row>
    <row r="657" ht="18.0" hidden="1" customHeight="1">
      <c r="A657" s="1"/>
      <c r="B657" s="3">
        <v>656.0</v>
      </c>
      <c r="C657" s="4">
        <v>43276.0</v>
      </c>
      <c r="D657" s="2" t="s">
        <v>765</v>
      </c>
      <c r="E657" s="2">
        <v>6.105000562E9</v>
      </c>
      <c r="F657" s="3"/>
      <c r="G657" s="2" t="s">
        <v>733</v>
      </c>
      <c r="H657" s="2" t="s">
        <v>802</v>
      </c>
      <c r="I657" s="3">
        <v>1.0</v>
      </c>
      <c r="J657" s="3"/>
      <c r="K657" s="5">
        <v>100.0</v>
      </c>
      <c r="L657" s="6" t="str">
        <f>IF(D657&lt;&gt;"",VLOOKUP(H657,TABLEITEM,2,FALSE),"")</f>
        <v>MAT GL</v>
      </c>
      <c r="M657" s="6" t="str">
        <f>IF(D657&lt;&gt;"",VLOOKUP(H657,TABLEITEM,3,FALSE),"")</f>
        <v>กระจก228x1158T3.0</v>
      </c>
      <c r="N657" s="7">
        <f>INSTOCK!$I657*INSTOCK!$K657</f>
        <v>100</v>
      </c>
      <c r="O657" s="2"/>
      <c r="P657" s="2"/>
    </row>
    <row r="658" ht="18.0" hidden="1" customHeight="1">
      <c r="A658" s="1"/>
      <c r="B658" s="3">
        <v>657.0</v>
      </c>
      <c r="C658" s="4">
        <v>43155.0</v>
      </c>
      <c r="D658" s="2" t="s">
        <v>803</v>
      </c>
      <c r="E658" s="2">
        <v>6.101000045E9</v>
      </c>
      <c r="F658" s="3"/>
      <c r="G658" s="2" t="s">
        <v>733</v>
      </c>
      <c r="H658" s="2" t="s">
        <v>804</v>
      </c>
      <c r="I658" s="3">
        <v>1.0</v>
      </c>
      <c r="J658" s="3"/>
      <c r="K658" s="5">
        <v>50.0</v>
      </c>
      <c r="L658" s="6" t="str">
        <f>IF(D658&lt;&gt;"",VLOOKUP(H658,TABLEITEM,2,FALSE),"")</f>
        <v>MAT GL</v>
      </c>
      <c r="M658" s="6" t="str">
        <f>IF(D658&lt;&gt;"",VLOOKUP(H658,TABLEITEM,3,FALSE),"")</f>
        <v>กระจก228X468T3.0</v>
      </c>
      <c r="N658" s="7">
        <f>INSTOCK!$I658*INSTOCK!$K658</f>
        <v>50</v>
      </c>
      <c r="O658" s="2"/>
      <c r="P658" s="2"/>
    </row>
    <row r="659" ht="18.0" hidden="1" customHeight="1">
      <c r="A659" s="1"/>
      <c r="B659" s="3">
        <v>658.0</v>
      </c>
      <c r="C659" s="4">
        <v>43155.0</v>
      </c>
      <c r="D659" s="2" t="s">
        <v>792</v>
      </c>
      <c r="E659" s="2">
        <v>6.10100009E9</v>
      </c>
      <c r="F659" s="3"/>
      <c r="G659" s="2" t="s">
        <v>733</v>
      </c>
      <c r="H659" s="2" t="s">
        <v>804</v>
      </c>
      <c r="I659" s="3">
        <v>1.0</v>
      </c>
      <c r="J659" s="3"/>
      <c r="K659" s="5">
        <v>50.0</v>
      </c>
      <c r="L659" s="6" t="str">
        <f>IF(D659&lt;&gt;"",VLOOKUP(H659,TABLEITEM,2,FALSE),"")</f>
        <v>MAT GL</v>
      </c>
      <c r="M659" s="6" t="str">
        <f>IF(D659&lt;&gt;"",VLOOKUP(H659,TABLEITEM,3,FALSE),"")</f>
        <v>กระจก228X468T3.0</v>
      </c>
      <c r="N659" s="7">
        <f>INSTOCK!$I659*INSTOCK!$K659</f>
        <v>50</v>
      </c>
      <c r="O659" s="2"/>
      <c r="P659" s="2"/>
    </row>
    <row r="660" ht="18.0" hidden="1" customHeight="1">
      <c r="A660" s="1"/>
      <c r="B660" s="3">
        <v>659.0</v>
      </c>
      <c r="C660" s="4">
        <v>43276.0</v>
      </c>
      <c r="D660" s="2" t="s">
        <v>735</v>
      </c>
      <c r="E660" s="2">
        <v>6.105000696E9</v>
      </c>
      <c r="F660" s="3"/>
      <c r="G660" s="2" t="s">
        <v>733</v>
      </c>
      <c r="H660" s="2" t="s">
        <v>805</v>
      </c>
      <c r="I660" s="3">
        <v>1.0</v>
      </c>
      <c r="J660" s="3"/>
      <c r="K660" s="5">
        <v>50.0</v>
      </c>
      <c r="L660" s="6" t="str">
        <f>IF(D660&lt;&gt;"",VLOOKUP(H660,TABLEITEM,2,FALSE),"")</f>
        <v>MAT GL</v>
      </c>
      <c r="M660" s="6" t="str">
        <f>IF(D660&lt;&gt;"",VLOOKUP(H660,TABLEITEM,3,FALSE),"")</f>
        <v>กระจก252X497T3.0</v>
      </c>
      <c r="N660" s="7">
        <f>INSTOCK!$I660*INSTOCK!$K660</f>
        <v>50</v>
      </c>
      <c r="O660" s="2"/>
      <c r="P660" s="2"/>
    </row>
    <row r="661" ht="18.0" hidden="1" customHeight="1">
      <c r="A661" s="1"/>
      <c r="B661" s="3">
        <v>660.0</v>
      </c>
      <c r="C661" s="4">
        <v>43276.0</v>
      </c>
      <c r="D661" s="2" t="s">
        <v>765</v>
      </c>
      <c r="E661" s="2">
        <v>6.105000562E9</v>
      </c>
      <c r="F661" s="3"/>
      <c r="G661" s="2" t="s">
        <v>733</v>
      </c>
      <c r="H661" s="2" t="s">
        <v>806</v>
      </c>
      <c r="I661" s="3">
        <v>1.0</v>
      </c>
      <c r="J661" s="3"/>
      <c r="K661" s="5">
        <v>30.0</v>
      </c>
      <c r="L661" s="6" t="str">
        <f>IF(D661&lt;&gt;"",VLOOKUP(H661,TABLEITEM,2,FALSE),"")</f>
        <v>MAT GL</v>
      </c>
      <c r="M661" s="6" t="str">
        <f>IF(D661&lt;&gt;"",VLOOKUP(H661,TABLEITEM,3,FALSE),"")</f>
        <v>กระจก258x303T3.0</v>
      </c>
      <c r="N661" s="7">
        <f>INSTOCK!$I661*INSTOCK!$K661</f>
        <v>30</v>
      </c>
      <c r="O661" s="2"/>
      <c r="P661" s="2"/>
    </row>
    <row r="662" ht="18.0" hidden="1" customHeight="1">
      <c r="A662" s="1"/>
      <c r="B662" s="3">
        <v>661.0</v>
      </c>
      <c r="C662" s="4">
        <v>43214.0</v>
      </c>
      <c r="D662" s="2" t="s">
        <v>807</v>
      </c>
      <c r="E662" s="2">
        <v>6.103000339E9</v>
      </c>
      <c r="F662" s="3"/>
      <c r="G662" s="2" t="s">
        <v>733</v>
      </c>
      <c r="H662" s="2" t="s">
        <v>806</v>
      </c>
      <c r="I662" s="3">
        <v>4.0</v>
      </c>
      <c r="J662" s="3"/>
      <c r="K662" s="5">
        <v>25.0</v>
      </c>
      <c r="L662" s="6" t="str">
        <f>IF(D662&lt;&gt;"",VLOOKUP(H662,TABLEITEM,2,FALSE),"")</f>
        <v>MAT GL</v>
      </c>
      <c r="M662" s="6" t="str">
        <f>IF(D662&lt;&gt;"",VLOOKUP(H662,TABLEITEM,3,FALSE),"")</f>
        <v>กระจก258x303T3.0</v>
      </c>
      <c r="N662" s="7">
        <f>INSTOCK!$I662*INSTOCK!$K662</f>
        <v>100</v>
      </c>
      <c r="O662" s="2"/>
      <c r="P662" s="2"/>
    </row>
    <row r="663" ht="18.0" hidden="1" customHeight="1">
      <c r="A663" s="1"/>
      <c r="B663" s="3">
        <v>662.0</v>
      </c>
      <c r="C663" s="4">
        <v>43157.0</v>
      </c>
      <c r="D663" s="2" t="s">
        <v>742</v>
      </c>
      <c r="E663" s="2">
        <v>6.102000153E9</v>
      </c>
      <c r="F663" s="3"/>
      <c r="G663" s="2" t="s">
        <v>733</v>
      </c>
      <c r="H663" s="2" t="s">
        <v>806</v>
      </c>
      <c r="I663" s="3">
        <v>3.0</v>
      </c>
      <c r="J663" s="3"/>
      <c r="K663" s="5">
        <v>25.0</v>
      </c>
      <c r="L663" s="6" t="str">
        <f>IF(D663&lt;&gt;"",VLOOKUP(H663,TABLEITEM,2,FALSE),"")</f>
        <v>MAT GL</v>
      </c>
      <c r="M663" s="6" t="str">
        <f>IF(D663&lt;&gt;"",VLOOKUP(H663,TABLEITEM,3,FALSE),"")</f>
        <v>กระจก258x303T3.0</v>
      </c>
      <c r="N663" s="7">
        <f>INSTOCK!$I663*INSTOCK!$K663</f>
        <v>75</v>
      </c>
      <c r="O663" s="2"/>
      <c r="P663" s="2"/>
    </row>
    <row r="664" ht="18.0" hidden="1" customHeight="1">
      <c r="A664" s="1"/>
      <c r="B664" s="3">
        <v>663.0</v>
      </c>
      <c r="C664" s="4">
        <v>43157.0</v>
      </c>
      <c r="D664" s="2" t="s">
        <v>742</v>
      </c>
      <c r="E664" s="2">
        <v>6.102000205E9</v>
      </c>
      <c r="F664" s="3"/>
      <c r="G664" s="2" t="s">
        <v>733</v>
      </c>
      <c r="H664" s="2" t="s">
        <v>808</v>
      </c>
      <c r="I664" s="3">
        <v>1.0</v>
      </c>
      <c r="J664" s="3"/>
      <c r="K664" s="5">
        <v>35.0</v>
      </c>
      <c r="L664" s="6" t="str">
        <f>IF(D664&lt;&gt;"",VLOOKUP(H664,TABLEITEM,2,FALSE),"")</f>
        <v>MAT GL</v>
      </c>
      <c r="M664" s="6" t="str">
        <f>IF(D664&lt;&gt;"",VLOOKUP(H664,TABLEITEM,3,FALSE),"")</f>
        <v>กระจก258X358T3.0</v>
      </c>
      <c r="N664" s="7">
        <f>INSTOCK!$I664*INSTOCK!$K664</f>
        <v>35</v>
      </c>
      <c r="O664" s="2"/>
      <c r="P664" s="2"/>
    </row>
    <row r="665" ht="18.0" hidden="1" customHeight="1">
      <c r="A665" s="1"/>
      <c r="B665" s="3">
        <v>664.0</v>
      </c>
      <c r="C665" s="4">
        <v>43276.0</v>
      </c>
      <c r="D665" s="2" t="s">
        <v>765</v>
      </c>
      <c r="E665" s="2">
        <v>6.105000574E9</v>
      </c>
      <c r="F665" s="3"/>
      <c r="G665" s="2" t="s">
        <v>733</v>
      </c>
      <c r="H665" s="2" t="s">
        <v>809</v>
      </c>
      <c r="I665" s="3">
        <v>10.0</v>
      </c>
      <c r="J665" s="3"/>
      <c r="K665" s="5">
        <v>40.0</v>
      </c>
      <c r="L665" s="6" t="str">
        <f>IF(D665&lt;&gt;"",VLOOKUP(H665,TABLEITEM,2,FALSE),"")</f>
        <v>MAT GL</v>
      </c>
      <c r="M665" s="6" t="str">
        <f>IF(D665&lt;&gt;"",VLOOKUP(H665,TABLEITEM,3,FALSE),"")</f>
        <v>กระจก258x408T3.0</v>
      </c>
      <c r="N665" s="7">
        <f>INSTOCK!$I665*INSTOCK!$K665</f>
        <v>400</v>
      </c>
      <c r="O665" s="2"/>
      <c r="P665" s="2"/>
    </row>
    <row r="666" ht="18.0" hidden="1" customHeight="1">
      <c r="A666" s="1"/>
      <c r="B666" s="3">
        <v>665.0</v>
      </c>
      <c r="C666" s="4">
        <v>43276.0</v>
      </c>
      <c r="D666" s="2" t="s">
        <v>736</v>
      </c>
      <c r="E666" s="2">
        <v>6.104000502E9</v>
      </c>
      <c r="F666" s="3"/>
      <c r="G666" s="2" t="s">
        <v>733</v>
      </c>
      <c r="H666" s="2" t="s">
        <v>809</v>
      </c>
      <c r="I666" s="3">
        <v>1.0</v>
      </c>
      <c r="J666" s="3"/>
      <c r="K666" s="5">
        <v>50.0</v>
      </c>
      <c r="L666" s="6" t="str">
        <f>IF(D666&lt;&gt;"",VLOOKUP(H666,TABLEITEM,2,FALSE),"")</f>
        <v>MAT GL</v>
      </c>
      <c r="M666" s="6" t="str">
        <f>IF(D666&lt;&gt;"",VLOOKUP(H666,TABLEITEM,3,FALSE),"")</f>
        <v>กระจก258x408T3.0</v>
      </c>
      <c r="N666" s="7">
        <f>INSTOCK!$I666*INSTOCK!$K666</f>
        <v>50</v>
      </c>
      <c r="O666" s="2"/>
      <c r="P666" s="2"/>
    </row>
    <row r="667" ht="18.0" hidden="1" customHeight="1">
      <c r="A667" s="1"/>
      <c r="B667" s="3">
        <v>666.0</v>
      </c>
      <c r="C667" s="4">
        <v>43277.0</v>
      </c>
      <c r="D667" s="2" t="s">
        <v>743</v>
      </c>
      <c r="E667" s="2">
        <v>6.105000626E9</v>
      </c>
      <c r="F667" s="3"/>
      <c r="G667" s="2" t="s">
        <v>733</v>
      </c>
      <c r="H667" s="2" t="s">
        <v>810</v>
      </c>
      <c r="I667" s="3">
        <v>1.0</v>
      </c>
      <c r="J667" s="3"/>
      <c r="K667" s="5">
        <v>50.0</v>
      </c>
      <c r="L667" s="6" t="str">
        <f>IF(D667&lt;&gt;"",VLOOKUP(H667,TABLEITEM,2,FALSE),"")</f>
        <v>MAT GL</v>
      </c>
      <c r="M667" s="6" t="str">
        <f>IF(D667&lt;&gt;"",VLOOKUP(H667,TABLEITEM,3,FALSE),"")</f>
        <v>กระจก258x558T3.0</v>
      </c>
      <c r="N667" s="7">
        <f>INSTOCK!$I667*INSTOCK!$K667</f>
        <v>50</v>
      </c>
      <c r="O667" s="2"/>
      <c r="P667" s="2"/>
    </row>
    <row r="668" ht="18.0" hidden="1" customHeight="1">
      <c r="A668" s="1"/>
      <c r="B668" s="3">
        <v>667.0</v>
      </c>
      <c r="C668" s="4">
        <v>43276.0</v>
      </c>
      <c r="D668" s="2" t="s">
        <v>765</v>
      </c>
      <c r="E668" s="2">
        <v>6.105000574E9</v>
      </c>
      <c r="F668" s="3"/>
      <c r="G668" s="2" t="s">
        <v>733</v>
      </c>
      <c r="H668" s="2" t="s">
        <v>811</v>
      </c>
      <c r="I668" s="3">
        <v>4.0</v>
      </c>
      <c r="J668" s="3"/>
      <c r="K668" s="5">
        <v>62.0</v>
      </c>
      <c r="L668" s="6" t="str">
        <f>IF(D668&lt;&gt;"",VLOOKUP(H668,TABLEITEM,2,FALSE),"")</f>
        <v>MAT GL</v>
      </c>
      <c r="M668" s="6" t="str">
        <f>IF(D668&lt;&gt;"",VLOOKUP(H668,TABLEITEM,3,FALSE),"")</f>
        <v>กระจก258X608T3.0</v>
      </c>
      <c r="N668" s="7">
        <f>INSTOCK!$I668*INSTOCK!$K668</f>
        <v>248</v>
      </c>
      <c r="O668" s="2"/>
      <c r="P668" s="2"/>
    </row>
    <row r="669" ht="18.0" hidden="1" customHeight="1">
      <c r="A669" s="1"/>
      <c r="B669" s="3">
        <v>668.0</v>
      </c>
      <c r="C669" s="4">
        <v>43277.0</v>
      </c>
      <c r="D669" s="2" t="s">
        <v>743</v>
      </c>
      <c r="E669" s="2">
        <v>6.105000626E9</v>
      </c>
      <c r="F669" s="3"/>
      <c r="G669" s="2" t="s">
        <v>733</v>
      </c>
      <c r="H669" s="2" t="s">
        <v>812</v>
      </c>
      <c r="I669" s="3">
        <v>1.0</v>
      </c>
      <c r="J669" s="3"/>
      <c r="K669" s="5">
        <v>65.0</v>
      </c>
      <c r="L669" s="6" t="str">
        <f>IF(D669&lt;&gt;"",VLOOKUP(H669,TABLEITEM,2,FALSE),"")</f>
        <v>MAT GL</v>
      </c>
      <c r="M669" s="6" t="str">
        <f>IF(D669&lt;&gt;"",VLOOKUP(H669,TABLEITEM,3,FALSE),"")</f>
        <v>กระจก258X608T3.0</v>
      </c>
      <c r="N669" s="7">
        <f>INSTOCK!$I669*INSTOCK!$K669</f>
        <v>65</v>
      </c>
      <c r="O669" s="2"/>
      <c r="P669" s="2"/>
    </row>
    <row r="670" ht="18.0" hidden="1" customHeight="1">
      <c r="A670" s="1"/>
      <c r="B670" s="3">
        <v>669.0</v>
      </c>
      <c r="C670" s="4">
        <v>43155.0</v>
      </c>
      <c r="D670" s="2" t="s">
        <v>803</v>
      </c>
      <c r="E670" s="2">
        <v>6.101000045E9</v>
      </c>
      <c r="F670" s="3"/>
      <c r="G670" s="2" t="s">
        <v>733</v>
      </c>
      <c r="H670" s="2" t="s">
        <v>811</v>
      </c>
      <c r="I670" s="3">
        <v>2.0</v>
      </c>
      <c r="J670" s="3"/>
      <c r="K670" s="5">
        <v>75.0</v>
      </c>
      <c r="L670" s="6" t="str">
        <f>IF(D670&lt;&gt;"",VLOOKUP(H670,TABLEITEM,2,FALSE),"")</f>
        <v>MAT GL</v>
      </c>
      <c r="M670" s="6" t="str">
        <f>IF(D670&lt;&gt;"",VLOOKUP(H670,TABLEITEM,3,FALSE),"")</f>
        <v>กระจก258X608T3.0</v>
      </c>
      <c r="N670" s="7">
        <f>INSTOCK!$I670*INSTOCK!$K670</f>
        <v>150</v>
      </c>
      <c r="O670" s="2"/>
      <c r="P670" s="2"/>
    </row>
    <row r="671" ht="18.0" hidden="1" customHeight="1">
      <c r="A671" s="1"/>
      <c r="B671" s="3">
        <v>670.0</v>
      </c>
      <c r="C671" s="4">
        <v>43276.0</v>
      </c>
      <c r="D671" s="2" t="s">
        <v>735</v>
      </c>
      <c r="E671" s="2">
        <v>6.105000696E9</v>
      </c>
      <c r="F671" s="3"/>
      <c r="G671" s="2" t="s">
        <v>733</v>
      </c>
      <c r="H671" s="2" t="s">
        <v>813</v>
      </c>
      <c r="I671" s="3">
        <v>1.0</v>
      </c>
      <c r="J671" s="3"/>
      <c r="K671" s="5">
        <v>40.0</v>
      </c>
      <c r="L671" s="6" t="str">
        <f>IF(D671&lt;&gt;"",VLOOKUP(H671,TABLEITEM,2,FALSE),"")</f>
        <v>MAT GL</v>
      </c>
      <c r="M671" s="6" t="str">
        <f>IF(D671&lt;&gt;"",VLOOKUP(H671,TABLEITEM,3,FALSE),"")</f>
        <v>กระจก262x412T3.0</v>
      </c>
      <c r="N671" s="7">
        <f>INSTOCK!$I671*INSTOCK!$K671</f>
        <v>40</v>
      </c>
      <c r="O671" s="2"/>
      <c r="P671" s="2"/>
    </row>
    <row r="672" ht="18.0" hidden="1" customHeight="1">
      <c r="A672" s="1"/>
      <c r="B672" s="3">
        <v>671.0</v>
      </c>
      <c r="C672" s="4">
        <v>43276.0</v>
      </c>
      <c r="D672" s="2" t="s">
        <v>735</v>
      </c>
      <c r="E672" s="2">
        <v>6.106000716E9</v>
      </c>
      <c r="F672" s="3"/>
      <c r="G672" s="2" t="s">
        <v>733</v>
      </c>
      <c r="H672" s="2" t="s">
        <v>813</v>
      </c>
      <c r="I672" s="3">
        <v>1.0</v>
      </c>
      <c r="J672" s="3"/>
      <c r="K672" s="5">
        <v>40.0</v>
      </c>
      <c r="L672" s="6" t="str">
        <f>IF(D672&lt;&gt;"",VLOOKUP(H672,TABLEITEM,2,FALSE),"")</f>
        <v>MAT GL</v>
      </c>
      <c r="M672" s="6" t="str">
        <f>IF(D672&lt;&gt;"",VLOOKUP(H672,TABLEITEM,3,FALSE),"")</f>
        <v>กระจก262x412T3.0</v>
      </c>
      <c r="N672" s="7">
        <f>INSTOCK!$I672*INSTOCK!$K672</f>
        <v>40</v>
      </c>
      <c r="O672" s="2"/>
      <c r="P672" s="2"/>
    </row>
    <row r="673" ht="18.0" hidden="1" customHeight="1">
      <c r="A673" s="1"/>
      <c r="B673" s="3">
        <v>672.0</v>
      </c>
      <c r="C673" s="4">
        <v>43155.0</v>
      </c>
      <c r="D673" s="2" t="s">
        <v>792</v>
      </c>
      <c r="E673" s="2">
        <v>6.101000048E9</v>
      </c>
      <c r="F673" s="3"/>
      <c r="G673" s="2" t="s">
        <v>733</v>
      </c>
      <c r="H673" s="2" t="s">
        <v>814</v>
      </c>
      <c r="I673" s="3">
        <v>1.0</v>
      </c>
      <c r="J673" s="3"/>
      <c r="K673" s="5">
        <v>40.0</v>
      </c>
      <c r="L673" s="6" t="str">
        <f>IF(D673&lt;&gt;"",VLOOKUP(H673,TABLEITEM,2,FALSE),"")</f>
        <v>MAT GL</v>
      </c>
      <c r="M673" s="6" t="str">
        <f>IF(D673&lt;&gt;"",VLOOKUP(H673,TABLEITEM,3,FALSE),"")</f>
        <v>กระจก273X443T3.0</v>
      </c>
      <c r="N673" s="7">
        <f>INSTOCK!$I673*INSTOCK!$K673</f>
        <v>40</v>
      </c>
      <c r="O673" s="2"/>
      <c r="P673" s="2"/>
    </row>
    <row r="674" ht="18.0" hidden="1" customHeight="1">
      <c r="A674" s="1"/>
      <c r="B674" s="3">
        <v>673.0</v>
      </c>
      <c r="C674" s="4">
        <v>43276.0</v>
      </c>
      <c r="D674" s="2" t="s">
        <v>784</v>
      </c>
      <c r="E674" s="2">
        <v>6.106000776E9</v>
      </c>
      <c r="F674" s="3"/>
      <c r="G674" s="2" t="s">
        <v>733</v>
      </c>
      <c r="H674" s="2" t="s">
        <v>815</v>
      </c>
      <c r="I674" s="3">
        <v>1.0</v>
      </c>
      <c r="J674" s="3"/>
      <c r="K674" s="5">
        <v>35.0</v>
      </c>
      <c r="L674" s="6" t="str">
        <f>IF(D674&lt;&gt;"",VLOOKUP(H674,TABLEITEM,2,FALSE),"")</f>
        <v>MAT GL</v>
      </c>
      <c r="M674" s="6" t="str">
        <f>IF(D674&lt;&gt;"",VLOOKUP(H674,TABLEITEM,3,FALSE),"")</f>
        <v>กระจก283x388T3.0</v>
      </c>
      <c r="N674" s="7">
        <f>INSTOCK!$I674*INSTOCK!$K674</f>
        <v>35</v>
      </c>
      <c r="O674" s="2"/>
      <c r="P674" s="2"/>
    </row>
    <row r="675" ht="18.0" hidden="1" customHeight="1">
      <c r="A675" s="1"/>
      <c r="B675" s="3">
        <v>674.0</v>
      </c>
      <c r="C675" s="4">
        <v>43158.0</v>
      </c>
      <c r="D675" s="2" t="s">
        <v>796</v>
      </c>
      <c r="E675" s="2">
        <v>6.102000268E9</v>
      </c>
      <c r="F675" s="3"/>
      <c r="G675" s="2" t="s">
        <v>733</v>
      </c>
      <c r="H675" s="2" t="s">
        <v>816</v>
      </c>
      <c r="I675" s="3">
        <v>1.0</v>
      </c>
      <c r="J675" s="3"/>
      <c r="K675" s="5">
        <v>50.0</v>
      </c>
      <c r="L675" s="6" t="str">
        <f>IF(D675&lt;&gt;"",VLOOKUP(H675,TABLEITEM,2,FALSE),"")</f>
        <v>MAT GL</v>
      </c>
      <c r="M675" s="6" t="str">
        <f>IF(D675&lt;&gt;"",VLOOKUP(H675,TABLEITEM,3,FALSE),"")</f>
        <v>กระจก283x478T3.0</v>
      </c>
      <c r="N675" s="7">
        <f>INSTOCK!$I675*INSTOCK!$K675</f>
        <v>50</v>
      </c>
      <c r="O675" s="2"/>
      <c r="P675" s="2"/>
    </row>
    <row r="676" ht="18.0" hidden="1" customHeight="1">
      <c r="A676" s="1"/>
      <c r="B676" s="3">
        <v>675.0</v>
      </c>
      <c r="C676" s="4">
        <v>43276.0</v>
      </c>
      <c r="D676" s="2" t="s">
        <v>817</v>
      </c>
      <c r="E676" s="2">
        <v>6.106000757E9</v>
      </c>
      <c r="F676" s="3"/>
      <c r="G676" s="2" t="s">
        <v>733</v>
      </c>
      <c r="H676" s="2" t="s">
        <v>818</v>
      </c>
      <c r="I676" s="3">
        <v>3.0</v>
      </c>
      <c r="J676" s="3"/>
      <c r="K676" s="5">
        <v>50.0</v>
      </c>
      <c r="L676" s="6" t="str">
        <f>IF(D676&lt;&gt;"",VLOOKUP(H676,TABLEITEM,2,FALSE),"")</f>
        <v>MAT GL</v>
      </c>
      <c r="M676" s="6" t="str">
        <f>IF(D676&lt;&gt;"",VLOOKUP(H676,TABLEITEM,3,FALSE),"")</f>
        <v>กระจก288x498T3.0</v>
      </c>
      <c r="N676" s="7">
        <f>INSTOCK!$I676*INSTOCK!$K676</f>
        <v>150</v>
      </c>
      <c r="O676" s="2"/>
      <c r="P676" s="2"/>
    </row>
    <row r="677" ht="18.0" hidden="1" customHeight="1">
      <c r="A677" s="1"/>
      <c r="B677" s="3">
        <v>676.0</v>
      </c>
      <c r="C677" s="4">
        <v>43277.0</v>
      </c>
      <c r="D677" s="2" t="s">
        <v>743</v>
      </c>
      <c r="E677" s="2">
        <v>6.105000626E9</v>
      </c>
      <c r="F677" s="3"/>
      <c r="G677" s="2" t="s">
        <v>733</v>
      </c>
      <c r="H677" s="2" t="s">
        <v>819</v>
      </c>
      <c r="I677" s="3">
        <v>1.0</v>
      </c>
      <c r="J677" s="3"/>
      <c r="K677" s="5">
        <v>45.0</v>
      </c>
      <c r="L677" s="6" t="str">
        <f>IF(D677&lt;&gt;"",VLOOKUP(H677,TABLEITEM,2,FALSE),"")</f>
        <v>MAT GL</v>
      </c>
      <c r="M677" s="6" t="str">
        <f>IF(D677&lt;&gt;"",VLOOKUP(H677,TABLEITEM,3,FALSE),"")</f>
        <v>กระจก308x308T3.0</v>
      </c>
      <c r="N677" s="7">
        <f>INSTOCK!$I677*INSTOCK!$K677</f>
        <v>45</v>
      </c>
      <c r="O677" s="2"/>
      <c r="P677" s="2"/>
    </row>
    <row r="678" ht="18.0" hidden="1" customHeight="1">
      <c r="A678" s="1"/>
      <c r="B678" s="3">
        <v>677.0</v>
      </c>
      <c r="C678" s="4">
        <v>43157.0</v>
      </c>
      <c r="D678" s="2" t="s">
        <v>740</v>
      </c>
      <c r="E678" s="2">
        <v>6.102000268E9</v>
      </c>
      <c r="F678" s="3"/>
      <c r="G678" s="2" t="s">
        <v>733</v>
      </c>
      <c r="H678" s="2" t="s">
        <v>819</v>
      </c>
      <c r="I678" s="3">
        <v>1.0</v>
      </c>
      <c r="J678" s="3"/>
      <c r="K678" s="5">
        <v>50.0</v>
      </c>
      <c r="L678" s="6" t="str">
        <f>IF(D678&lt;&gt;"",VLOOKUP(H678,TABLEITEM,2,FALSE),"")</f>
        <v>MAT GL</v>
      </c>
      <c r="M678" s="6" t="str">
        <f>IF(D678&lt;&gt;"",VLOOKUP(H678,TABLEITEM,3,FALSE),"")</f>
        <v>กระจก308x308T3.0</v>
      </c>
      <c r="N678" s="7">
        <f>INSTOCK!$I678*INSTOCK!$K678</f>
        <v>50</v>
      </c>
      <c r="O678" s="2"/>
      <c r="P678" s="2"/>
    </row>
    <row r="679" ht="18.0" hidden="1" customHeight="1">
      <c r="A679" s="1"/>
      <c r="B679" s="3">
        <v>678.0</v>
      </c>
      <c r="C679" s="4">
        <v>43214.0</v>
      </c>
      <c r="D679" s="2" t="s">
        <v>807</v>
      </c>
      <c r="E679" s="2">
        <v>6.103000339E9</v>
      </c>
      <c r="F679" s="3"/>
      <c r="G679" s="2" t="s">
        <v>733</v>
      </c>
      <c r="H679" s="2" t="s">
        <v>820</v>
      </c>
      <c r="I679" s="3">
        <v>1.0</v>
      </c>
      <c r="J679" s="3"/>
      <c r="K679" s="5">
        <v>75.0</v>
      </c>
      <c r="L679" s="6" t="str">
        <f>IF(D679&lt;&gt;"",VLOOKUP(H679,TABLEITEM,2,FALSE),"")</f>
        <v>MAT GL</v>
      </c>
      <c r="M679" s="6" t="str">
        <f>IF(D679&lt;&gt;"",VLOOKUP(H679,TABLEITEM,3,FALSE),"")</f>
        <v>กระจก308x508T3.0</v>
      </c>
      <c r="N679" s="7">
        <f>INSTOCK!$I679*INSTOCK!$K679</f>
        <v>75</v>
      </c>
      <c r="O679" s="2"/>
      <c r="P679" s="2"/>
    </row>
    <row r="680" ht="18.0" hidden="1" customHeight="1">
      <c r="A680" s="1"/>
      <c r="B680" s="3">
        <v>679.0</v>
      </c>
      <c r="C680" s="4">
        <v>43158.0</v>
      </c>
      <c r="D680" s="2" t="s">
        <v>796</v>
      </c>
      <c r="E680" s="2">
        <v>6.102000205E9</v>
      </c>
      <c r="F680" s="3"/>
      <c r="G680" s="2" t="s">
        <v>733</v>
      </c>
      <c r="H680" s="2" t="s">
        <v>820</v>
      </c>
      <c r="I680" s="3">
        <v>1.0</v>
      </c>
      <c r="J680" s="3"/>
      <c r="K680" s="5">
        <v>75.0</v>
      </c>
      <c r="L680" s="6" t="str">
        <f>IF(D680&lt;&gt;"",VLOOKUP(H680,TABLEITEM,2,FALSE),"")</f>
        <v>MAT GL</v>
      </c>
      <c r="M680" s="6" t="str">
        <f>IF(D680&lt;&gt;"",VLOOKUP(H680,TABLEITEM,3,FALSE),"")</f>
        <v>กระจก308x508T3.0</v>
      </c>
      <c r="N680" s="7">
        <f>INSTOCK!$I680*INSTOCK!$K680</f>
        <v>75</v>
      </c>
      <c r="O680" s="2"/>
      <c r="P680" s="2"/>
    </row>
    <row r="681" ht="18.0" hidden="1" customHeight="1">
      <c r="A681" s="1"/>
      <c r="B681" s="3">
        <v>680.0</v>
      </c>
      <c r="C681" s="4">
        <v>43155.0</v>
      </c>
      <c r="D681" s="2" t="s">
        <v>803</v>
      </c>
      <c r="E681" s="2">
        <v>6.101000084E9</v>
      </c>
      <c r="F681" s="3"/>
      <c r="G681" s="2" t="s">
        <v>733</v>
      </c>
      <c r="H681" s="2" t="s">
        <v>821</v>
      </c>
      <c r="I681" s="3">
        <v>1.0</v>
      </c>
      <c r="J681" s="3"/>
      <c r="K681" s="5">
        <v>85.0</v>
      </c>
      <c r="L681" s="6" t="str">
        <f>IF(D681&lt;&gt;"",VLOOKUP(H681,TABLEITEM,2,FALSE),"")</f>
        <v>MAT GL</v>
      </c>
      <c r="M681" s="6" t="str">
        <f>IF(D681&lt;&gt;"",VLOOKUP(H681,TABLEITEM,3,FALSE),"")</f>
        <v>กระจก308X608T3.0</v>
      </c>
      <c r="N681" s="7">
        <f>INSTOCK!$I681*INSTOCK!$K681</f>
        <v>85</v>
      </c>
      <c r="O681" s="2"/>
      <c r="P681" s="2"/>
    </row>
    <row r="682" ht="18.0" hidden="1" customHeight="1">
      <c r="A682" s="1"/>
      <c r="B682" s="3">
        <v>681.0</v>
      </c>
      <c r="C682" s="4">
        <v>43339.0</v>
      </c>
      <c r="D682" s="2" t="s">
        <v>747</v>
      </c>
      <c r="E682" s="2">
        <v>6.1060008E9</v>
      </c>
      <c r="F682" s="3"/>
      <c r="G682" s="2" t="s">
        <v>733</v>
      </c>
      <c r="H682" s="2" t="s">
        <v>822</v>
      </c>
      <c r="I682" s="3">
        <v>1.0</v>
      </c>
      <c r="J682" s="3"/>
      <c r="K682" s="5">
        <v>75.0</v>
      </c>
      <c r="L682" s="6" t="str">
        <f>IF(D682&lt;&gt;"",VLOOKUP(H682,TABLEITEM,2,FALSE),"")</f>
        <v>MAT GL</v>
      </c>
      <c r="M682" s="6" t="str">
        <f>IF(D682&lt;&gt;"",VLOOKUP(H682,TABLEITEM,3,FALSE),"")</f>
        <v>กระจก323X458T3.0</v>
      </c>
      <c r="N682" s="7">
        <f>INSTOCK!$I682*INSTOCK!$K682</f>
        <v>75</v>
      </c>
      <c r="O682" s="2"/>
      <c r="P682" s="2"/>
    </row>
    <row r="683" ht="18.0" hidden="1" customHeight="1">
      <c r="A683" s="1"/>
      <c r="B683" s="3">
        <v>682.0</v>
      </c>
      <c r="C683" s="4">
        <v>43276.0</v>
      </c>
      <c r="D683" s="2" t="s">
        <v>817</v>
      </c>
      <c r="E683" s="2">
        <v>6.106000728E9</v>
      </c>
      <c r="F683" s="3"/>
      <c r="G683" s="2" t="s">
        <v>733</v>
      </c>
      <c r="H683" s="2" t="s">
        <v>822</v>
      </c>
      <c r="I683" s="3">
        <v>8.0</v>
      </c>
      <c r="J683" s="3"/>
      <c r="K683" s="5">
        <v>70.0</v>
      </c>
      <c r="L683" s="6" t="str">
        <f>IF(D683&lt;&gt;"",VLOOKUP(H683,TABLEITEM,2,FALSE),"")</f>
        <v>MAT GL</v>
      </c>
      <c r="M683" s="6" t="str">
        <f>IF(D683&lt;&gt;"",VLOOKUP(H683,TABLEITEM,3,FALSE),"")</f>
        <v>กระจก323X458T3.0</v>
      </c>
      <c r="N683" s="7">
        <f>INSTOCK!$I683*INSTOCK!$K683</f>
        <v>560</v>
      </c>
      <c r="O683" s="2"/>
      <c r="P683" s="2"/>
    </row>
    <row r="684" ht="18.0" hidden="1" customHeight="1">
      <c r="A684" s="1"/>
      <c r="B684" s="3">
        <v>683.0</v>
      </c>
      <c r="C684" s="4">
        <v>43214.0</v>
      </c>
      <c r="D684" s="2" t="s">
        <v>823</v>
      </c>
      <c r="E684" s="2">
        <v>6.103000347E9</v>
      </c>
      <c r="F684" s="3"/>
      <c r="G684" s="2" t="s">
        <v>733</v>
      </c>
      <c r="H684" s="2" t="s">
        <v>822</v>
      </c>
      <c r="I684" s="3">
        <v>1.0</v>
      </c>
      <c r="J684" s="3"/>
      <c r="K684" s="5">
        <v>75.0</v>
      </c>
      <c r="L684" s="6" t="str">
        <f>IF(D684&lt;&gt;"",VLOOKUP(H684,TABLEITEM,2,FALSE),"")</f>
        <v>MAT GL</v>
      </c>
      <c r="M684" s="6" t="str">
        <f>IF(D684&lt;&gt;"",VLOOKUP(H684,TABLEITEM,3,FALSE),"")</f>
        <v>กระจก323X458T3.0</v>
      </c>
      <c r="N684" s="7">
        <f>INSTOCK!$I684*INSTOCK!$K684</f>
        <v>75</v>
      </c>
      <c r="O684" s="2"/>
      <c r="P684" s="2"/>
    </row>
    <row r="685" ht="18.0" hidden="1" customHeight="1">
      <c r="A685" s="1"/>
      <c r="B685" s="3">
        <v>684.0</v>
      </c>
      <c r="C685" s="4">
        <v>43276.0</v>
      </c>
      <c r="D685" s="2" t="s">
        <v>817</v>
      </c>
      <c r="E685" s="2">
        <v>6.106000728E9</v>
      </c>
      <c r="F685" s="3"/>
      <c r="G685" s="2" t="s">
        <v>733</v>
      </c>
      <c r="H685" s="2" t="s">
        <v>824</v>
      </c>
      <c r="I685" s="3">
        <v>2.0</v>
      </c>
      <c r="J685" s="3"/>
      <c r="K685" s="5">
        <v>75.0</v>
      </c>
      <c r="L685" s="6" t="str">
        <f>IF(D685&lt;&gt;"",VLOOKUP(H685,TABLEITEM,2,FALSE),"")</f>
        <v>MAT GL</v>
      </c>
      <c r="M685" s="6" t="str">
        <f>IF(D685&lt;&gt;"",VLOOKUP(H685,TABLEITEM,3,FALSE),"")</f>
        <v>กระจก323X558T3.0</v>
      </c>
      <c r="N685" s="7">
        <f>INSTOCK!$I685*INSTOCK!$K685</f>
        <v>150</v>
      </c>
      <c r="O685" s="2"/>
      <c r="P685" s="2"/>
    </row>
    <row r="686" ht="18.0" hidden="1" customHeight="1">
      <c r="A686" s="1"/>
      <c r="B686" s="3">
        <v>685.0</v>
      </c>
      <c r="C686" s="4">
        <v>43215.0</v>
      </c>
      <c r="D686" s="2" t="s">
        <v>767</v>
      </c>
      <c r="E686" s="2">
        <v>6.104000483E9</v>
      </c>
      <c r="F686" s="3"/>
      <c r="G686" s="2" t="s">
        <v>733</v>
      </c>
      <c r="H686" s="2" t="s">
        <v>825</v>
      </c>
      <c r="I686" s="3">
        <v>6.0</v>
      </c>
      <c r="J686" s="3"/>
      <c r="K686" s="5">
        <v>75.0</v>
      </c>
      <c r="L686" s="6" t="str">
        <f>IF(D686&lt;&gt;"",VLOOKUP(H686,TABLEITEM,2,FALSE),"")</f>
        <v>MAT GL</v>
      </c>
      <c r="M686" s="6" t="str">
        <f>IF(D686&lt;&gt;"",VLOOKUP(H686,TABLEITEM,3,FALSE),"")</f>
        <v>กระจก328x488T3.0</v>
      </c>
      <c r="N686" s="7">
        <f>INSTOCK!$I686*INSTOCK!$K686</f>
        <v>450</v>
      </c>
      <c r="O686" s="2"/>
      <c r="P686" s="2"/>
    </row>
    <row r="687" ht="18.0" hidden="1" customHeight="1">
      <c r="A687" s="1"/>
      <c r="B687" s="3">
        <v>686.0</v>
      </c>
      <c r="C687" s="4">
        <v>43157.0</v>
      </c>
      <c r="D687" s="2" t="s">
        <v>740</v>
      </c>
      <c r="E687" s="2">
        <v>6.102000205E9</v>
      </c>
      <c r="F687" s="3"/>
      <c r="G687" s="2" t="s">
        <v>733</v>
      </c>
      <c r="H687" s="2" t="s">
        <v>826</v>
      </c>
      <c r="I687" s="3">
        <v>2.0</v>
      </c>
      <c r="J687" s="3"/>
      <c r="K687" s="5">
        <v>70.0</v>
      </c>
      <c r="L687" s="6" t="str">
        <f>IF(D687&lt;&gt;"",VLOOKUP(H687,TABLEITEM,2,FALSE),"")</f>
        <v>MAT GL</v>
      </c>
      <c r="M687" s="6" t="str">
        <f>IF(D687&lt;&gt;"",VLOOKUP(H687,TABLEITEM,3,FALSE),"")</f>
        <v>กระจก328X508T3.0</v>
      </c>
      <c r="N687" s="7">
        <f>INSTOCK!$I687*INSTOCK!$K687</f>
        <v>140</v>
      </c>
      <c r="O687" s="2"/>
      <c r="P687" s="2"/>
    </row>
    <row r="688" ht="18.0" hidden="1" customHeight="1">
      <c r="A688" s="1"/>
      <c r="B688" s="3">
        <v>687.0</v>
      </c>
      <c r="C688" s="4">
        <v>43276.0</v>
      </c>
      <c r="D688" s="2" t="s">
        <v>736</v>
      </c>
      <c r="E688" s="2">
        <v>6.104000502E9</v>
      </c>
      <c r="F688" s="3"/>
      <c r="G688" s="2" t="s">
        <v>733</v>
      </c>
      <c r="H688" s="2" t="s">
        <v>827</v>
      </c>
      <c r="I688" s="3">
        <v>1.0</v>
      </c>
      <c r="J688" s="3"/>
      <c r="K688" s="5">
        <v>75.0</v>
      </c>
      <c r="L688" s="6" t="str">
        <f>IF(D688&lt;&gt;"",VLOOKUP(H688,TABLEITEM,2,FALSE),"")</f>
        <v>MAT GL</v>
      </c>
      <c r="M688" s="6" t="str">
        <f>IF(D688&lt;&gt;"",VLOOKUP(H688,TABLEITEM,3,FALSE),"")</f>
        <v>กระจก353x508T3.0</v>
      </c>
      <c r="N688" s="7">
        <f>INSTOCK!$I688*INSTOCK!$K688</f>
        <v>75</v>
      </c>
      <c r="O688" s="2"/>
      <c r="P688" s="2"/>
    </row>
    <row r="689" ht="18.0" hidden="1" customHeight="1">
      <c r="A689" s="1"/>
      <c r="B689" s="3">
        <v>688.0</v>
      </c>
      <c r="C689" s="4">
        <v>43276.0</v>
      </c>
      <c r="D689" s="2" t="s">
        <v>736</v>
      </c>
      <c r="E689" s="2">
        <v>6.105000547E9</v>
      </c>
      <c r="F689" s="3"/>
      <c r="G689" s="2" t="s">
        <v>733</v>
      </c>
      <c r="H689" s="2" t="s">
        <v>827</v>
      </c>
      <c r="I689" s="3">
        <v>1.0</v>
      </c>
      <c r="J689" s="3"/>
      <c r="K689" s="5">
        <v>65.0</v>
      </c>
      <c r="L689" s="6" t="str">
        <f>IF(D689&lt;&gt;"",VLOOKUP(H689,TABLEITEM,2,FALSE),"")</f>
        <v>MAT GL</v>
      </c>
      <c r="M689" s="6" t="str">
        <f>IF(D689&lt;&gt;"",VLOOKUP(H689,TABLEITEM,3,FALSE),"")</f>
        <v>กระจก353x508T3.0</v>
      </c>
      <c r="N689" s="7">
        <f>INSTOCK!$I689*INSTOCK!$K689</f>
        <v>65</v>
      </c>
      <c r="O689" s="2"/>
      <c r="P689" s="2"/>
    </row>
    <row r="690" ht="18.0" hidden="1" customHeight="1">
      <c r="A690" s="1"/>
      <c r="B690" s="3">
        <v>689.0</v>
      </c>
      <c r="C690" s="4">
        <v>43155.0</v>
      </c>
      <c r="D690" s="2" t="s">
        <v>803</v>
      </c>
      <c r="E690" s="2">
        <v>6.101000083E9</v>
      </c>
      <c r="F690" s="3"/>
      <c r="G690" s="2" t="s">
        <v>733</v>
      </c>
      <c r="H690" s="2" t="s">
        <v>828</v>
      </c>
      <c r="I690" s="3">
        <v>1.0</v>
      </c>
      <c r="J690" s="3"/>
      <c r="K690" s="5">
        <v>60.0</v>
      </c>
      <c r="L690" s="6" t="str">
        <f>IF(D690&lt;&gt;"",VLOOKUP(H690,TABLEITEM,2,FALSE),"")</f>
        <v>MAT GL</v>
      </c>
      <c r="M690" s="6" t="str">
        <f>IF(D690&lt;&gt;"",VLOOKUP(H690,TABLEITEM,3,FALSE),"")</f>
        <v>กระจก358X358T3.0</v>
      </c>
      <c r="N690" s="7">
        <f>INSTOCK!$I690*INSTOCK!$K690</f>
        <v>60</v>
      </c>
      <c r="O690" s="2"/>
      <c r="P690" s="2"/>
    </row>
    <row r="691" ht="18.0" hidden="1" customHeight="1">
      <c r="A691" s="1"/>
      <c r="B691" s="3">
        <v>690.0</v>
      </c>
      <c r="C691" s="4">
        <v>43214.0</v>
      </c>
      <c r="D691" s="2" t="s">
        <v>823</v>
      </c>
      <c r="E691" s="2">
        <v>6.103000347E9</v>
      </c>
      <c r="F691" s="3"/>
      <c r="G691" s="2" t="s">
        <v>733</v>
      </c>
      <c r="H691" s="2" t="s">
        <v>829</v>
      </c>
      <c r="I691" s="3">
        <v>1.0</v>
      </c>
      <c r="J691" s="3"/>
      <c r="K691" s="5">
        <v>70.0</v>
      </c>
      <c r="L691" s="6" t="str">
        <f>IF(D691&lt;&gt;"",VLOOKUP(H691,TABLEITEM,2,FALSE),"")</f>
        <v>MAT GL</v>
      </c>
      <c r="M691" s="6" t="str">
        <f>IF(D691&lt;&gt;"",VLOOKUP(H691,TABLEITEM,3,FALSE),"")</f>
        <v>กระจก358x508T3.0</v>
      </c>
      <c r="N691" s="7">
        <f>INSTOCK!$I691*INSTOCK!$K691</f>
        <v>70</v>
      </c>
      <c r="O691" s="2"/>
      <c r="P691" s="2"/>
    </row>
    <row r="692" ht="18.0" hidden="1" customHeight="1">
      <c r="A692" s="1"/>
      <c r="B692" s="3">
        <v>691.0</v>
      </c>
      <c r="C692" s="4">
        <v>43215.0</v>
      </c>
      <c r="D692" s="2" t="s">
        <v>799</v>
      </c>
      <c r="E692" s="2">
        <v>6.104000436E9</v>
      </c>
      <c r="F692" s="3"/>
      <c r="G692" s="2" t="s">
        <v>733</v>
      </c>
      <c r="H692" s="2" t="s">
        <v>830</v>
      </c>
      <c r="I692" s="3">
        <v>1.0</v>
      </c>
      <c r="J692" s="3"/>
      <c r="K692" s="5">
        <v>75.0</v>
      </c>
      <c r="L692" s="6" t="str">
        <f>IF(D692&lt;&gt;"",VLOOKUP(H692,TABLEITEM,2,FALSE),"")</f>
        <v>MAT GL</v>
      </c>
      <c r="M692" s="6" t="str">
        <f>IF(D692&lt;&gt;"",VLOOKUP(H692,TABLEITEM,3,FALSE),"")</f>
        <v>กระจก358x558T3.0</v>
      </c>
      <c r="N692" s="7">
        <f>INSTOCK!$I692*INSTOCK!$K692</f>
        <v>75</v>
      </c>
      <c r="O692" s="2"/>
      <c r="P692" s="2"/>
    </row>
    <row r="693" ht="18.0" hidden="1" customHeight="1">
      <c r="A693" s="1"/>
      <c r="B693" s="3">
        <v>692.0</v>
      </c>
      <c r="C693" s="4">
        <v>43157.0</v>
      </c>
      <c r="D693" s="2" t="s">
        <v>742</v>
      </c>
      <c r="E693" s="2">
        <v>6.102000205E9</v>
      </c>
      <c r="F693" s="3"/>
      <c r="G693" s="2" t="s">
        <v>733</v>
      </c>
      <c r="H693" s="2" t="s">
        <v>831</v>
      </c>
      <c r="I693" s="3">
        <v>1.0</v>
      </c>
      <c r="J693" s="3"/>
      <c r="K693" s="5">
        <v>85.0</v>
      </c>
      <c r="L693" s="6" t="str">
        <f>IF(D693&lt;&gt;"",VLOOKUP(H693,TABLEITEM,2,FALSE),"")</f>
        <v>MAT GL</v>
      </c>
      <c r="M693" s="6" t="str">
        <f>IF(D693&lt;&gt;"",VLOOKUP(H693,TABLEITEM,3,FALSE),"")</f>
        <v>กระจก358X658T3.0</v>
      </c>
      <c r="N693" s="7">
        <f>INSTOCK!$I693*INSTOCK!$K693</f>
        <v>85</v>
      </c>
      <c r="O693" s="2"/>
      <c r="P693" s="2"/>
    </row>
    <row r="694" ht="18.0" hidden="1" customHeight="1">
      <c r="A694" s="1"/>
      <c r="B694" s="3">
        <v>693.0</v>
      </c>
      <c r="C694" s="4">
        <v>43155.0</v>
      </c>
      <c r="D694" s="2" t="s">
        <v>803</v>
      </c>
      <c r="E694" s="2">
        <v>6.101000083E9</v>
      </c>
      <c r="F694" s="3"/>
      <c r="G694" s="2" t="s">
        <v>733</v>
      </c>
      <c r="H694" s="2" t="s">
        <v>832</v>
      </c>
      <c r="I694" s="3">
        <v>1.0</v>
      </c>
      <c r="J694" s="3"/>
      <c r="K694" s="5">
        <v>115.0</v>
      </c>
      <c r="L694" s="6" t="str">
        <f>IF(D694&lt;&gt;"",VLOOKUP(H694,TABLEITEM,2,FALSE),"")</f>
        <v>MAT GL</v>
      </c>
      <c r="M694" s="6" t="str">
        <f>IF(D694&lt;&gt;"",VLOOKUP(H694,TABLEITEM,3,FALSE),"")</f>
        <v>กระจก358X708T3.0</v>
      </c>
      <c r="N694" s="7">
        <f>INSTOCK!$I694*INSTOCK!$K694</f>
        <v>115</v>
      </c>
      <c r="O694" s="2"/>
      <c r="P694" s="2"/>
    </row>
    <row r="695" ht="18.0" hidden="1" customHeight="1">
      <c r="A695" s="1"/>
      <c r="B695" s="3">
        <v>694.0</v>
      </c>
      <c r="C695" s="4">
        <v>43157.0</v>
      </c>
      <c r="D695" s="2" t="s">
        <v>742</v>
      </c>
      <c r="E695" s="2">
        <v>6.102000153E9</v>
      </c>
      <c r="F695" s="3"/>
      <c r="G695" s="2" t="s">
        <v>733</v>
      </c>
      <c r="H695" s="2" t="s">
        <v>833</v>
      </c>
      <c r="I695" s="3">
        <v>1.0</v>
      </c>
      <c r="J695" s="3"/>
      <c r="K695" s="5">
        <v>115.0</v>
      </c>
      <c r="L695" s="6" t="str">
        <f>IF(D695&lt;&gt;"",VLOOKUP(H695,TABLEITEM,2,FALSE),"")</f>
        <v>MAT GL</v>
      </c>
      <c r="M695" s="6" t="str">
        <f>IF(D695&lt;&gt;"",VLOOKUP(H695,TABLEITEM,3,FALSE),"")</f>
        <v>กระจก358X828T3.0</v>
      </c>
      <c r="N695" s="7">
        <f>INSTOCK!$I695*INSTOCK!$K695</f>
        <v>115</v>
      </c>
      <c r="O695" s="2"/>
      <c r="P695" s="2"/>
    </row>
    <row r="696" ht="18.0" hidden="1" customHeight="1">
      <c r="A696" s="1"/>
      <c r="B696" s="3">
        <v>695.0</v>
      </c>
      <c r="C696" s="4">
        <v>43276.0</v>
      </c>
      <c r="D696" s="2" t="s">
        <v>784</v>
      </c>
      <c r="E696" s="2">
        <v>6.106000776E9</v>
      </c>
      <c r="F696" s="3"/>
      <c r="G696" s="2" t="s">
        <v>733</v>
      </c>
      <c r="H696" s="2" t="s">
        <v>834</v>
      </c>
      <c r="I696" s="3">
        <v>1.0</v>
      </c>
      <c r="J696" s="3"/>
      <c r="K696" s="5">
        <v>50.0</v>
      </c>
      <c r="L696" s="6" t="str">
        <f>IF(D696&lt;&gt;"",VLOOKUP(H696,TABLEITEM,2,FALSE),"")</f>
        <v>MAT GL</v>
      </c>
      <c r="M696" s="6" t="str">
        <f>IF(D696&lt;&gt;"",VLOOKUP(H696,TABLEITEM,3,FALSE),"")</f>
        <v>กระจก388x433T3.0</v>
      </c>
      <c r="N696" s="7">
        <f>INSTOCK!$I696*INSTOCK!$K696</f>
        <v>50</v>
      </c>
      <c r="O696" s="2"/>
      <c r="P696" s="2"/>
    </row>
    <row r="697" ht="18.0" hidden="1" customHeight="1">
      <c r="A697" s="1"/>
      <c r="B697" s="3">
        <v>696.0</v>
      </c>
      <c r="C697" s="4">
        <v>43157.0</v>
      </c>
      <c r="D697" s="2" t="s">
        <v>742</v>
      </c>
      <c r="E697" s="2">
        <v>6.102000205E9</v>
      </c>
      <c r="F697" s="3"/>
      <c r="G697" s="2" t="s">
        <v>733</v>
      </c>
      <c r="H697" s="2" t="s">
        <v>835</v>
      </c>
      <c r="I697" s="3">
        <v>1.0</v>
      </c>
      <c r="J697" s="3"/>
      <c r="K697" s="5">
        <v>95.0</v>
      </c>
      <c r="L697" s="6" t="str">
        <f>IF(D697&lt;&gt;"",VLOOKUP(H697,TABLEITEM,2,FALSE),"")</f>
        <v>MAT GL</v>
      </c>
      <c r="M697" s="6" t="str">
        <f>IF(D697&lt;&gt;"",VLOOKUP(H697,TABLEITEM,3,FALSE),"")</f>
        <v>กระจก388X668T3.0</v>
      </c>
      <c r="N697" s="7">
        <f>INSTOCK!$I697*INSTOCK!$K697</f>
        <v>95</v>
      </c>
      <c r="O697" s="2"/>
      <c r="P697" s="2"/>
    </row>
    <row r="698" ht="18.0" hidden="1" customHeight="1">
      <c r="A698" s="1"/>
      <c r="B698" s="3">
        <v>697.0</v>
      </c>
      <c r="C698" s="4">
        <v>43276.0</v>
      </c>
      <c r="D698" s="2" t="s">
        <v>765</v>
      </c>
      <c r="E698" s="2">
        <v>6.105000562E9</v>
      </c>
      <c r="F698" s="3"/>
      <c r="G698" s="2" t="s">
        <v>733</v>
      </c>
      <c r="H698" s="2" t="s">
        <v>836</v>
      </c>
      <c r="I698" s="3">
        <v>3.0</v>
      </c>
      <c r="J698" s="3"/>
      <c r="K698" s="5">
        <v>150.0</v>
      </c>
      <c r="L698" s="6" t="str">
        <f>IF(D698&lt;&gt;"",VLOOKUP(H698,TABLEITEM,2,FALSE),"")</f>
        <v>MAT GL</v>
      </c>
      <c r="M698" s="6" t="str">
        <f>IF(D698&lt;&gt;"",VLOOKUP(H698,TABLEITEM,3,FALSE),"")</f>
        <v>กระจก408x708T3.0</v>
      </c>
      <c r="N698" s="7">
        <f>INSTOCK!$I698*INSTOCK!$K698</f>
        <v>450</v>
      </c>
      <c r="O698" s="2"/>
      <c r="P698" s="2"/>
    </row>
    <row r="699" ht="18.0" hidden="1" customHeight="1">
      <c r="A699" s="1"/>
      <c r="B699" s="3">
        <v>698.0</v>
      </c>
      <c r="C699" s="4">
        <v>43215.0</v>
      </c>
      <c r="D699" s="2" t="s">
        <v>799</v>
      </c>
      <c r="E699" s="2">
        <v>6.104000436E9</v>
      </c>
      <c r="F699" s="3"/>
      <c r="G699" s="2" t="s">
        <v>733</v>
      </c>
      <c r="H699" s="2" t="s">
        <v>837</v>
      </c>
      <c r="I699" s="3">
        <v>1.0</v>
      </c>
      <c r="J699" s="3"/>
      <c r="K699" s="5">
        <v>95.0</v>
      </c>
      <c r="L699" s="6" t="str">
        <f>IF(D699&lt;&gt;"",VLOOKUP(H699,TABLEITEM,2,FALSE),"")</f>
        <v>MAT GL</v>
      </c>
      <c r="M699" s="6" t="str">
        <f>IF(D699&lt;&gt;"",VLOOKUP(H699,TABLEITEM,3,FALSE),"")</f>
        <v>กระจก408x732T3.0</v>
      </c>
      <c r="N699" s="7">
        <f>INSTOCK!$I699*INSTOCK!$K699</f>
        <v>95</v>
      </c>
      <c r="O699" s="2"/>
      <c r="P699" s="2"/>
    </row>
    <row r="700" ht="18.0" hidden="1" customHeight="1">
      <c r="A700" s="1"/>
      <c r="B700" s="3">
        <v>699.0</v>
      </c>
      <c r="C700" s="4">
        <v>43158.0</v>
      </c>
      <c r="D700" s="2" t="s">
        <v>796</v>
      </c>
      <c r="E700" s="2">
        <v>6.102000205E9</v>
      </c>
      <c r="F700" s="3"/>
      <c r="G700" s="2" t="s">
        <v>733</v>
      </c>
      <c r="H700" s="2" t="s">
        <v>838</v>
      </c>
      <c r="I700" s="3">
        <v>1.0</v>
      </c>
      <c r="J700" s="3"/>
      <c r="K700" s="5">
        <v>150.0</v>
      </c>
      <c r="L700" s="6" t="str">
        <f>IF(D700&lt;&gt;"",VLOOKUP(H700,TABLEITEM,2,FALSE),"")</f>
        <v>MAT GL</v>
      </c>
      <c r="M700" s="6" t="str">
        <f>IF(D700&lt;&gt;"",VLOOKUP(H700,TABLEITEM,3,FALSE),"")</f>
        <v>กระจก408X758T3.0</v>
      </c>
      <c r="N700" s="7">
        <f>INSTOCK!$I700*INSTOCK!$K700</f>
        <v>150</v>
      </c>
      <c r="O700" s="2"/>
      <c r="P700" s="2"/>
    </row>
    <row r="701" ht="18.0" hidden="1" customHeight="1">
      <c r="A701" s="1"/>
      <c r="B701" s="3">
        <v>700.0</v>
      </c>
      <c r="C701" s="4">
        <v>43276.0</v>
      </c>
      <c r="D701" s="2" t="s">
        <v>736</v>
      </c>
      <c r="E701" s="2">
        <v>6.105000547E9</v>
      </c>
      <c r="F701" s="3"/>
      <c r="G701" s="2" t="s">
        <v>733</v>
      </c>
      <c r="H701" s="2" t="s">
        <v>839</v>
      </c>
      <c r="I701" s="3">
        <v>60.0</v>
      </c>
      <c r="J701" s="3"/>
      <c r="K701" s="5">
        <v>5.0</v>
      </c>
      <c r="L701" s="6" t="str">
        <f>IF(D701&lt;&gt;"",VLOOKUP(H701,TABLEITEM,2,FALSE),"")</f>
        <v>MAT GL</v>
      </c>
      <c r="M701" s="6" t="str">
        <f>IF(D701&lt;&gt;"",VLOOKUP(H701,TABLEITEM,3,FALSE),"")</f>
        <v>กระจก40x80T3.0</v>
      </c>
      <c r="N701" s="7">
        <f>INSTOCK!$I701*INSTOCK!$K701</f>
        <v>300</v>
      </c>
      <c r="O701" s="2"/>
      <c r="P701" s="2"/>
    </row>
    <row r="702" ht="18.0" hidden="1" customHeight="1">
      <c r="A702" s="1"/>
      <c r="B702" s="3">
        <v>701.0</v>
      </c>
      <c r="C702" s="4">
        <v>43215.0</v>
      </c>
      <c r="D702" s="2" t="s">
        <v>799</v>
      </c>
      <c r="E702" s="2">
        <v>6.103000397E9</v>
      </c>
      <c r="F702" s="3"/>
      <c r="G702" s="2" t="s">
        <v>733</v>
      </c>
      <c r="H702" s="2" t="s">
        <v>840</v>
      </c>
      <c r="I702" s="3">
        <v>2.0</v>
      </c>
      <c r="J702" s="3"/>
      <c r="K702" s="5">
        <v>95.0</v>
      </c>
      <c r="L702" s="6" t="str">
        <f>IF(D702&lt;&gt;"",VLOOKUP(H702,TABLEITEM,2,FALSE),"")</f>
        <v>MAT GL</v>
      </c>
      <c r="M702" s="6" t="str">
        <f>IF(D702&lt;&gt;"",VLOOKUP(H702,TABLEITEM,3,FALSE),"")</f>
        <v>กระจก428x628T3.0</v>
      </c>
      <c r="N702" s="7">
        <f>INSTOCK!$I702*INSTOCK!$K702</f>
        <v>190</v>
      </c>
      <c r="O702" s="2"/>
      <c r="P702" s="2"/>
    </row>
    <row r="703" ht="18.0" hidden="1" customHeight="1">
      <c r="A703" s="1"/>
      <c r="B703" s="3">
        <v>702.0</v>
      </c>
      <c r="C703" s="4">
        <v>43276.0</v>
      </c>
      <c r="D703" s="2" t="s">
        <v>736</v>
      </c>
      <c r="E703" s="2">
        <v>6.105000536E9</v>
      </c>
      <c r="F703" s="3"/>
      <c r="G703" s="2" t="s">
        <v>733</v>
      </c>
      <c r="H703" s="2" t="s">
        <v>841</v>
      </c>
      <c r="I703" s="3">
        <v>1.0</v>
      </c>
      <c r="J703" s="3"/>
      <c r="K703" s="5">
        <v>115.0</v>
      </c>
      <c r="L703" s="6" t="str">
        <f>IF(D703&lt;&gt;"",VLOOKUP(H703,TABLEITEM,2,FALSE),"")</f>
        <v>MAT GL</v>
      </c>
      <c r="M703" s="6" t="str">
        <f>IF(D703&lt;&gt;"",VLOOKUP(H703,TABLEITEM,3,FALSE),"")</f>
        <v>กระจก433x823T3.0</v>
      </c>
      <c r="N703" s="7">
        <f>INSTOCK!$I703*INSTOCK!$K703</f>
        <v>115</v>
      </c>
      <c r="O703" s="2"/>
      <c r="P703" s="2"/>
    </row>
    <row r="704" ht="18.0" hidden="1" customHeight="1">
      <c r="A704" s="1"/>
      <c r="B704" s="3">
        <v>703.0</v>
      </c>
      <c r="C704" s="4">
        <v>43277.0</v>
      </c>
      <c r="D704" s="2" t="s">
        <v>743</v>
      </c>
      <c r="E704" s="2">
        <v>6.105000626E9</v>
      </c>
      <c r="F704" s="3"/>
      <c r="G704" s="2" t="s">
        <v>733</v>
      </c>
      <c r="H704" s="2" t="s">
        <v>841</v>
      </c>
      <c r="I704" s="3">
        <v>1.0</v>
      </c>
      <c r="J704" s="3"/>
      <c r="K704" s="5">
        <v>112.0</v>
      </c>
      <c r="L704" s="6" t="str">
        <f>IF(D704&lt;&gt;"",VLOOKUP(H704,TABLEITEM,2,FALSE),"")</f>
        <v>MAT GL</v>
      </c>
      <c r="M704" s="6" t="str">
        <f>IF(D704&lt;&gt;"",VLOOKUP(H704,TABLEITEM,3,FALSE),"")</f>
        <v>กระจก433x823T3.0</v>
      </c>
      <c r="N704" s="7">
        <f>INSTOCK!$I704*INSTOCK!$K704</f>
        <v>112</v>
      </c>
      <c r="O704" s="2"/>
      <c r="P704" s="2"/>
    </row>
    <row r="705" ht="18.0" hidden="1" customHeight="1">
      <c r="A705" s="1"/>
      <c r="B705" s="3">
        <v>704.0</v>
      </c>
      <c r="C705" s="4">
        <v>43155.0</v>
      </c>
      <c r="D705" s="2" t="s">
        <v>792</v>
      </c>
      <c r="E705" s="2">
        <v>6.101000048E9</v>
      </c>
      <c r="F705" s="3"/>
      <c r="G705" s="2" t="s">
        <v>733</v>
      </c>
      <c r="H705" s="2" t="s">
        <v>842</v>
      </c>
      <c r="I705" s="3">
        <v>1.0</v>
      </c>
      <c r="J705" s="3"/>
      <c r="K705" s="5">
        <v>75.0</v>
      </c>
      <c r="L705" s="6" t="str">
        <f>IF(D705&lt;&gt;"",VLOOKUP(H705,TABLEITEM,2,FALSE),"")</f>
        <v>MAT GL</v>
      </c>
      <c r="M705" s="6" t="str">
        <f>IF(D705&lt;&gt;"",VLOOKUP(H705,TABLEITEM,3,FALSE),"")</f>
        <v>กระจก443X473T3.0</v>
      </c>
      <c r="N705" s="7">
        <f>INSTOCK!$I705*INSTOCK!$K705</f>
        <v>75</v>
      </c>
      <c r="O705" s="2"/>
      <c r="P705" s="2"/>
    </row>
    <row r="706" ht="18.0" hidden="1" customHeight="1">
      <c r="A706" s="1"/>
      <c r="B706" s="3">
        <v>705.0</v>
      </c>
      <c r="C706" s="4">
        <v>43155.0</v>
      </c>
      <c r="D706" s="2" t="s">
        <v>792</v>
      </c>
      <c r="E706" s="2">
        <v>6.101000091E9</v>
      </c>
      <c r="F706" s="3"/>
      <c r="G706" s="2" t="s">
        <v>733</v>
      </c>
      <c r="H706" s="2" t="s">
        <v>843</v>
      </c>
      <c r="I706" s="3">
        <v>1.0</v>
      </c>
      <c r="J706" s="3"/>
      <c r="K706" s="5">
        <v>190.0</v>
      </c>
      <c r="L706" s="6" t="str">
        <f>IF(D706&lt;&gt;"",VLOOKUP(H706,TABLEITEM,2,FALSE),"")</f>
        <v>MAT GL</v>
      </c>
      <c r="M706" s="6" t="str">
        <f>IF(D706&lt;&gt;"",VLOOKUP(H706,TABLEITEM,3,FALSE),"")</f>
        <v>กระจก458x1308T3.0</v>
      </c>
      <c r="N706" s="7">
        <f>INSTOCK!$I706*INSTOCK!$K706</f>
        <v>190</v>
      </c>
      <c r="O706" s="2"/>
      <c r="P706" s="2"/>
    </row>
    <row r="707" ht="18.0" hidden="1" customHeight="1">
      <c r="A707" s="1"/>
      <c r="B707" s="3">
        <v>706.0</v>
      </c>
      <c r="C707" s="4">
        <v>43214.0</v>
      </c>
      <c r="D707" s="2" t="s">
        <v>807</v>
      </c>
      <c r="E707" s="2">
        <v>6.103000339E9</v>
      </c>
      <c r="F707" s="3"/>
      <c r="G707" s="2" t="s">
        <v>733</v>
      </c>
      <c r="H707" s="2" t="s">
        <v>844</v>
      </c>
      <c r="I707" s="3">
        <v>1.0</v>
      </c>
      <c r="J707" s="3"/>
      <c r="K707" s="5">
        <v>100.0</v>
      </c>
      <c r="L707" s="6" t="str">
        <f>IF(D707&lt;&gt;"",VLOOKUP(H707,TABLEITEM,2,FALSE),"")</f>
        <v>MAT GL</v>
      </c>
      <c r="M707" s="6" t="str">
        <f>IF(D707&lt;&gt;"",VLOOKUP(H707,TABLEITEM,3,FALSE),"")</f>
        <v>กระจก458x558T3.0</v>
      </c>
      <c r="N707" s="7">
        <f>INSTOCK!$I707*INSTOCK!$K707</f>
        <v>100</v>
      </c>
      <c r="O707" s="2"/>
      <c r="P707" s="2"/>
    </row>
    <row r="708" ht="18.0" hidden="1" customHeight="1">
      <c r="A708" s="1"/>
      <c r="B708" s="3">
        <v>707.0</v>
      </c>
      <c r="C708" s="4">
        <v>43214.0</v>
      </c>
      <c r="D708" s="2" t="s">
        <v>807</v>
      </c>
      <c r="E708" s="2">
        <v>6.103000301E9</v>
      </c>
      <c r="F708" s="3"/>
      <c r="G708" s="2" t="s">
        <v>733</v>
      </c>
      <c r="H708" s="2" t="s">
        <v>845</v>
      </c>
      <c r="I708" s="3">
        <v>1.0</v>
      </c>
      <c r="J708" s="3"/>
      <c r="K708" s="5">
        <v>125.0</v>
      </c>
      <c r="L708" s="6" t="str">
        <f>IF(D708&lt;&gt;"",VLOOKUP(H708,TABLEITEM,2,FALSE),"")</f>
        <v>MAT GL</v>
      </c>
      <c r="M708" s="6" t="str">
        <f>IF(D708&lt;&gt;"",VLOOKUP(H708,TABLEITEM,3,FALSE),"")</f>
        <v>กระจก458x658T3.0</v>
      </c>
      <c r="N708" s="7">
        <f>INSTOCK!$I708*INSTOCK!$K708</f>
        <v>125</v>
      </c>
      <c r="O708" s="2"/>
      <c r="P708" s="2"/>
    </row>
    <row r="709" ht="18.0" hidden="1" customHeight="1">
      <c r="A709" s="1"/>
      <c r="B709" s="3">
        <v>708.0</v>
      </c>
      <c r="C709" s="4">
        <v>43214.0</v>
      </c>
      <c r="D709" s="2" t="s">
        <v>807</v>
      </c>
      <c r="E709" s="2">
        <v>6.103000309E9</v>
      </c>
      <c r="F709" s="3"/>
      <c r="G709" s="2" t="s">
        <v>733</v>
      </c>
      <c r="H709" s="2" t="s">
        <v>846</v>
      </c>
      <c r="I709" s="3">
        <v>1.0</v>
      </c>
      <c r="J709" s="3"/>
      <c r="K709" s="5">
        <v>120.0</v>
      </c>
      <c r="L709" s="6" t="str">
        <f>IF(D709&lt;&gt;"",VLOOKUP(H709,TABLEITEM,2,FALSE),"")</f>
        <v>MAT GL</v>
      </c>
      <c r="M709" s="6" t="str">
        <f>IF(D709&lt;&gt;"",VLOOKUP(H709,TABLEITEM,3,FALSE),"")</f>
        <v>กระจก458x878T3.0</v>
      </c>
      <c r="N709" s="7">
        <f>INSTOCK!$I709*INSTOCK!$K709</f>
        <v>120</v>
      </c>
      <c r="O709" s="2"/>
      <c r="P709" s="2"/>
    </row>
    <row r="710" ht="18.0" hidden="1" customHeight="1">
      <c r="A710" s="1"/>
      <c r="B710" s="3">
        <v>709.0</v>
      </c>
      <c r="C710" s="4">
        <v>43214.0</v>
      </c>
      <c r="D710" s="2" t="s">
        <v>823</v>
      </c>
      <c r="E710" s="2">
        <v>6.103000309E9</v>
      </c>
      <c r="F710" s="3"/>
      <c r="G710" s="2" t="s">
        <v>733</v>
      </c>
      <c r="H710" s="2" t="s">
        <v>846</v>
      </c>
      <c r="I710" s="3">
        <v>5.0</v>
      </c>
      <c r="J710" s="3"/>
      <c r="K710" s="5">
        <v>120.0</v>
      </c>
      <c r="L710" s="6" t="str">
        <f>IF(D710&lt;&gt;"",VLOOKUP(H710,TABLEITEM,2,FALSE),"")</f>
        <v>MAT GL</v>
      </c>
      <c r="M710" s="6" t="str">
        <f>IF(D710&lt;&gt;"",VLOOKUP(H710,TABLEITEM,3,FALSE),"")</f>
        <v>กระจก458x878T3.0</v>
      </c>
      <c r="N710" s="7">
        <f>INSTOCK!$I710*INSTOCK!$K710</f>
        <v>600</v>
      </c>
      <c r="O710" s="2"/>
      <c r="P710" s="2"/>
    </row>
    <row r="711" ht="18.0" hidden="1" customHeight="1">
      <c r="A711" s="1"/>
      <c r="B711" s="3">
        <v>710.0</v>
      </c>
      <c r="C711" s="4">
        <v>43155.0</v>
      </c>
      <c r="D711" s="2" t="s">
        <v>792</v>
      </c>
      <c r="E711" s="2">
        <v>6.101000048E9</v>
      </c>
      <c r="F711" s="3"/>
      <c r="G711" s="2" t="s">
        <v>733</v>
      </c>
      <c r="H711" s="2" t="s">
        <v>847</v>
      </c>
      <c r="I711" s="3">
        <v>1.0</v>
      </c>
      <c r="J711" s="3"/>
      <c r="K711" s="5">
        <v>125.0</v>
      </c>
      <c r="L711" s="6" t="str">
        <f>IF(D711&lt;&gt;"",VLOOKUP(H711,TABLEITEM,2,FALSE),"")</f>
        <v>MAT GL</v>
      </c>
      <c r="M711" s="6" t="str">
        <f>IF(D711&lt;&gt;"",VLOOKUP(H711,TABLEITEM,3,FALSE),"")</f>
        <v>กระจก468X708T3.0</v>
      </c>
      <c r="N711" s="7">
        <f>INSTOCK!$I711*INSTOCK!$K711</f>
        <v>125</v>
      </c>
      <c r="O711" s="2"/>
      <c r="P711" s="2"/>
    </row>
    <row r="712" ht="18.0" hidden="1" customHeight="1">
      <c r="A712" s="1"/>
      <c r="B712" s="3">
        <v>711.0</v>
      </c>
      <c r="C712" s="4">
        <v>43155.0</v>
      </c>
      <c r="D712" s="2" t="s">
        <v>803</v>
      </c>
      <c r="E712" s="2">
        <v>6.101000045E9</v>
      </c>
      <c r="F712" s="3"/>
      <c r="G712" s="2" t="s">
        <v>733</v>
      </c>
      <c r="H712" s="2" t="s">
        <v>848</v>
      </c>
      <c r="I712" s="3">
        <v>1.0</v>
      </c>
      <c r="J712" s="3"/>
      <c r="K712" s="5">
        <v>100.0</v>
      </c>
      <c r="L712" s="6" t="str">
        <f>IF(D712&lt;&gt;"",VLOOKUP(H712,TABLEITEM,2,FALSE),"")</f>
        <v>MAT GL</v>
      </c>
      <c r="M712" s="6" t="str">
        <f>IF(D712&lt;&gt;"",VLOOKUP(H712,TABLEITEM,3,FALSE),"")</f>
        <v>กระจก508X608T3.0</v>
      </c>
      <c r="N712" s="7">
        <f>INSTOCK!$I712*INSTOCK!$K712</f>
        <v>100</v>
      </c>
      <c r="O712" s="2"/>
      <c r="P712" s="2"/>
    </row>
    <row r="713" ht="18.0" hidden="1" customHeight="1">
      <c r="A713" s="1"/>
      <c r="B713" s="3">
        <v>712.0</v>
      </c>
      <c r="C713" s="4">
        <v>43276.0</v>
      </c>
      <c r="D713" s="2" t="s">
        <v>736</v>
      </c>
      <c r="E713" s="2">
        <v>6.104000502E9</v>
      </c>
      <c r="F713" s="3"/>
      <c r="G713" s="2" t="s">
        <v>733</v>
      </c>
      <c r="H713" s="2" t="s">
        <v>849</v>
      </c>
      <c r="I713" s="3">
        <v>1.0</v>
      </c>
      <c r="J713" s="3"/>
      <c r="K713" s="5">
        <v>125.0</v>
      </c>
      <c r="L713" s="6" t="str">
        <f>IF(D713&lt;&gt;"",VLOOKUP(H713,TABLEITEM,2,FALSE),"")</f>
        <v>MAT GL</v>
      </c>
      <c r="M713" s="6" t="str">
        <f>IF(D713&lt;&gt;"",VLOOKUP(H713,TABLEITEM,3,FALSE),"")</f>
        <v>กระจก508X653T3.0</v>
      </c>
      <c r="N713" s="7">
        <f>INSTOCK!$I713*INSTOCK!$K713</f>
        <v>125</v>
      </c>
      <c r="O713" s="2"/>
      <c r="P713" s="2"/>
    </row>
    <row r="714" ht="18.0" hidden="1" customHeight="1">
      <c r="A714" s="1"/>
      <c r="B714" s="3">
        <v>713.0</v>
      </c>
      <c r="C714" s="4">
        <v>43276.0</v>
      </c>
      <c r="D714" s="2" t="s">
        <v>736</v>
      </c>
      <c r="E714" s="2">
        <v>6.105000547E9</v>
      </c>
      <c r="F714" s="3"/>
      <c r="G714" s="2" t="s">
        <v>733</v>
      </c>
      <c r="H714" s="2" t="s">
        <v>849</v>
      </c>
      <c r="I714" s="3">
        <v>1.0</v>
      </c>
      <c r="J714" s="3"/>
      <c r="K714" s="5">
        <v>125.0</v>
      </c>
      <c r="L714" s="6" t="str">
        <f>IF(D714&lt;&gt;"",VLOOKUP(H714,TABLEITEM,2,FALSE),"")</f>
        <v>MAT GL</v>
      </c>
      <c r="M714" s="6" t="str">
        <f>IF(D714&lt;&gt;"",VLOOKUP(H714,TABLEITEM,3,FALSE),"")</f>
        <v>กระจก508X653T3.0</v>
      </c>
      <c r="N714" s="7">
        <f>INSTOCK!$I714*INSTOCK!$K714</f>
        <v>125</v>
      </c>
      <c r="O714" s="2"/>
      <c r="P714" s="2"/>
    </row>
    <row r="715" ht="18.0" hidden="1" customHeight="1">
      <c r="A715" s="1"/>
      <c r="B715" s="3">
        <v>714.0</v>
      </c>
      <c r="C715" s="4">
        <v>43155.0</v>
      </c>
      <c r="D715" s="2" t="s">
        <v>792</v>
      </c>
      <c r="E715" s="2">
        <v>6.101000049E9</v>
      </c>
      <c r="F715" s="3"/>
      <c r="G715" s="2" t="s">
        <v>733</v>
      </c>
      <c r="H715" s="2" t="s">
        <v>850</v>
      </c>
      <c r="I715" s="3">
        <v>1.0</v>
      </c>
      <c r="J715" s="3"/>
      <c r="K715" s="5">
        <v>150.0</v>
      </c>
      <c r="L715" s="6" t="str">
        <f>IF(D715&lt;&gt;"",VLOOKUP(H715,TABLEITEM,2,FALSE),"")</f>
        <v>MAT GL</v>
      </c>
      <c r="M715" s="6" t="str">
        <f>IF(D715&lt;&gt;"",VLOOKUP(H715,TABLEITEM,3,FALSE),"")</f>
        <v>กระจก508X878T3.0</v>
      </c>
      <c r="N715" s="7">
        <f>INSTOCK!$I715*INSTOCK!$K715</f>
        <v>150</v>
      </c>
      <c r="O715" s="2"/>
      <c r="P715" s="2"/>
    </row>
    <row r="716" ht="18.0" hidden="1" customHeight="1">
      <c r="A716" s="1"/>
      <c r="B716" s="3">
        <v>715.0</v>
      </c>
      <c r="C716" s="4">
        <v>43214.0</v>
      </c>
      <c r="D716" s="2" t="s">
        <v>823</v>
      </c>
      <c r="E716" s="2">
        <v>6.103000347E9</v>
      </c>
      <c r="F716" s="3"/>
      <c r="G716" s="2" t="s">
        <v>733</v>
      </c>
      <c r="H716" s="2" t="s">
        <v>851</v>
      </c>
      <c r="I716" s="3">
        <v>2.0</v>
      </c>
      <c r="J716" s="3"/>
      <c r="K716" s="5">
        <v>200.0</v>
      </c>
      <c r="L716" s="6" t="str">
        <f>IF(D716&lt;&gt;"",VLOOKUP(H716,TABLEITEM,2,FALSE),"")</f>
        <v>MAT GL</v>
      </c>
      <c r="M716" s="6" t="str">
        <f>IF(D716&lt;&gt;"",VLOOKUP(H716,TABLEITEM,3,FALSE),"")</f>
        <v>กระจก508x958T3.0</v>
      </c>
      <c r="N716" s="7">
        <f>INSTOCK!$I716*INSTOCK!$K716</f>
        <v>400</v>
      </c>
      <c r="O716" s="2"/>
      <c r="P716" s="2"/>
    </row>
    <row r="717" ht="18.0" hidden="1" customHeight="1">
      <c r="A717" s="1"/>
      <c r="B717" s="3">
        <v>716.0</v>
      </c>
      <c r="C717" s="4">
        <v>43214.0</v>
      </c>
      <c r="D717" s="2" t="s">
        <v>807</v>
      </c>
      <c r="E717" s="2">
        <v>6.103000301E9</v>
      </c>
      <c r="F717" s="3"/>
      <c r="G717" s="2" t="s">
        <v>733</v>
      </c>
      <c r="H717" s="2" t="s">
        <v>852</v>
      </c>
      <c r="I717" s="3">
        <v>8.0</v>
      </c>
      <c r="J717" s="3"/>
      <c r="K717" s="5">
        <v>125.0</v>
      </c>
      <c r="L717" s="6" t="str">
        <f>IF(D717&lt;&gt;"",VLOOKUP(H717,TABLEITEM,2,FALSE),"")</f>
        <v>MAT GL</v>
      </c>
      <c r="M717" s="6" t="str">
        <f>IF(D717&lt;&gt;"",VLOOKUP(H717,TABLEITEM,3,FALSE),"")</f>
        <v>กระจก528x628T3.0</v>
      </c>
      <c r="N717" s="7">
        <f>INSTOCK!$I717*INSTOCK!$K717</f>
        <v>1000</v>
      </c>
      <c r="O717" s="2"/>
      <c r="P717" s="2"/>
    </row>
    <row r="718" ht="18.0" hidden="1" customHeight="1">
      <c r="A718" s="1"/>
      <c r="B718" s="3">
        <v>717.0</v>
      </c>
      <c r="C718" s="4">
        <v>43214.0</v>
      </c>
      <c r="D718" s="2" t="s">
        <v>807</v>
      </c>
      <c r="E718" s="2">
        <v>6.103000309E9</v>
      </c>
      <c r="F718" s="3"/>
      <c r="G718" s="2" t="s">
        <v>733</v>
      </c>
      <c r="H718" s="2" t="s">
        <v>852</v>
      </c>
      <c r="I718" s="3">
        <v>1.0</v>
      </c>
      <c r="J718" s="3"/>
      <c r="K718" s="5">
        <v>125.0</v>
      </c>
      <c r="L718" s="6" t="str">
        <f>IF(D718&lt;&gt;"",VLOOKUP(H718,TABLEITEM,2,FALSE),"")</f>
        <v>MAT GL</v>
      </c>
      <c r="M718" s="6" t="str">
        <f>IF(D718&lt;&gt;"",VLOOKUP(H718,TABLEITEM,3,FALSE),"")</f>
        <v>กระจก528x628T3.0</v>
      </c>
      <c r="N718" s="7">
        <f>INSTOCK!$I718*INSTOCK!$K718</f>
        <v>125</v>
      </c>
      <c r="O718" s="2"/>
      <c r="P718" s="2"/>
    </row>
    <row r="719" ht="18.0" hidden="1" customHeight="1">
      <c r="A719" s="1"/>
      <c r="B719" s="3">
        <v>718.0</v>
      </c>
      <c r="C719" s="4">
        <v>43158.0</v>
      </c>
      <c r="D719" s="2" t="s">
        <v>796</v>
      </c>
      <c r="E719" s="2">
        <v>6.102000268E9</v>
      </c>
      <c r="F719" s="3"/>
      <c r="G719" s="2" t="s">
        <v>733</v>
      </c>
      <c r="H719" s="2" t="s">
        <v>853</v>
      </c>
      <c r="I719" s="3">
        <v>1.0</v>
      </c>
      <c r="J719" s="3"/>
      <c r="K719" s="5">
        <v>175.0</v>
      </c>
      <c r="L719" s="6" t="str">
        <f>IF(D719&lt;&gt;"",VLOOKUP(H719,TABLEITEM,2,FALSE),"")</f>
        <v>MAT GL</v>
      </c>
      <c r="M719" s="6" t="str">
        <f>IF(D719&lt;&gt;"",VLOOKUP(H719,TABLEITEM,3,FALSE),"")</f>
        <v>กระจก528x953T3.0</v>
      </c>
      <c r="N719" s="7">
        <f>INSTOCK!$I719*INSTOCK!$K719</f>
        <v>175</v>
      </c>
      <c r="O719" s="2"/>
      <c r="P719" s="2"/>
    </row>
    <row r="720" ht="18.0" hidden="1" customHeight="1">
      <c r="A720" s="1"/>
      <c r="B720" s="3">
        <v>719.0</v>
      </c>
      <c r="C720" s="4">
        <v>43155.0</v>
      </c>
      <c r="D720" s="2" t="s">
        <v>803</v>
      </c>
      <c r="E720" s="2">
        <v>6.101000089E9</v>
      </c>
      <c r="F720" s="3"/>
      <c r="G720" s="2" t="s">
        <v>733</v>
      </c>
      <c r="H720" s="2" t="s">
        <v>854</v>
      </c>
      <c r="I720" s="3">
        <v>1.0</v>
      </c>
      <c r="J720" s="3"/>
      <c r="K720" s="5">
        <v>100.0</v>
      </c>
      <c r="L720" s="6" t="str">
        <f>IF(D720&lt;&gt;"",VLOOKUP(H720,TABLEITEM,2,FALSE),"")</f>
        <v>MAT GL</v>
      </c>
      <c r="M720" s="6" t="str">
        <f>IF(D720&lt;&gt;"",VLOOKUP(H720,TABLEITEM,3,FALSE),"")</f>
        <v>กระจก533x588T3.0</v>
      </c>
      <c r="N720" s="7">
        <f>INSTOCK!$I720*INSTOCK!$K720</f>
        <v>100</v>
      </c>
      <c r="O720" s="2"/>
      <c r="P720" s="2"/>
    </row>
    <row r="721" ht="18.0" hidden="1" customHeight="1">
      <c r="A721" s="1"/>
      <c r="B721" s="3">
        <v>720.0</v>
      </c>
      <c r="C721" s="4">
        <v>43214.0</v>
      </c>
      <c r="D721" s="2" t="s">
        <v>823</v>
      </c>
      <c r="E721" s="2">
        <v>6.103000347E9</v>
      </c>
      <c r="F721" s="3"/>
      <c r="G721" s="2" t="s">
        <v>733</v>
      </c>
      <c r="H721" s="2" t="s">
        <v>855</v>
      </c>
      <c r="I721" s="3">
        <v>1.0</v>
      </c>
      <c r="J721" s="3"/>
      <c r="K721" s="5">
        <v>200.0</v>
      </c>
      <c r="L721" s="6" t="str">
        <f>IF(D721&lt;&gt;"",VLOOKUP(H721,TABLEITEM,2,FALSE),"")</f>
        <v>MAT GL</v>
      </c>
      <c r="M721" s="6" t="str">
        <f>IF(D721&lt;&gt;"",VLOOKUP(H721,TABLEITEM,3,FALSE),"")</f>
        <v>กระจก533x953T3.0</v>
      </c>
      <c r="N721" s="7">
        <f>INSTOCK!$I721*INSTOCK!$K721</f>
        <v>200</v>
      </c>
      <c r="O721" s="2"/>
      <c r="P721" s="2"/>
    </row>
    <row r="722" ht="18.0" hidden="1" customHeight="1">
      <c r="A722" s="1"/>
      <c r="B722" s="3">
        <v>721.0</v>
      </c>
      <c r="C722" s="4">
        <v>43215.0</v>
      </c>
      <c r="D722" s="2" t="s">
        <v>799</v>
      </c>
      <c r="E722" s="2">
        <v>6.104000436E9</v>
      </c>
      <c r="F722" s="3"/>
      <c r="G722" s="2" t="s">
        <v>733</v>
      </c>
      <c r="H722" s="2" t="s">
        <v>856</v>
      </c>
      <c r="I722" s="3">
        <v>1.0</v>
      </c>
      <c r="J722" s="3"/>
      <c r="K722" s="5">
        <v>150.0</v>
      </c>
      <c r="L722" s="6" t="str">
        <f>IF(D722&lt;&gt;"",VLOOKUP(H722,TABLEITEM,2,FALSE),"")</f>
        <v>MAT GL</v>
      </c>
      <c r="M722" s="6" t="str">
        <f>IF(D722&lt;&gt;"",VLOOKUP(H722,TABLEITEM,3,FALSE),"")</f>
        <v>กระจก558x608T3.0</v>
      </c>
      <c r="N722" s="7">
        <f>INSTOCK!$I722*INSTOCK!$K722</f>
        <v>150</v>
      </c>
      <c r="O722" s="2"/>
      <c r="P722" s="2"/>
    </row>
    <row r="723" ht="18.0" hidden="1" customHeight="1">
      <c r="A723" s="1"/>
      <c r="B723" s="3">
        <v>722.0</v>
      </c>
      <c r="C723" s="4">
        <v>43155.0</v>
      </c>
      <c r="D723" s="2" t="s">
        <v>803</v>
      </c>
      <c r="E723" s="2">
        <v>6.101000083E9</v>
      </c>
      <c r="F723" s="3"/>
      <c r="G723" s="2" t="s">
        <v>733</v>
      </c>
      <c r="H723" s="2" t="s">
        <v>857</v>
      </c>
      <c r="I723" s="3">
        <v>1.0</v>
      </c>
      <c r="J723" s="3"/>
      <c r="K723" s="5">
        <v>150.0</v>
      </c>
      <c r="L723" s="6" t="str">
        <f>IF(D723&lt;&gt;"",VLOOKUP(H723,TABLEITEM,2,FALSE),"")</f>
        <v>MAT GL</v>
      </c>
      <c r="M723" s="6" t="str">
        <f>IF(D723&lt;&gt;"",VLOOKUP(H723,TABLEITEM,3,FALSE),"")</f>
        <v>กระจก558X708T3.0</v>
      </c>
      <c r="N723" s="7">
        <f>INSTOCK!$I723*INSTOCK!$K723</f>
        <v>150</v>
      </c>
      <c r="O723" s="2"/>
      <c r="P723" s="2"/>
    </row>
    <row r="724" ht="18.0" hidden="1" customHeight="1">
      <c r="A724" s="1"/>
      <c r="B724" s="3">
        <v>723.0</v>
      </c>
      <c r="C724" s="4">
        <v>43155.0</v>
      </c>
      <c r="D724" s="2" t="s">
        <v>803</v>
      </c>
      <c r="E724" s="2">
        <v>6.101000045E9</v>
      </c>
      <c r="F724" s="3"/>
      <c r="G724" s="2" t="s">
        <v>733</v>
      </c>
      <c r="H724" s="2" t="s">
        <v>858</v>
      </c>
      <c r="I724" s="3">
        <v>1.0</v>
      </c>
      <c r="J724" s="3"/>
      <c r="K724" s="5">
        <v>210.0</v>
      </c>
      <c r="L724" s="6" t="str">
        <f>IF(D724&lt;&gt;"",VLOOKUP(H724,TABLEITEM,2,FALSE),"")</f>
        <v>MAT GL</v>
      </c>
      <c r="M724" s="6" t="str">
        <f>IF(D724&lt;&gt;"",VLOOKUP(H724,TABLEITEM,3,FALSE),"")</f>
        <v>กระจก578x958T3.0</v>
      </c>
      <c r="N724" s="7">
        <f>INSTOCK!$I724*INSTOCK!$K724</f>
        <v>210</v>
      </c>
      <c r="O724" s="2"/>
      <c r="P724" s="2"/>
    </row>
    <row r="725" ht="18.0" hidden="1" customHeight="1">
      <c r="A725" s="1"/>
      <c r="B725" s="3">
        <v>724.0</v>
      </c>
      <c r="C725" s="4">
        <v>43276.0</v>
      </c>
      <c r="D725" s="2" t="s">
        <v>765</v>
      </c>
      <c r="E725" s="2">
        <v>6.105000562E9</v>
      </c>
      <c r="F725" s="3"/>
      <c r="G725" s="2" t="s">
        <v>733</v>
      </c>
      <c r="H725" s="2" t="s">
        <v>859</v>
      </c>
      <c r="I725" s="3">
        <v>1.0</v>
      </c>
      <c r="J725" s="3"/>
      <c r="K725" s="5">
        <v>190.0</v>
      </c>
      <c r="L725" s="6" t="str">
        <f>IF(D725&lt;&gt;"",VLOOKUP(H725,TABLEITEM,2,FALSE),"")</f>
        <v>MAT GL</v>
      </c>
      <c r="M725" s="6" t="str">
        <f>IF(D725&lt;&gt;"",VLOOKUP(H725,TABLEITEM,3,FALSE),"")</f>
        <v>กระจก608x708T3.0</v>
      </c>
      <c r="N725" s="7">
        <f>INSTOCK!$I725*INSTOCK!$K725</f>
        <v>190</v>
      </c>
      <c r="O725" s="2"/>
      <c r="P725" s="2"/>
    </row>
    <row r="726" ht="18.0" hidden="1" customHeight="1">
      <c r="A726" s="1"/>
      <c r="B726" s="3">
        <v>725.0</v>
      </c>
      <c r="C726" s="4">
        <v>43276.0</v>
      </c>
      <c r="D726" s="2" t="s">
        <v>765</v>
      </c>
      <c r="E726" s="40" t="s">
        <v>744</v>
      </c>
      <c r="F726" s="3"/>
      <c r="G726" s="2" t="s">
        <v>733</v>
      </c>
      <c r="H726" s="2" t="s">
        <v>859</v>
      </c>
      <c r="I726" s="3">
        <v>1.0</v>
      </c>
      <c r="J726" s="3"/>
      <c r="K726" s="5">
        <v>125.0</v>
      </c>
      <c r="L726" s="6" t="str">
        <f>IF(D726&lt;&gt;"",VLOOKUP(H726,TABLEITEM,2,FALSE),"")</f>
        <v>MAT GL</v>
      </c>
      <c r="M726" s="6" t="str">
        <f>IF(D726&lt;&gt;"",VLOOKUP(H726,TABLEITEM,3,FALSE),"")</f>
        <v>กระจก608x708T3.0</v>
      </c>
      <c r="N726" s="7">
        <f>INSTOCK!$I726*INSTOCK!$K726</f>
        <v>125</v>
      </c>
      <c r="O726" s="2"/>
      <c r="P726" s="2"/>
    </row>
    <row r="727" ht="18.0" hidden="1" customHeight="1">
      <c r="A727" s="1"/>
      <c r="B727" s="3">
        <v>726.0</v>
      </c>
      <c r="C727" s="4">
        <v>43276.0</v>
      </c>
      <c r="D727" s="2" t="s">
        <v>736</v>
      </c>
      <c r="E727" s="2">
        <v>6.105000536E9</v>
      </c>
      <c r="F727" s="3"/>
      <c r="G727" s="2" t="s">
        <v>733</v>
      </c>
      <c r="H727" s="2" t="s">
        <v>860</v>
      </c>
      <c r="I727" s="3">
        <v>1.0</v>
      </c>
      <c r="J727" s="3"/>
      <c r="K727" s="5">
        <v>25.0</v>
      </c>
      <c r="L727" s="6" t="str">
        <f>IF(D727&lt;&gt;"",VLOOKUP(H727,TABLEITEM,2,FALSE),"")</f>
        <v>MAT GL</v>
      </c>
      <c r="M727" s="6" t="str">
        <f>IF(D727&lt;&gt;"",VLOOKUP(H727,TABLEITEM,3,FALSE),"")</f>
        <v>กระจก88x238T3.0</v>
      </c>
      <c r="N727" s="7">
        <f>INSTOCK!$I727*INSTOCK!$K727</f>
        <v>25</v>
      </c>
      <c r="O727" s="2"/>
      <c r="P727" s="2"/>
    </row>
    <row r="728" ht="18.0" hidden="1" customHeight="1">
      <c r="A728" s="1"/>
      <c r="B728" s="3">
        <v>727.0</v>
      </c>
      <c r="C728" s="4">
        <v>43215.0</v>
      </c>
      <c r="D728" s="2" t="s">
        <v>767</v>
      </c>
      <c r="E728" s="2">
        <v>6.104000483E9</v>
      </c>
      <c r="F728" s="3"/>
      <c r="G728" s="2" t="s">
        <v>733</v>
      </c>
      <c r="H728" s="2" t="s">
        <v>860</v>
      </c>
      <c r="I728" s="3">
        <v>1.0</v>
      </c>
      <c r="J728" s="3"/>
      <c r="K728" s="5">
        <v>25.0</v>
      </c>
      <c r="L728" s="6" t="str">
        <f>IF(D728&lt;&gt;"",VLOOKUP(H728,TABLEITEM,2,FALSE),"")</f>
        <v>MAT GL</v>
      </c>
      <c r="M728" s="6" t="str">
        <f>IF(D728&lt;&gt;"",VLOOKUP(H728,TABLEITEM,3,FALSE),"")</f>
        <v>กระจก88x238T3.0</v>
      </c>
      <c r="N728" s="7">
        <f>INSTOCK!$I728*INSTOCK!$K728</f>
        <v>25</v>
      </c>
      <c r="O728" s="2"/>
      <c r="P728" s="2"/>
    </row>
    <row r="729" ht="18.0" hidden="1" customHeight="1">
      <c r="A729" s="1"/>
      <c r="B729" s="3">
        <v>728.0</v>
      </c>
      <c r="C729" s="4">
        <v>43276.0</v>
      </c>
      <c r="D729" s="2" t="s">
        <v>735</v>
      </c>
      <c r="E729" s="2">
        <v>6.106000716E9</v>
      </c>
      <c r="F729" s="3"/>
      <c r="G729" s="2" t="s">
        <v>733</v>
      </c>
      <c r="H729" s="2" t="s">
        <v>861</v>
      </c>
      <c r="I729" s="3">
        <v>2.0</v>
      </c>
      <c r="J729" s="3"/>
      <c r="K729" s="5">
        <v>35.0</v>
      </c>
      <c r="L729" s="6" t="str">
        <f>IF(D729&lt;&gt;"",VLOOKUP(H729,TABLEITEM,2,FALSE),"")</f>
        <v>MAT GL</v>
      </c>
      <c r="M729" s="6" t="str">
        <f>IF(D729&lt;&gt;"",VLOOKUP(H729,TABLEITEM,3,FALSE),"")</f>
        <v>กระจก88X258T3.0</v>
      </c>
      <c r="N729" s="7">
        <f>INSTOCK!$I729*INSTOCK!$K729</f>
        <v>70</v>
      </c>
      <c r="O729" s="2"/>
      <c r="P729" s="2"/>
    </row>
    <row r="730" ht="18.0" hidden="1" customHeight="1">
      <c r="A730" s="1"/>
      <c r="B730" s="3">
        <v>729.0</v>
      </c>
      <c r="C730" s="4">
        <v>43276.0</v>
      </c>
      <c r="D730" s="2" t="s">
        <v>735</v>
      </c>
      <c r="E730" s="2">
        <v>6.106000716E9</v>
      </c>
      <c r="F730" s="3"/>
      <c r="G730" s="2" t="s">
        <v>733</v>
      </c>
      <c r="H730" s="2" t="s">
        <v>862</v>
      </c>
      <c r="I730" s="3">
        <v>1.0</v>
      </c>
      <c r="J730" s="3"/>
      <c r="K730" s="5">
        <v>35.0</v>
      </c>
      <c r="L730" s="6" t="str">
        <f>IF(D730&lt;&gt;"",VLOOKUP(H730,TABLEITEM,2,FALSE),"")</f>
        <v>MAT GL</v>
      </c>
      <c r="M730" s="6" t="str">
        <f>IF(D730&lt;&gt;"",VLOOKUP(H730,TABLEITEM,3,FALSE),"")</f>
        <v>กระจก88X290T3.0</v>
      </c>
      <c r="N730" s="7">
        <f>INSTOCK!$I730*INSTOCK!$K730</f>
        <v>35</v>
      </c>
      <c r="O730" s="2"/>
      <c r="P730" s="2"/>
    </row>
    <row r="731" ht="18.0" hidden="1" customHeight="1">
      <c r="A731" s="1"/>
      <c r="B731" s="3">
        <v>730.0</v>
      </c>
      <c r="C731" s="4">
        <v>43214.0</v>
      </c>
      <c r="D731" s="2" t="s">
        <v>823</v>
      </c>
      <c r="E731" s="2">
        <v>6.103000379E9</v>
      </c>
      <c r="F731" s="3"/>
      <c r="G731" s="2" t="s">
        <v>733</v>
      </c>
      <c r="H731" s="2" t="s">
        <v>863</v>
      </c>
      <c r="I731" s="3">
        <v>6.0</v>
      </c>
      <c r="J731" s="3"/>
      <c r="K731" s="5">
        <v>40.0</v>
      </c>
      <c r="L731" s="6" t="str">
        <f>IF(D731&lt;&gt;"",VLOOKUP(H731,TABLEITEM,2,FALSE),"")</f>
        <v>MAT GL</v>
      </c>
      <c r="M731" s="6" t="str">
        <f>IF(D731&lt;&gt;"",VLOOKUP(H731,TABLEITEM,3,FALSE),"")</f>
        <v>กระจก88X408T3.0</v>
      </c>
      <c r="N731" s="7">
        <f>INSTOCK!$I731*INSTOCK!$K731</f>
        <v>240</v>
      </c>
      <c r="O731" s="2"/>
      <c r="P731" s="2"/>
    </row>
    <row r="732" ht="18.0" hidden="1" customHeight="1">
      <c r="A732" s="1"/>
      <c r="B732" s="3">
        <v>731.0</v>
      </c>
      <c r="C732" s="4">
        <v>43157.0</v>
      </c>
      <c r="D732" s="2" t="s">
        <v>742</v>
      </c>
      <c r="E732" s="2">
        <v>6.102000205E9</v>
      </c>
      <c r="F732" s="3"/>
      <c r="G732" s="2" t="s">
        <v>733</v>
      </c>
      <c r="H732" s="2" t="s">
        <v>864</v>
      </c>
      <c r="I732" s="3">
        <v>2.0</v>
      </c>
      <c r="J732" s="3"/>
      <c r="K732" s="5">
        <v>50.0</v>
      </c>
      <c r="L732" s="6" t="str">
        <f>IF(D732&lt;&gt;"",VLOOKUP(H732,TABLEITEM,2,FALSE),"")</f>
        <v>MAT GL</v>
      </c>
      <c r="M732" s="6" t="str">
        <f>IF(D732&lt;&gt;"",VLOOKUP(H732,TABLEITEM,3,FALSE),"")</f>
        <v>กระจก208X408T5.0</v>
      </c>
      <c r="N732" s="7">
        <f>INSTOCK!$I732*INSTOCK!$K732</f>
        <v>100</v>
      </c>
      <c r="O732" s="2"/>
      <c r="P732" s="2"/>
    </row>
    <row r="733" ht="18.0" hidden="1" customHeight="1">
      <c r="A733" s="1"/>
      <c r="B733" s="3">
        <v>732.0</v>
      </c>
      <c r="C733" s="4">
        <v>43339.0</v>
      </c>
      <c r="D733" s="2" t="s">
        <v>747</v>
      </c>
      <c r="E733" s="2">
        <v>6.106000808E9</v>
      </c>
      <c r="F733" s="3"/>
      <c r="G733" s="2" t="s">
        <v>733</v>
      </c>
      <c r="H733" s="2" t="s">
        <v>865</v>
      </c>
      <c r="I733" s="3">
        <v>1.0</v>
      </c>
      <c r="J733" s="3"/>
      <c r="K733" s="5">
        <v>45.0</v>
      </c>
      <c r="L733" s="6" t="str">
        <f>IF(D733&lt;&gt;"",VLOOKUP(H733,TABLEITEM,2,FALSE),"")</f>
        <v>MAT GL</v>
      </c>
      <c r="M733" s="6" t="str">
        <f>IF(D733&lt;&gt;"",VLOOKUP(H733,TABLEITEM,3,FALSE),"")</f>
        <v>กระจก212x312T5.0</v>
      </c>
      <c r="N733" s="7">
        <f>INSTOCK!$I733*INSTOCK!$K733</f>
        <v>45</v>
      </c>
      <c r="O733" s="2"/>
      <c r="P733" s="2"/>
    </row>
    <row r="734" ht="18.0" hidden="1" customHeight="1">
      <c r="A734" s="1"/>
      <c r="B734" s="3">
        <v>733.0</v>
      </c>
      <c r="C734" s="4">
        <v>43339.0</v>
      </c>
      <c r="D734" s="2" t="s">
        <v>747</v>
      </c>
      <c r="E734" s="2">
        <v>6.107000851E9</v>
      </c>
      <c r="F734" s="3"/>
      <c r="G734" s="2" t="s">
        <v>733</v>
      </c>
      <c r="H734" s="2" t="s">
        <v>866</v>
      </c>
      <c r="I734" s="3">
        <v>4.0</v>
      </c>
      <c r="J734" s="3"/>
      <c r="K734" s="5">
        <v>45.0</v>
      </c>
      <c r="L734" s="6" t="str">
        <f>IF(D734&lt;&gt;"",VLOOKUP(H734,TABLEITEM,2,FALSE),"")</f>
        <v>MAT GL</v>
      </c>
      <c r="M734" s="6" t="str">
        <f>IF(D734&lt;&gt;"",VLOOKUP(H734,TABLEITEM,3,FALSE),"")</f>
        <v>กระจก212x342T5.0</v>
      </c>
      <c r="N734" s="7">
        <f>INSTOCK!$I734*INSTOCK!$K734</f>
        <v>180</v>
      </c>
      <c r="O734" s="2"/>
      <c r="P734" s="2"/>
    </row>
    <row r="735" ht="18.0" hidden="1" customHeight="1">
      <c r="A735" s="1"/>
      <c r="B735" s="3">
        <v>734.0</v>
      </c>
      <c r="C735" s="4">
        <v>43340.0</v>
      </c>
      <c r="D735" s="2" t="s">
        <v>749</v>
      </c>
      <c r="E735" s="2">
        <v>6.108001005E9</v>
      </c>
      <c r="F735" s="3"/>
      <c r="G735" s="2" t="s">
        <v>733</v>
      </c>
      <c r="H735" s="2" t="s">
        <v>867</v>
      </c>
      <c r="I735" s="3">
        <v>1.0</v>
      </c>
      <c r="J735" s="3"/>
      <c r="K735" s="5">
        <v>60.0</v>
      </c>
      <c r="L735" s="6" t="str">
        <f>IF(D735&lt;&gt;"",VLOOKUP(H735,TABLEITEM,2,FALSE),"")</f>
        <v>MAT GL</v>
      </c>
      <c r="M735" s="6" t="str">
        <f>IF(D735&lt;&gt;"",VLOOKUP(H735,TABLEITEM,3,FALSE),"")</f>
        <v>กระจก252X497T5.0</v>
      </c>
      <c r="N735" s="7">
        <f>INSTOCK!$I735*INSTOCK!$K735</f>
        <v>60</v>
      </c>
      <c r="O735" s="2"/>
      <c r="P735" s="2"/>
    </row>
    <row r="736" ht="18.0" hidden="1" customHeight="1">
      <c r="A736" s="1"/>
      <c r="B736" s="3">
        <v>735.0</v>
      </c>
      <c r="C736" s="4">
        <v>43356.0</v>
      </c>
      <c r="D736" s="2" t="s">
        <v>868</v>
      </c>
      <c r="E736" s="2">
        <v>6.109001174E9</v>
      </c>
      <c r="F736" s="3" t="s">
        <v>869</v>
      </c>
      <c r="G736" s="2" t="s">
        <v>733</v>
      </c>
      <c r="H736" s="2" t="s">
        <v>870</v>
      </c>
      <c r="I736" s="3">
        <v>1.0</v>
      </c>
      <c r="J736" s="3"/>
      <c r="K736" s="5">
        <v>45.0</v>
      </c>
      <c r="L736" s="6" t="str">
        <f>IF(D736&lt;&gt;"",VLOOKUP(H736,TABLEITEM,2,FALSE),"")</f>
        <v>MAT GL</v>
      </c>
      <c r="M736" s="6" t="str">
        <f>IF(D736&lt;&gt;"",VLOOKUP(H736,TABLEITEM,3,FALSE),"")</f>
        <v>กระจก262X312T5.0</v>
      </c>
      <c r="N736" s="7">
        <f>INSTOCK!$I736*INSTOCK!$K736</f>
        <v>45</v>
      </c>
      <c r="O736" s="2" t="s">
        <v>739</v>
      </c>
      <c r="P736" s="2"/>
    </row>
    <row r="737" ht="18.0" hidden="1" customHeight="1">
      <c r="A737" s="1"/>
      <c r="B737" s="3">
        <v>736.0</v>
      </c>
      <c r="C737" s="4">
        <v>43339.0</v>
      </c>
      <c r="D737" s="2" t="s">
        <v>747</v>
      </c>
      <c r="E737" s="2">
        <v>6.107000851E9</v>
      </c>
      <c r="F737" s="3"/>
      <c r="G737" s="2" t="s">
        <v>733</v>
      </c>
      <c r="H737" s="2" t="s">
        <v>871</v>
      </c>
      <c r="I737" s="3">
        <v>2.0</v>
      </c>
      <c r="J737" s="3"/>
      <c r="K737" s="5">
        <v>50.0</v>
      </c>
      <c r="L737" s="6" t="str">
        <f>IF(D737&lt;&gt;"",VLOOKUP(H737,TABLEITEM,2,FALSE),"")</f>
        <v>MAT GL</v>
      </c>
      <c r="M737" s="6" t="str">
        <f>IF(D737&lt;&gt;"",VLOOKUP(H737,TABLEITEM,3,FALSE),"")</f>
        <v>กระจก262x382T5.0</v>
      </c>
      <c r="N737" s="7">
        <f>INSTOCK!$I737*INSTOCK!$K737</f>
        <v>100</v>
      </c>
      <c r="O737" s="2"/>
      <c r="P737" s="2"/>
    </row>
    <row r="738" ht="18.0" hidden="1" customHeight="1">
      <c r="A738" s="1"/>
      <c r="B738" s="3">
        <v>737.0</v>
      </c>
      <c r="C738" s="4">
        <v>43340.0</v>
      </c>
      <c r="D738" s="2" t="s">
        <v>732</v>
      </c>
      <c r="E738" s="2">
        <v>6.108001005E9</v>
      </c>
      <c r="F738" s="3"/>
      <c r="G738" s="2" t="s">
        <v>733</v>
      </c>
      <c r="H738" s="2" t="s">
        <v>872</v>
      </c>
      <c r="I738" s="3">
        <v>3.0</v>
      </c>
      <c r="J738" s="3"/>
      <c r="K738" s="5">
        <v>45.0</v>
      </c>
      <c r="L738" s="6" t="str">
        <f>IF(D738&lt;&gt;"",VLOOKUP(H738,TABLEITEM,2,FALSE),"")</f>
        <v>MAT GL</v>
      </c>
      <c r="M738" s="6" t="str">
        <f>IF(D738&lt;&gt;"",VLOOKUP(H738,TABLEITEM,3,FALSE),"")</f>
        <v>กระจก262x412T5.0</v>
      </c>
      <c r="N738" s="7">
        <f>INSTOCK!$I738*INSTOCK!$K738</f>
        <v>135</v>
      </c>
      <c r="O738" s="2"/>
      <c r="P738" s="2"/>
    </row>
    <row r="739" ht="18.0" hidden="1" customHeight="1">
      <c r="A739" s="1"/>
      <c r="B739" s="3">
        <v>738.0</v>
      </c>
      <c r="C739" s="4">
        <v>43343.0</v>
      </c>
      <c r="D739" s="2" t="s">
        <v>873</v>
      </c>
      <c r="E739" s="2">
        <v>6.109001068E9</v>
      </c>
      <c r="F739" s="3" t="s">
        <v>874</v>
      </c>
      <c r="G739" s="2" t="s">
        <v>733</v>
      </c>
      <c r="H739" s="2" t="s">
        <v>872</v>
      </c>
      <c r="I739" s="3">
        <v>4.0</v>
      </c>
      <c r="J739" s="3"/>
      <c r="K739" s="5">
        <v>45.0</v>
      </c>
      <c r="L739" s="6" t="str">
        <f>IF(D739&lt;&gt;"",VLOOKUP(H739,TABLEITEM,2,FALSE),"")</f>
        <v>MAT GL</v>
      </c>
      <c r="M739" s="6" t="str">
        <f>IF(D739&lt;&gt;"",VLOOKUP(H739,TABLEITEM,3,FALSE),"")</f>
        <v>กระจก262x412T5.0</v>
      </c>
      <c r="N739" s="7">
        <f>INSTOCK!$I739*INSTOCK!$K739</f>
        <v>180</v>
      </c>
      <c r="O739" s="2" t="s">
        <v>739</v>
      </c>
      <c r="P739" s="2"/>
    </row>
    <row r="740" ht="18.0" hidden="1" customHeight="1">
      <c r="A740" s="1"/>
      <c r="B740" s="3">
        <v>739.0</v>
      </c>
      <c r="C740" s="4">
        <v>43340.0</v>
      </c>
      <c r="D740" s="2" t="s">
        <v>749</v>
      </c>
      <c r="E740" s="2">
        <v>6.108000944E9</v>
      </c>
      <c r="F740" s="3"/>
      <c r="G740" s="2" t="s">
        <v>733</v>
      </c>
      <c r="H740" s="2" t="s">
        <v>875</v>
      </c>
      <c r="I740" s="3">
        <v>1.0</v>
      </c>
      <c r="J740" s="3"/>
      <c r="K740" s="5">
        <v>50.0</v>
      </c>
      <c r="L740" s="6" t="str">
        <f>IF(D740&lt;&gt;"",VLOOKUP(H740,TABLEITEM,2,FALSE),"")</f>
        <v>MAT GL</v>
      </c>
      <c r="M740" s="6" t="str">
        <f>IF(D740&lt;&gt;"",VLOOKUP(H740,TABLEITEM,3,FALSE),"")</f>
        <v>กระจก262x512T5.0</v>
      </c>
      <c r="N740" s="7">
        <f>INSTOCK!$I740*INSTOCK!$K740</f>
        <v>50</v>
      </c>
      <c r="O740" s="2"/>
      <c r="P740" s="2"/>
    </row>
    <row r="741" ht="18.0" hidden="1" customHeight="1">
      <c r="A741" s="1"/>
      <c r="B741" s="3">
        <v>740.0</v>
      </c>
      <c r="C741" s="4">
        <v>43276.0</v>
      </c>
      <c r="D741" s="2" t="s">
        <v>784</v>
      </c>
      <c r="E741" s="2">
        <v>6.106000776E9</v>
      </c>
      <c r="F741" s="3"/>
      <c r="G741" s="2" t="s">
        <v>733</v>
      </c>
      <c r="H741" s="2" t="s">
        <v>876</v>
      </c>
      <c r="I741" s="3">
        <v>2.0</v>
      </c>
      <c r="J741" s="3"/>
      <c r="K741" s="5">
        <v>60.0</v>
      </c>
      <c r="L741" s="6" t="str">
        <f>IF(D741&lt;&gt;"",VLOOKUP(H741,TABLEITEM,2,FALSE),"")</f>
        <v>MAT GL</v>
      </c>
      <c r="M741" s="6" t="str">
        <f>IF(D741&lt;&gt;"",VLOOKUP(H741,TABLEITEM,3,FALSE),"")</f>
        <v>กระจก292x502T5.0</v>
      </c>
      <c r="N741" s="7">
        <f>INSTOCK!$I741*INSTOCK!$K741</f>
        <v>120</v>
      </c>
      <c r="O741" s="2"/>
      <c r="P741" s="2"/>
    </row>
    <row r="742" ht="18.0" hidden="1" customHeight="1">
      <c r="A742" s="1"/>
      <c r="B742" s="3">
        <v>741.0</v>
      </c>
      <c r="C742" s="4">
        <v>43276.0</v>
      </c>
      <c r="D742" s="2" t="s">
        <v>784</v>
      </c>
      <c r="E742" s="2">
        <v>6.106000776E9</v>
      </c>
      <c r="F742" s="3"/>
      <c r="G742" s="2" t="s">
        <v>733</v>
      </c>
      <c r="H742" s="2" t="s">
        <v>877</v>
      </c>
      <c r="I742" s="3">
        <v>4.0</v>
      </c>
      <c r="J742" s="3"/>
      <c r="K742" s="5">
        <v>60.0</v>
      </c>
      <c r="L742" s="6" t="str">
        <f>IF(D742&lt;&gt;"",VLOOKUP(H742,TABLEITEM,2,FALSE),"")</f>
        <v>MAT GL</v>
      </c>
      <c r="M742" s="6" t="str">
        <f>IF(D742&lt;&gt;"",VLOOKUP(H742,TABLEITEM,3,FALSE),"")</f>
        <v>กระจก292x572T5.0</v>
      </c>
      <c r="N742" s="7">
        <f>INSTOCK!$I742*INSTOCK!$K742</f>
        <v>240</v>
      </c>
      <c r="O742" s="2"/>
      <c r="P742" s="2"/>
    </row>
    <row r="743" ht="18.0" hidden="1" customHeight="1">
      <c r="A743" s="1"/>
      <c r="B743" s="3">
        <v>742.0</v>
      </c>
      <c r="C743" s="4">
        <v>43276.0</v>
      </c>
      <c r="D743" s="2" t="s">
        <v>817</v>
      </c>
      <c r="E743" s="2">
        <v>6.106000716E9</v>
      </c>
      <c r="F743" s="3"/>
      <c r="G743" s="2" t="s">
        <v>733</v>
      </c>
      <c r="H743" s="2" t="s">
        <v>878</v>
      </c>
      <c r="I743" s="3">
        <v>1.0</v>
      </c>
      <c r="J743" s="3"/>
      <c r="K743" s="5">
        <v>65.0</v>
      </c>
      <c r="L743" s="6" t="str">
        <f>IF(D743&lt;&gt;"",VLOOKUP(H743,TABLEITEM,2,FALSE),"")</f>
        <v>MAT GL</v>
      </c>
      <c r="M743" s="6" t="str">
        <f>IF(D743&lt;&gt;"",VLOOKUP(H743,TABLEITEM,3,FALSE),"")</f>
        <v>กระจก292x632T5.0</v>
      </c>
      <c r="N743" s="7">
        <f>INSTOCK!$I743*INSTOCK!$K743</f>
        <v>65</v>
      </c>
      <c r="O743" s="2"/>
      <c r="P743" s="2"/>
    </row>
    <row r="744" ht="18.0" hidden="1" customHeight="1">
      <c r="A744" s="1"/>
      <c r="B744" s="3">
        <v>743.0</v>
      </c>
      <c r="C744" s="4">
        <v>43357.0</v>
      </c>
      <c r="D744" s="2" t="s">
        <v>879</v>
      </c>
      <c r="E744" s="2">
        <v>6.109001174E9</v>
      </c>
      <c r="F744" s="3" t="s">
        <v>880</v>
      </c>
      <c r="G744" s="2" t="s">
        <v>733</v>
      </c>
      <c r="H744" s="2" t="s">
        <v>881</v>
      </c>
      <c r="I744" s="3">
        <v>1.0</v>
      </c>
      <c r="J744" s="3"/>
      <c r="K744" s="5">
        <v>68.0</v>
      </c>
      <c r="L744" s="6" t="str">
        <f>IF(D744&lt;&gt;"",VLOOKUP(H744,TABLEITEM,2,FALSE),"")</f>
        <v>MAT GL</v>
      </c>
      <c r="M744" s="6" t="str">
        <f>IF(D744&lt;&gt;"",VLOOKUP(H744,TABLEITEM,3,FALSE),"")</f>
        <v>กระจก308X408T5.0</v>
      </c>
      <c r="N744" s="7">
        <f>INSTOCK!$I744*INSTOCK!$K744</f>
        <v>68</v>
      </c>
      <c r="O744" s="2" t="s">
        <v>739</v>
      </c>
      <c r="P744" s="2"/>
    </row>
    <row r="745" ht="18.0" hidden="1" customHeight="1">
      <c r="A745" s="1"/>
      <c r="B745" s="3">
        <v>744.0</v>
      </c>
      <c r="C745" s="4">
        <v>43340.0</v>
      </c>
      <c r="D745" s="2" t="s">
        <v>749</v>
      </c>
      <c r="E745" s="2">
        <v>6.108000944E9</v>
      </c>
      <c r="F745" s="3"/>
      <c r="G745" s="2" t="s">
        <v>733</v>
      </c>
      <c r="H745" s="2" t="s">
        <v>882</v>
      </c>
      <c r="I745" s="3">
        <v>1.0</v>
      </c>
      <c r="J745" s="3"/>
      <c r="K745" s="5">
        <v>75.0</v>
      </c>
      <c r="L745" s="6" t="str">
        <f>IF(D745&lt;&gt;"",VLOOKUP(H745,TABLEITEM,2,FALSE),"")</f>
        <v>MAT GL</v>
      </c>
      <c r="M745" s="6" t="str">
        <f>IF(D745&lt;&gt;"",VLOOKUP(H745,TABLEITEM,3,FALSE),"")</f>
        <v>กระจก308x508T5.0</v>
      </c>
      <c r="N745" s="7">
        <f>INSTOCK!$I745*INSTOCK!$K745</f>
        <v>75</v>
      </c>
      <c r="O745" s="2"/>
      <c r="P745" s="2"/>
    </row>
    <row r="746" ht="18.0" hidden="1" customHeight="1">
      <c r="A746" s="1"/>
      <c r="B746" s="3">
        <v>745.0</v>
      </c>
      <c r="C746" s="4">
        <v>43382.0</v>
      </c>
      <c r="D746" s="2" t="s">
        <v>883</v>
      </c>
      <c r="E746" s="2">
        <v>6.110001276E9</v>
      </c>
      <c r="F746" s="3" t="s">
        <v>884</v>
      </c>
      <c r="G746" s="2" t="s">
        <v>733</v>
      </c>
      <c r="H746" s="2" t="s">
        <v>885</v>
      </c>
      <c r="I746" s="3">
        <v>1.0</v>
      </c>
      <c r="J746" s="3"/>
      <c r="K746" s="5">
        <v>68.0</v>
      </c>
      <c r="L746" s="6" t="str">
        <f>IF(D746&lt;&gt;"",VLOOKUP(H746,TABLEITEM,2,FALSE),"")</f>
        <v>MAT GL</v>
      </c>
      <c r="M746" s="6" t="str">
        <f>IF(D746&lt;&gt;"",VLOOKUP(H746,TABLEITEM,3,FALSE),"")</f>
        <v>กระจก312x362T5.0</v>
      </c>
      <c r="N746" s="7">
        <f>INSTOCK!$I746*INSTOCK!$K746</f>
        <v>68</v>
      </c>
      <c r="O746" s="2" t="s">
        <v>700</v>
      </c>
      <c r="P746" s="2"/>
    </row>
    <row r="747" ht="18.0" hidden="1" customHeight="1">
      <c r="A747" s="1"/>
      <c r="B747" s="3">
        <v>746.0</v>
      </c>
      <c r="C747" s="4">
        <v>43369.0</v>
      </c>
      <c r="D747" s="2" t="s">
        <v>886</v>
      </c>
      <c r="E747" s="2">
        <v>6.109001219E9</v>
      </c>
      <c r="F747" s="3" t="s">
        <v>887</v>
      </c>
      <c r="G747" s="2" t="s">
        <v>733</v>
      </c>
      <c r="H747" s="2" t="s">
        <v>888</v>
      </c>
      <c r="I747" s="3">
        <v>1.0</v>
      </c>
      <c r="J747" s="3"/>
      <c r="K747" s="5">
        <v>90.0</v>
      </c>
      <c r="L747" s="6" t="str">
        <f>IF(D747&lt;&gt;"",VLOOKUP(H747,TABLEITEM,2,FALSE),"")</f>
        <v>MAT GL</v>
      </c>
      <c r="M747" s="6" t="str">
        <f>IF(D747&lt;&gt;"",VLOOKUP(H747,TABLEITEM,3,FALSE),"")</f>
        <v>กระจก312x512T5.0</v>
      </c>
      <c r="N747" s="7">
        <f>INSTOCK!$I747*INSTOCK!$K747</f>
        <v>90</v>
      </c>
      <c r="O747" s="2" t="s">
        <v>739</v>
      </c>
      <c r="P747" s="2"/>
    </row>
    <row r="748" ht="18.0" hidden="1" customHeight="1">
      <c r="A748" s="1"/>
      <c r="B748" s="3">
        <v>747.0</v>
      </c>
      <c r="C748" s="4">
        <v>43367.0</v>
      </c>
      <c r="D748" s="2" t="s">
        <v>889</v>
      </c>
      <c r="E748" s="2">
        <v>6.109001219E9</v>
      </c>
      <c r="F748" s="3" t="s">
        <v>754</v>
      </c>
      <c r="G748" s="2" t="s">
        <v>733</v>
      </c>
      <c r="H748" s="2" t="s">
        <v>888</v>
      </c>
      <c r="I748" s="3">
        <v>1.0</v>
      </c>
      <c r="J748" s="3"/>
      <c r="K748" s="5">
        <v>90.0</v>
      </c>
      <c r="L748" s="6" t="str">
        <f>IF(D748&lt;&gt;"",VLOOKUP(H748,TABLEITEM,2,FALSE),"")</f>
        <v>MAT GL</v>
      </c>
      <c r="M748" s="6" t="str">
        <f>IF(D748&lt;&gt;"",VLOOKUP(H748,TABLEITEM,3,FALSE),"")</f>
        <v>กระจก312x512T5.0</v>
      </c>
      <c r="N748" s="7">
        <f>INSTOCK!$I748*INSTOCK!$K748</f>
        <v>90</v>
      </c>
      <c r="O748" s="2" t="s">
        <v>739</v>
      </c>
      <c r="P748" s="2"/>
    </row>
    <row r="749" ht="18.0" hidden="1" customHeight="1">
      <c r="A749" s="1"/>
      <c r="B749" s="3">
        <v>748.0</v>
      </c>
      <c r="C749" s="4">
        <v>43374.0</v>
      </c>
      <c r="D749" s="2" t="s">
        <v>890</v>
      </c>
      <c r="E749" s="2">
        <v>6.110001246E9</v>
      </c>
      <c r="F749" s="3" t="s">
        <v>891</v>
      </c>
      <c r="G749" s="2" t="s">
        <v>733</v>
      </c>
      <c r="H749" s="2" t="s">
        <v>892</v>
      </c>
      <c r="I749" s="3">
        <v>1.0</v>
      </c>
      <c r="J749" s="3"/>
      <c r="K749" s="5">
        <v>90.0</v>
      </c>
      <c r="L749" s="6" t="str">
        <f>IF(D749&lt;&gt;"",VLOOKUP(H749,TABLEITEM,2,FALSE),"")</f>
        <v>MAT GL</v>
      </c>
      <c r="M749" s="6" t="str">
        <f>IF(D749&lt;&gt;"",VLOOKUP(H749,TABLEITEM,3,FALSE),"")</f>
        <v>กระจก322x472T5.0</v>
      </c>
      <c r="N749" s="7">
        <f>INSTOCK!$I749*INSTOCK!$K749</f>
        <v>90</v>
      </c>
      <c r="O749" s="2" t="s">
        <v>755</v>
      </c>
      <c r="P749" s="2"/>
    </row>
    <row r="750" ht="18.0" hidden="1" customHeight="1">
      <c r="A750" s="1"/>
      <c r="B750" s="3">
        <v>749.0</v>
      </c>
      <c r="C750" s="4">
        <v>43215.0</v>
      </c>
      <c r="D750" s="2" t="s">
        <v>799</v>
      </c>
      <c r="E750" s="2">
        <v>6.103000397E9</v>
      </c>
      <c r="F750" s="3"/>
      <c r="G750" s="2" t="s">
        <v>733</v>
      </c>
      <c r="H750" s="2" t="s">
        <v>893</v>
      </c>
      <c r="I750" s="3">
        <v>1.0</v>
      </c>
      <c r="J750" s="3"/>
      <c r="K750" s="5">
        <v>85.0</v>
      </c>
      <c r="L750" s="6" t="str">
        <f>IF(D750&lt;&gt;"",VLOOKUP(H750,TABLEITEM,2,FALSE),"")</f>
        <v>MAT GL</v>
      </c>
      <c r="M750" s="6" t="str">
        <f>IF(D750&lt;&gt;"",VLOOKUP(H750,TABLEITEM,3,FALSE),"")</f>
        <v>กระจก336x486T5.0</v>
      </c>
      <c r="N750" s="7">
        <f>INSTOCK!$I750*INSTOCK!$K750</f>
        <v>85</v>
      </c>
      <c r="O750" s="2"/>
      <c r="P750" s="2"/>
    </row>
    <row r="751" ht="18.0" hidden="1" customHeight="1">
      <c r="A751" s="1"/>
      <c r="B751" s="3">
        <v>750.0</v>
      </c>
      <c r="C751" s="4">
        <v>43340.0</v>
      </c>
      <c r="D751" s="2" t="s">
        <v>749</v>
      </c>
      <c r="E751" s="2">
        <v>6.10700089E9</v>
      </c>
      <c r="F751" s="3"/>
      <c r="G751" s="2" t="s">
        <v>733</v>
      </c>
      <c r="H751" s="2" t="s">
        <v>894</v>
      </c>
      <c r="I751" s="3">
        <v>1.0</v>
      </c>
      <c r="J751" s="3"/>
      <c r="K751" s="5">
        <v>115.0</v>
      </c>
      <c r="L751" s="6" t="str">
        <f>IF(D751&lt;&gt;"",VLOOKUP(H751,TABLEITEM,2,FALSE),"")</f>
        <v>MAT GL</v>
      </c>
      <c r="M751" s="6" t="str">
        <f>IF(D751&lt;&gt;"",VLOOKUP(H751,TABLEITEM,3,FALSE),"")</f>
        <v>กระจก337x747T5.0</v>
      </c>
      <c r="N751" s="7">
        <f>INSTOCK!$I751*INSTOCK!$K751</f>
        <v>115</v>
      </c>
      <c r="O751" s="2"/>
      <c r="P751" s="2"/>
    </row>
    <row r="752" ht="18.0" hidden="1" customHeight="1">
      <c r="A752" s="1"/>
      <c r="B752" s="3">
        <v>751.0</v>
      </c>
      <c r="C752" s="4">
        <v>43339.0</v>
      </c>
      <c r="D752" s="2" t="s">
        <v>747</v>
      </c>
      <c r="E752" s="2">
        <v>6.107000882E9</v>
      </c>
      <c r="F752" s="3"/>
      <c r="G752" s="2" t="s">
        <v>733</v>
      </c>
      <c r="H752" s="2" t="s">
        <v>895</v>
      </c>
      <c r="I752" s="3">
        <v>1.0</v>
      </c>
      <c r="J752" s="3"/>
      <c r="K752" s="5">
        <v>90.0</v>
      </c>
      <c r="L752" s="6" t="str">
        <f>IF(D752&lt;&gt;"",VLOOKUP(H752,TABLEITEM,2,FALSE),"")</f>
        <v>MAT GL</v>
      </c>
      <c r="M752" s="6" t="str">
        <f>IF(D752&lt;&gt;"",VLOOKUP(H752,TABLEITEM,3,FALSE),"")</f>
        <v>กระจก338x608T5.0</v>
      </c>
      <c r="N752" s="7">
        <f>INSTOCK!$I752*INSTOCK!$K752</f>
        <v>90</v>
      </c>
      <c r="O752" s="2"/>
      <c r="P752" s="2"/>
    </row>
    <row r="753" ht="18.0" hidden="1" customHeight="1">
      <c r="A753" s="1"/>
      <c r="B753" s="3">
        <v>752.0</v>
      </c>
      <c r="C753" s="4">
        <v>43341.0</v>
      </c>
      <c r="D753" s="2" t="s">
        <v>896</v>
      </c>
      <c r="E753" s="2">
        <v>6.109001068E9</v>
      </c>
      <c r="F753" s="3" t="s">
        <v>897</v>
      </c>
      <c r="G753" s="2" t="s">
        <v>733</v>
      </c>
      <c r="H753" s="2" t="s">
        <v>898</v>
      </c>
      <c r="I753" s="3">
        <v>1.0</v>
      </c>
      <c r="J753" s="3"/>
      <c r="K753" s="5">
        <v>158.0</v>
      </c>
      <c r="L753" s="6" t="str">
        <f>IF(D753&lt;&gt;"",VLOOKUP(H753,TABLEITEM,2,FALSE),"")</f>
        <v>MAT GL</v>
      </c>
      <c r="M753" s="6" t="str">
        <f>IF(D753&lt;&gt;"",VLOOKUP(H753,TABLEITEM,3,FALSE),"")</f>
        <v>กระจก342X1062T5.0</v>
      </c>
      <c r="N753" s="7">
        <f>INSTOCK!$I753*INSTOCK!$K753</f>
        <v>158</v>
      </c>
      <c r="O753" s="2" t="s">
        <v>739</v>
      </c>
      <c r="P753" s="2"/>
    </row>
    <row r="754" ht="18.0" hidden="1" customHeight="1">
      <c r="A754" s="1"/>
      <c r="B754" s="3">
        <v>753.0</v>
      </c>
      <c r="C754" s="4">
        <v>43340.0</v>
      </c>
      <c r="D754" s="2" t="s">
        <v>899</v>
      </c>
      <c r="E754" s="2">
        <v>6.109001068E9</v>
      </c>
      <c r="F754" s="3" t="s">
        <v>897</v>
      </c>
      <c r="G754" s="2" t="s">
        <v>733</v>
      </c>
      <c r="H754" s="2" t="s">
        <v>898</v>
      </c>
      <c r="I754" s="3">
        <v>1.0</v>
      </c>
      <c r="J754" s="3"/>
      <c r="K754" s="5">
        <v>158.0</v>
      </c>
      <c r="L754" s="6" t="str">
        <f>IF(D754&lt;&gt;"",VLOOKUP(H754,TABLEITEM,2,FALSE),"")</f>
        <v>MAT GL</v>
      </c>
      <c r="M754" s="6" t="str">
        <f>IF(D754&lt;&gt;"",VLOOKUP(H754,TABLEITEM,3,FALSE),"")</f>
        <v>กระจก342X1062T5.0</v>
      </c>
      <c r="N754" s="7">
        <f>INSTOCK!$I754*INSTOCK!$K754</f>
        <v>158</v>
      </c>
      <c r="O754" s="2" t="s">
        <v>739</v>
      </c>
      <c r="P754" s="2"/>
    </row>
    <row r="755" ht="18.0" hidden="1" customHeight="1">
      <c r="A755" s="1"/>
      <c r="B755" s="3">
        <v>754.0</v>
      </c>
      <c r="C755" s="4">
        <v>43276.0</v>
      </c>
      <c r="D755" s="2" t="s">
        <v>735</v>
      </c>
      <c r="E755" s="2">
        <v>6.105000696E9</v>
      </c>
      <c r="F755" s="3"/>
      <c r="G755" s="2" t="s">
        <v>733</v>
      </c>
      <c r="H755" s="2" t="s">
        <v>900</v>
      </c>
      <c r="I755" s="3">
        <v>3.0</v>
      </c>
      <c r="J755" s="3"/>
      <c r="K755" s="5">
        <v>240.0</v>
      </c>
      <c r="L755" s="6" t="str">
        <f>IF(D755&lt;&gt;"",VLOOKUP(H755,TABLEITEM,2,FALSE),"")</f>
        <v>MAT GL</v>
      </c>
      <c r="M755" s="6" t="str">
        <f>IF(D755&lt;&gt;"",VLOOKUP(H755,TABLEITEM,3,FALSE),"")</f>
        <v>กระจก342X1612T5.0</v>
      </c>
      <c r="N755" s="7">
        <f>INSTOCK!$I755*INSTOCK!$K755</f>
        <v>720</v>
      </c>
      <c r="O755" s="2"/>
      <c r="P755" s="2"/>
    </row>
    <row r="756" ht="18.0" hidden="1" customHeight="1">
      <c r="A756" s="1"/>
      <c r="B756" s="3">
        <v>755.0</v>
      </c>
      <c r="C756" s="4">
        <v>43276.0</v>
      </c>
      <c r="D756" s="2" t="s">
        <v>817</v>
      </c>
      <c r="E756" s="2">
        <v>6.106000757E9</v>
      </c>
      <c r="F756" s="3"/>
      <c r="G756" s="2" t="s">
        <v>733</v>
      </c>
      <c r="H756" s="2" t="s">
        <v>901</v>
      </c>
      <c r="I756" s="3">
        <v>2.0</v>
      </c>
      <c r="J756" s="3"/>
      <c r="K756" s="5">
        <v>100.0</v>
      </c>
      <c r="L756" s="6" t="str">
        <f>IF(D756&lt;&gt;"",VLOOKUP(H756,TABLEITEM,2,FALSE),"")</f>
        <v>MAT GL</v>
      </c>
      <c r="M756" s="6" t="str">
        <f>IF(D756&lt;&gt;"",VLOOKUP(H756,TABLEITEM,3,FALSE),"")</f>
        <v>กระจก362x612T5.0</v>
      </c>
      <c r="N756" s="7">
        <f>INSTOCK!$I756*INSTOCK!$K756</f>
        <v>200</v>
      </c>
      <c r="O756" s="2"/>
      <c r="P756" s="2"/>
    </row>
    <row r="757" ht="18.0" hidden="1" customHeight="1">
      <c r="A757" s="1"/>
      <c r="B757" s="3">
        <v>756.0</v>
      </c>
      <c r="C757" s="4">
        <v>43340.0</v>
      </c>
      <c r="D757" s="2" t="s">
        <v>732</v>
      </c>
      <c r="E757" s="2">
        <v>6.109001066E9</v>
      </c>
      <c r="F757" s="3"/>
      <c r="G757" s="2" t="s">
        <v>733</v>
      </c>
      <c r="H757" s="2" t="s">
        <v>902</v>
      </c>
      <c r="I757" s="3">
        <v>1.0</v>
      </c>
      <c r="J757" s="3"/>
      <c r="K757" s="5">
        <v>120.0</v>
      </c>
      <c r="L757" s="6" t="str">
        <f>IF(D757&lt;&gt;"",VLOOKUP(H757,TABLEITEM,2,FALSE),"")</f>
        <v>MAT GL</v>
      </c>
      <c r="M757" s="6" t="str">
        <f>IF(D757&lt;&gt;"",VLOOKUP(H757,TABLEITEM,3,FALSE),"")</f>
        <v>กระจก362X662T5.0</v>
      </c>
      <c r="N757" s="7">
        <f>INSTOCK!$I757*INSTOCK!$K757</f>
        <v>120</v>
      </c>
      <c r="O757" s="2"/>
      <c r="P757" s="2"/>
    </row>
    <row r="758" ht="18.0" hidden="1" customHeight="1">
      <c r="A758" s="1"/>
      <c r="B758" s="3">
        <v>757.0</v>
      </c>
      <c r="C758" s="4">
        <v>43340.0</v>
      </c>
      <c r="D758" s="2" t="s">
        <v>749</v>
      </c>
      <c r="E758" s="2">
        <v>6.108000968E9</v>
      </c>
      <c r="F758" s="3"/>
      <c r="G758" s="2" t="s">
        <v>733</v>
      </c>
      <c r="H758" s="2" t="s">
        <v>902</v>
      </c>
      <c r="I758" s="3">
        <v>1.0</v>
      </c>
      <c r="J758" s="3"/>
      <c r="K758" s="5">
        <v>115.0</v>
      </c>
      <c r="L758" s="6" t="str">
        <f>IF(D758&lt;&gt;"",VLOOKUP(H758,TABLEITEM,2,FALSE),"")</f>
        <v>MAT GL</v>
      </c>
      <c r="M758" s="6" t="str">
        <f>IF(D758&lt;&gt;"",VLOOKUP(H758,TABLEITEM,3,FALSE),"")</f>
        <v>กระจก362X662T5.0</v>
      </c>
      <c r="N758" s="7">
        <f>INSTOCK!$I758*INSTOCK!$K758</f>
        <v>115</v>
      </c>
      <c r="O758" s="2"/>
      <c r="P758" s="2"/>
    </row>
    <row r="759" ht="18.0" hidden="1" customHeight="1">
      <c r="A759" s="1"/>
      <c r="B759" s="3">
        <v>758.0</v>
      </c>
      <c r="C759" s="4">
        <v>43276.0</v>
      </c>
      <c r="D759" s="2" t="s">
        <v>817</v>
      </c>
      <c r="E759" s="2">
        <v>6.106000757E9</v>
      </c>
      <c r="F759" s="3"/>
      <c r="G759" s="2" t="s">
        <v>733</v>
      </c>
      <c r="H759" s="2" t="s">
        <v>903</v>
      </c>
      <c r="I759" s="3">
        <v>1.0</v>
      </c>
      <c r="J759" s="3"/>
      <c r="K759" s="5">
        <v>100.0</v>
      </c>
      <c r="L759" s="6" t="str">
        <f>IF(D759&lt;&gt;"",VLOOKUP(H759,TABLEITEM,2,FALSE),"")</f>
        <v>MAT GL</v>
      </c>
      <c r="M759" s="6" t="str">
        <f>IF(D759&lt;&gt;"",VLOOKUP(H759,TABLEITEM,3,FALSE),"")</f>
        <v>กระจก362x812T5.0</v>
      </c>
      <c r="N759" s="7">
        <f>INSTOCK!$I759*INSTOCK!$K759</f>
        <v>100</v>
      </c>
      <c r="O759" s="2"/>
      <c r="P759" s="2"/>
    </row>
    <row r="760" ht="18.0" hidden="1" customHeight="1">
      <c r="A760" s="1"/>
      <c r="B760" s="3">
        <v>759.0</v>
      </c>
      <c r="C760" s="4">
        <v>43155.0</v>
      </c>
      <c r="D760" s="2" t="s">
        <v>792</v>
      </c>
      <c r="E760" s="2">
        <v>6.101000049E9</v>
      </c>
      <c r="F760" s="3"/>
      <c r="G760" s="2" t="s">
        <v>733</v>
      </c>
      <c r="H760" s="2" t="s">
        <v>904</v>
      </c>
      <c r="I760" s="3">
        <v>2.0</v>
      </c>
      <c r="J760" s="3"/>
      <c r="K760" s="5">
        <v>180.0</v>
      </c>
      <c r="L760" s="6" t="str">
        <f>IF(D760&lt;&gt;"",VLOOKUP(H760,TABLEITEM,2,FALSE),"")</f>
        <v>MAT GL</v>
      </c>
      <c r="M760" s="6" t="str">
        <f>IF(D760&lt;&gt;"",VLOOKUP(H760,TABLEITEM,3,FALSE),"")</f>
        <v>กระจก388X1008T5.0</v>
      </c>
      <c r="N760" s="7">
        <f>INSTOCK!$I760*INSTOCK!$K760</f>
        <v>360</v>
      </c>
      <c r="O760" s="2"/>
      <c r="P760" s="2"/>
    </row>
    <row r="761" ht="18.0" hidden="1" customHeight="1">
      <c r="A761" s="1"/>
      <c r="B761" s="3">
        <v>760.0</v>
      </c>
      <c r="C761" s="4">
        <v>43340.0</v>
      </c>
      <c r="D761" s="2" t="s">
        <v>732</v>
      </c>
      <c r="E761" s="2">
        <v>6.108001005E9</v>
      </c>
      <c r="F761" s="3"/>
      <c r="G761" s="2" t="s">
        <v>733</v>
      </c>
      <c r="H761" s="2" t="s">
        <v>905</v>
      </c>
      <c r="I761" s="3">
        <v>1.0</v>
      </c>
      <c r="J761" s="3"/>
      <c r="K761" s="5">
        <v>90.0</v>
      </c>
      <c r="L761" s="6" t="str">
        <f>IF(D761&lt;&gt;"",VLOOKUP(H761,TABLEITEM,2,FALSE),"")</f>
        <v>MAT GL</v>
      </c>
      <c r="M761" s="6" t="str">
        <f>IF(D761&lt;&gt;"",VLOOKUP(H761,TABLEITEM,3,FALSE),"")</f>
        <v>กระจก408X478T5.0</v>
      </c>
      <c r="N761" s="7">
        <f>INSTOCK!$I761*INSTOCK!$K761</f>
        <v>90</v>
      </c>
      <c r="O761" s="2"/>
      <c r="P761" s="2"/>
    </row>
    <row r="762" ht="18.0" hidden="1" customHeight="1">
      <c r="A762" s="1"/>
      <c r="B762" s="3">
        <v>761.0</v>
      </c>
      <c r="C762" s="4">
        <v>43381.0</v>
      </c>
      <c r="D762" s="2" t="s">
        <v>906</v>
      </c>
      <c r="E762" s="2">
        <v>6.110001276E9</v>
      </c>
      <c r="F762" s="3" t="s">
        <v>907</v>
      </c>
      <c r="G762" s="2" t="s">
        <v>733</v>
      </c>
      <c r="H762" s="2" t="s">
        <v>908</v>
      </c>
      <c r="I762" s="3">
        <v>1.0</v>
      </c>
      <c r="J762" s="3"/>
      <c r="K762" s="5">
        <v>90.0</v>
      </c>
      <c r="L762" s="6" t="str">
        <f>IF(D762&lt;&gt;"",VLOOKUP(H762,TABLEITEM,2,FALSE),"")</f>
        <v>MAT GL</v>
      </c>
      <c r="M762" s="6" t="str">
        <f>IF(D762&lt;&gt;"",VLOOKUP(H762,TABLEITEM,3,FALSE),"")</f>
        <v>กระจก412x482T5.0</v>
      </c>
      <c r="N762" s="7">
        <f>INSTOCK!$I762*INSTOCK!$K762</f>
        <v>90</v>
      </c>
      <c r="O762" s="2"/>
      <c r="P762" s="2"/>
    </row>
    <row r="763" ht="18.0" hidden="1" customHeight="1">
      <c r="A763" s="1"/>
      <c r="B763" s="3">
        <v>762.0</v>
      </c>
      <c r="C763" s="4">
        <v>43276.0</v>
      </c>
      <c r="D763" s="2" t="s">
        <v>817</v>
      </c>
      <c r="E763" s="2">
        <v>6.106000716E9</v>
      </c>
      <c r="F763" s="3"/>
      <c r="G763" s="2" t="s">
        <v>733</v>
      </c>
      <c r="H763" s="2" t="s">
        <v>909</v>
      </c>
      <c r="I763" s="3">
        <v>1.0</v>
      </c>
      <c r="J763" s="3"/>
      <c r="K763" s="5">
        <v>115.0</v>
      </c>
      <c r="L763" s="6" t="str">
        <f>IF(D763&lt;&gt;"",VLOOKUP(H763,TABLEITEM,2,FALSE),"")</f>
        <v>MAT GL</v>
      </c>
      <c r="M763" s="6" t="str">
        <f>IF(D763&lt;&gt;"",VLOOKUP(H763,TABLEITEM,3,FALSE),"")</f>
        <v>กระจก412x612T5.0</v>
      </c>
      <c r="N763" s="7">
        <f>INSTOCK!$I763*INSTOCK!$K763</f>
        <v>115</v>
      </c>
      <c r="O763" s="2"/>
      <c r="P763" s="2"/>
    </row>
    <row r="764" ht="18.0" hidden="1" customHeight="1">
      <c r="A764" s="1"/>
      <c r="B764" s="3">
        <v>763.0</v>
      </c>
      <c r="C764" s="4">
        <v>43276.0</v>
      </c>
      <c r="D764" s="2" t="s">
        <v>817</v>
      </c>
      <c r="E764" s="2">
        <v>6.106000728E9</v>
      </c>
      <c r="F764" s="3"/>
      <c r="G764" s="2" t="s">
        <v>733</v>
      </c>
      <c r="H764" s="2" t="s">
        <v>909</v>
      </c>
      <c r="I764" s="3">
        <v>1.0</v>
      </c>
      <c r="J764" s="3"/>
      <c r="K764" s="5">
        <v>115.0</v>
      </c>
      <c r="L764" s="6" t="str">
        <f>IF(D764&lt;&gt;"",VLOOKUP(H764,TABLEITEM,2,FALSE),"")</f>
        <v>MAT GL</v>
      </c>
      <c r="M764" s="6" t="str">
        <f>IF(D764&lt;&gt;"",VLOOKUP(H764,TABLEITEM,3,FALSE),"")</f>
        <v>กระจก412x612T5.0</v>
      </c>
      <c r="N764" s="7">
        <f>INSTOCK!$I764*INSTOCK!$K764</f>
        <v>115</v>
      </c>
      <c r="O764" s="2"/>
      <c r="P764" s="2"/>
    </row>
    <row r="765" ht="18.0" hidden="1" customHeight="1">
      <c r="A765" s="1"/>
      <c r="B765" s="3">
        <v>764.0</v>
      </c>
      <c r="C765" s="4">
        <v>43339.0</v>
      </c>
      <c r="D765" s="2" t="s">
        <v>747</v>
      </c>
      <c r="E765" s="2">
        <v>6.1060008E9</v>
      </c>
      <c r="F765" s="3"/>
      <c r="G765" s="2" t="s">
        <v>733</v>
      </c>
      <c r="H765" s="2" t="s">
        <v>910</v>
      </c>
      <c r="I765" s="3">
        <v>1.0</v>
      </c>
      <c r="J765" s="3"/>
      <c r="K765" s="5">
        <v>135.0</v>
      </c>
      <c r="L765" s="6" t="str">
        <f>IF(D765&lt;&gt;"",VLOOKUP(H765,TABLEITEM,2,FALSE),"")</f>
        <v>MAT GL</v>
      </c>
      <c r="M765" s="6" t="str">
        <f>IF(D765&lt;&gt;"",VLOOKUP(H765,TABLEITEM,3,FALSE),"")</f>
        <v>กระจก412x912T5.0</v>
      </c>
      <c r="N765" s="7">
        <f>INSTOCK!$I765*INSTOCK!$K765</f>
        <v>135</v>
      </c>
      <c r="O765" s="2"/>
      <c r="P765" s="2"/>
    </row>
    <row r="766" ht="18.0" hidden="1" customHeight="1">
      <c r="A766" s="1"/>
      <c r="B766" s="3">
        <v>765.0</v>
      </c>
      <c r="C766" s="4">
        <v>43378.0</v>
      </c>
      <c r="D766" s="2" t="s">
        <v>911</v>
      </c>
      <c r="E766" s="2">
        <v>6.110001276E9</v>
      </c>
      <c r="F766" s="3" t="s">
        <v>912</v>
      </c>
      <c r="G766" s="2" t="s">
        <v>733</v>
      </c>
      <c r="H766" s="2" t="s">
        <v>910</v>
      </c>
      <c r="I766" s="3">
        <v>1.0</v>
      </c>
      <c r="J766" s="3"/>
      <c r="K766" s="5">
        <v>135.0</v>
      </c>
      <c r="L766" s="6" t="str">
        <f>IF(D766&lt;&gt;"",VLOOKUP(H766,TABLEITEM,2,FALSE),"")</f>
        <v>MAT GL</v>
      </c>
      <c r="M766" s="6" t="str">
        <f>IF(D766&lt;&gt;"",VLOOKUP(H766,TABLEITEM,3,FALSE),"")</f>
        <v>กระจก412x912T5.0</v>
      </c>
      <c r="N766" s="7">
        <f>INSTOCK!$I766*INSTOCK!$K766</f>
        <v>135</v>
      </c>
      <c r="O766" s="2" t="s">
        <v>700</v>
      </c>
      <c r="P766" s="2"/>
    </row>
    <row r="767" ht="18.0" hidden="1" customHeight="1">
      <c r="A767" s="1"/>
      <c r="B767" s="3">
        <v>766.0</v>
      </c>
      <c r="C767" s="4">
        <v>43215.0</v>
      </c>
      <c r="D767" s="2" t="s">
        <v>799</v>
      </c>
      <c r="E767" s="2">
        <v>6.103000397E9</v>
      </c>
      <c r="F767" s="3"/>
      <c r="G767" s="2" t="s">
        <v>733</v>
      </c>
      <c r="H767" s="2" t="s">
        <v>913</v>
      </c>
      <c r="I767" s="3">
        <v>2.0</v>
      </c>
      <c r="J767" s="3"/>
      <c r="K767" s="5">
        <v>135.0</v>
      </c>
      <c r="L767" s="6" t="str">
        <f>IF(D767&lt;&gt;"",VLOOKUP(H767,TABLEITEM,2,FALSE),"")</f>
        <v>MAT GL</v>
      </c>
      <c r="M767" s="6" t="str">
        <f>IF(D767&lt;&gt;"",VLOOKUP(H767,TABLEITEM,3,FALSE),"")</f>
        <v>กระจก426x886T5.0</v>
      </c>
      <c r="N767" s="7">
        <f>INSTOCK!$I767*INSTOCK!$K767</f>
        <v>270</v>
      </c>
      <c r="O767" s="2"/>
      <c r="P767" s="2"/>
    </row>
    <row r="768" ht="18.0" hidden="1" customHeight="1">
      <c r="A768" s="1"/>
      <c r="B768" s="3">
        <v>767.0</v>
      </c>
      <c r="C768" s="4">
        <v>43340.0</v>
      </c>
      <c r="D768" s="2" t="s">
        <v>749</v>
      </c>
      <c r="E768" s="2">
        <v>6.108000968E9</v>
      </c>
      <c r="F768" s="3"/>
      <c r="G768" s="2" t="s">
        <v>733</v>
      </c>
      <c r="H768" s="2" t="s">
        <v>914</v>
      </c>
      <c r="I768" s="3">
        <v>2.0</v>
      </c>
      <c r="J768" s="3"/>
      <c r="K768" s="5">
        <v>180.0</v>
      </c>
      <c r="L768" s="6" t="str">
        <f>IF(D768&lt;&gt;"",VLOOKUP(H768,TABLEITEM,2,FALSE),"")</f>
        <v>MAT GL</v>
      </c>
      <c r="M768" s="6" t="str">
        <f>IF(D768&lt;&gt;"",VLOOKUP(H768,TABLEITEM,3,FALSE),"")</f>
        <v>กระจก442x1187T5.0</v>
      </c>
      <c r="N768" s="7">
        <f>INSTOCK!$I768*INSTOCK!$K768</f>
        <v>360</v>
      </c>
      <c r="O768" s="2"/>
      <c r="P768" s="2"/>
    </row>
    <row r="769" ht="18.0" hidden="1" customHeight="1">
      <c r="A769" s="1"/>
      <c r="B769" s="3">
        <v>768.0</v>
      </c>
      <c r="C769" s="4">
        <v>43276.0</v>
      </c>
      <c r="D769" s="2" t="s">
        <v>784</v>
      </c>
      <c r="E769" s="2">
        <v>6.106000757E9</v>
      </c>
      <c r="F769" s="3"/>
      <c r="G769" s="2" t="s">
        <v>733</v>
      </c>
      <c r="H769" s="2" t="s">
        <v>915</v>
      </c>
      <c r="I769" s="3">
        <v>1.0</v>
      </c>
      <c r="J769" s="3"/>
      <c r="K769" s="5">
        <v>180.0</v>
      </c>
      <c r="L769" s="6" t="str">
        <f>IF(D769&lt;&gt;"",VLOOKUP(H769,TABLEITEM,2,FALSE),"")</f>
        <v>MAT GL</v>
      </c>
      <c r="M769" s="6" t="str">
        <f>IF(D769&lt;&gt;"",VLOOKUP(H769,TABLEITEM,3,FALSE),"")</f>
        <v>กระจก442x962T5.0</v>
      </c>
      <c r="N769" s="7">
        <f>INSTOCK!$I769*INSTOCK!$K769</f>
        <v>180</v>
      </c>
      <c r="O769" s="2"/>
      <c r="P769" s="2"/>
    </row>
    <row r="770" ht="18.0" hidden="1" customHeight="1">
      <c r="A770" s="1"/>
      <c r="B770" s="3">
        <v>769.0</v>
      </c>
      <c r="C770" s="4">
        <v>43340.0</v>
      </c>
      <c r="D770" s="2" t="s">
        <v>732</v>
      </c>
      <c r="E770" s="2">
        <v>6.108001005E9</v>
      </c>
      <c r="F770" s="3"/>
      <c r="G770" s="2" t="s">
        <v>733</v>
      </c>
      <c r="H770" s="2" t="s">
        <v>916</v>
      </c>
      <c r="I770" s="3">
        <v>2.0</v>
      </c>
      <c r="J770" s="3"/>
      <c r="K770" s="5">
        <v>135.0</v>
      </c>
      <c r="L770" s="6" t="str">
        <f>IF(D770&lt;&gt;"",VLOOKUP(H770,TABLEITEM,2,FALSE),"")</f>
        <v>MAT GL</v>
      </c>
      <c r="M770" s="6" t="str">
        <f>IF(D770&lt;&gt;"",VLOOKUP(H770,TABLEITEM,3,FALSE),"")</f>
        <v>กระจก452x912T5.0</v>
      </c>
      <c r="N770" s="7">
        <f>INSTOCK!$I770*INSTOCK!$K770</f>
        <v>270</v>
      </c>
      <c r="O770" s="2"/>
      <c r="P770" s="2"/>
    </row>
    <row r="771" ht="18.0" hidden="1" customHeight="1">
      <c r="A771" s="1"/>
      <c r="B771" s="3">
        <v>770.0</v>
      </c>
      <c r="C771" s="4">
        <v>43276.0</v>
      </c>
      <c r="D771" s="2" t="s">
        <v>765</v>
      </c>
      <c r="E771" s="40" t="s">
        <v>744</v>
      </c>
      <c r="F771" s="3"/>
      <c r="G771" s="2" t="s">
        <v>733</v>
      </c>
      <c r="H771" s="2" t="s">
        <v>917</v>
      </c>
      <c r="I771" s="3">
        <v>2.0</v>
      </c>
      <c r="J771" s="3"/>
      <c r="K771" s="5">
        <v>115.0</v>
      </c>
      <c r="L771" s="6" t="str">
        <f>IF(D771&lt;&gt;"",VLOOKUP(H771,TABLEITEM,2,FALSE),"")</f>
        <v>MAT GL</v>
      </c>
      <c r="M771" s="6" t="str">
        <f>IF(D771&lt;&gt;"",VLOOKUP(H771,TABLEITEM,3,FALSE),"")</f>
        <v>กระจก454x634T5.0</v>
      </c>
      <c r="N771" s="7">
        <f>INSTOCK!$I771*INSTOCK!$K771</f>
        <v>230</v>
      </c>
      <c r="O771" s="2"/>
      <c r="P771" s="2"/>
    </row>
    <row r="772" ht="18.0" hidden="1" customHeight="1">
      <c r="A772" s="1"/>
      <c r="B772" s="3">
        <v>771.0</v>
      </c>
      <c r="C772" s="4">
        <v>43341.0</v>
      </c>
      <c r="D772" s="2" t="s">
        <v>918</v>
      </c>
      <c r="E772" s="2">
        <v>6.109001068E9</v>
      </c>
      <c r="F772" s="3" t="s">
        <v>919</v>
      </c>
      <c r="G772" s="2" t="s">
        <v>733</v>
      </c>
      <c r="H772" s="2" t="s">
        <v>920</v>
      </c>
      <c r="I772" s="3">
        <v>1.0</v>
      </c>
      <c r="J772" s="3"/>
      <c r="K772" s="5">
        <v>210.0</v>
      </c>
      <c r="L772" s="6" t="str">
        <f>IF(D772&lt;&gt;"",VLOOKUP(H772,TABLEITEM,2,FALSE),"")</f>
        <v>MAT GL</v>
      </c>
      <c r="M772" s="6" t="str">
        <f>IF(D772&lt;&gt;"",VLOOKUP(H772,TABLEITEM,3,FALSE),"")</f>
        <v>กระจก458X1033T5.0</v>
      </c>
      <c r="N772" s="7">
        <f>INSTOCK!$I772*INSTOCK!$K772</f>
        <v>210</v>
      </c>
      <c r="O772" s="2" t="s">
        <v>739</v>
      </c>
      <c r="P772" s="2"/>
    </row>
    <row r="773" ht="18.0" hidden="1" customHeight="1">
      <c r="A773" s="1"/>
      <c r="B773" s="3">
        <v>772.0</v>
      </c>
      <c r="C773" s="4">
        <v>43157.0</v>
      </c>
      <c r="D773" s="2" t="s">
        <v>742</v>
      </c>
      <c r="E773" s="2">
        <v>6.102000205E9</v>
      </c>
      <c r="F773" s="3"/>
      <c r="G773" s="2" t="s">
        <v>733</v>
      </c>
      <c r="H773" s="2" t="s">
        <v>921</v>
      </c>
      <c r="I773" s="3">
        <v>1.0</v>
      </c>
      <c r="J773" s="3"/>
      <c r="K773" s="5">
        <v>300.0</v>
      </c>
      <c r="L773" s="6" t="str">
        <f>IF(D773&lt;&gt;"",VLOOKUP(H773,TABLEITEM,2,FALSE),"")</f>
        <v>MAT GL</v>
      </c>
      <c r="M773" s="6" t="str">
        <f>IF(D773&lt;&gt;"",VLOOKUP(H773,TABLEITEM,3,FALSE),"")</f>
        <v>กระจก458X1228T5.0</v>
      </c>
      <c r="N773" s="7">
        <f>INSTOCK!$I773*INSTOCK!$K773</f>
        <v>300</v>
      </c>
      <c r="O773" s="2"/>
      <c r="P773" s="2"/>
    </row>
    <row r="774" ht="18.0" hidden="1" customHeight="1">
      <c r="A774" s="1"/>
      <c r="B774" s="3">
        <v>773.0</v>
      </c>
      <c r="C774" s="4">
        <v>43157.0</v>
      </c>
      <c r="D774" s="2" t="s">
        <v>742</v>
      </c>
      <c r="E774" s="2">
        <v>6.102000205E9</v>
      </c>
      <c r="F774" s="3"/>
      <c r="G774" s="2" t="s">
        <v>733</v>
      </c>
      <c r="H774" s="2" t="s">
        <v>921</v>
      </c>
      <c r="I774" s="3">
        <v>2.0</v>
      </c>
      <c r="J774" s="3"/>
      <c r="K774" s="5">
        <v>300.0</v>
      </c>
      <c r="L774" s="6" t="str">
        <f>IF(D774&lt;&gt;"",VLOOKUP(H774,TABLEITEM,2,FALSE),"")</f>
        <v>MAT GL</v>
      </c>
      <c r="M774" s="6" t="str">
        <f>IF(D774&lt;&gt;"",VLOOKUP(H774,TABLEITEM,3,FALSE),"")</f>
        <v>กระจก458X1228T5.0</v>
      </c>
      <c r="N774" s="7">
        <f>INSTOCK!$I774*INSTOCK!$K774</f>
        <v>600</v>
      </c>
      <c r="O774" s="2"/>
      <c r="P774" s="2"/>
    </row>
    <row r="775" ht="18.0" hidden="1" customHeight="1">
      <c r="A775" s="1"/>
      <c r="B775" s="3">
        <v>774.0</v>
      </c>
      <c r="C775" s="4">
        <v>43340.0</v>
      </c>
      <c r="D775" s="2" t="s">
        <v>732</v>
      </c>
      <c r="E775" s="2">
        <v>6.108001005E9</v>
      </c>
      <c r="F775" s="3"/>
      <c r="G775" s="2" t="s">
        <v>733</v>
      </c>
      <c r="H775" s="2" t="s">
        <v>922</v>
      </c>
      <c r="I775" s="3">
        <v>1.0</v>
      </c>
      <c r="J775" s="3"/>
      <c r="K775" s="5">
        <v>150.0</v>
      </c>
      <c r="L775" s="6" t="str">
        <f>IF(D775&lt;&gt;"",VLOOKUP(H775,TABLEITEM,2,FALSE),"")</f>
        <v>MAT GL</v>
      </c>
      <c r="M775" s="6" t="str">
        <f>IF(D775&lt;&gt;"",VLOOKUP(H775,TABLEITEM,3,FALSE),"")</f>
        <v>กระจก462X612T50</v>
      </c>
      <c r="N775" s="7">
        <f>INSTOCK!$I775*INSTOCK!$K775</f>
        <v>150</v>
      </c>
      <c r="O775" s="2"/>
      <c r="P775" s="2"/>
    </row>
    <row r="776" ht="18.0" hidden="1" customHeight="1">
      <c r="A776" s="1"/>
      <c r="B776" s="3">
        <v>775.0</v>
      </c>
      <c r="C776" s="4">
        <v>43276.0</v>
      </c>
      <c r="D776" s="2" t="s">
        <v>735</v>
      </c>
      <c r="E776" s="2">
        <v>6.105000653E9</v>
      </c>
      <c r="F776" s="3"/>
      <c r="G776" s="2" t="s">
        <v>733</v>
      </c>
      <c r="H776" s="2" t="s">
        <v>923</v>
      </c>
      <c r="I776" s="3">
        <v>4.0</v>
      </c>
      <c r="J776" s="3"/>
      <c r="K776" s="5">
        <v>180.0</v>
      </c>
      <c r="L776" s="6" t="str">
        <f>IF(D776&lt;&gt;"",VLOOKUP(H776,TABLEITEM,2,FALSE),"")</f>
        <v>MAT GL</v>
      </c>
      <c r="M776" s="6" t="str">
        <f>IF(D776&lt;&gt;"",VLOOKUP(H776,TABLEITEM,3,FALSE),"")</f>
        <v>กระจก462X912T5.0</v>
      </c>
      <c r="N776" s="7">
        <f>INSTOCK!$I776*INSTOCK!$K776</f>
        <v>720</v>
      </c>
      <c r="O776" s="2"/>
      <c r="P776" s="2"/>
    </row>
    <row r="777" ht="18.0" hidden="1" customHeight="1">
      <c r="A777" s="1"/>
      <c r="B777" s="3">
        <v>776.0</v>
      </c>
      <c r="C777" s="4">
        <v>43215.0</v>
      </c>
      <c r="D777" s="2" t="s">
        <v>767</v>
      </c>
      <c r="E777" s="2">
        <v>6.104000506E9</v>
      </c>
      <c r="F777" s="3"/>
      <c r="G777" s="2" t="s">
        <v>733</v>
      </c>
      <c r="H777" s="2" t="s">
        <v>924</v>
      </c>
      <c r="I777" s="3">
        <v>1.0</v>
      </c>
      <c r="J777" s="3"/>
      <c r="K777" s="5">
        <v>240.0</v>
      </c>
      <c r="L777" s="6" t="str">
        <f>IF(D777&lt;&gt;"",VLOOKUP(H777,TABLEITEM,2,FALSE),"")</f>
        <v>MAT GL</v>
      </c>
      <c r="M777" s="6" t="str">
        <f>IF(D777&lt;&gt;"",VLOOKUP(H777,TABLEITEM,3,FALSE),"")</f>
        <v>กระจก486x936T5.0</v>
      </c>
      <c r="N777" s="7">
        <f>INSTOCK!$I777*INSTOCK!$K777</f>
        <v>240</v>
      </c>
      <c r="O777" s="2"/>
      <c r="P777" s="2"/>
    </row>
    <row r="778" ht="18.0" hidden="1" customHeight="1">
      <c r="A778" s="1"/>
      <c r="B778" s="3">
        <v>777.0</v>
      </c>
      <c r="C778" s="4">
        <v>43155.0</v>
      </c>
      <c r="D778" s="2" t="s">
        <v>792</v>
      </c>
      <c r="E778" s="2">
        <v>6.101000048E9</v>
      </c>
      <c r="F778" s="3"/>
      <c r="G778" s="2" t="s">
        <v>733</v>
      </c>
      <c r="H778" s="2" t="s">
        <v>925</v>
      </c>
      <c r="I778" s="3">
        <v>2.0</v>
      </c>
      <c r="J778" s="3"/>
      <c r="K778" s="5">
        <v>240.0</v>
      </c>
      <c r="L778" s="6" t="str">
        <f>IF(D778&lt;&gt;"",VLOOKUP(H778,TABLEITEM,2,FALSE),"")</f>
        <v>MAT GL</v>
      </c>
      <c r="M778" s="6" t="str">
        <f>IF(D778&lt;&gt;"",VLOOKUP(H778,TABLEITEM,3,FALSE),"")</f>
        <v>กระจก488X1083T5.0</v>
      </c>
      <c r="N778" s="7">
        <f>INSTOCK!$I778*INSTOCK!$K778</f>
        <v>480</v>
      </c>
      <c r="O778" s="2"/>
      <c r="P778" s="2"/>
    </row>
    <row r="779" ht="18.0" hidden="1" customHeight="1">
      <c r="A779" s="1"/>
      <c r="B779" s="3">
        <v>778.0</v>
      </c>
      <c r="C779" s="4">
        <v>43276.0</v>
      </c>
      <c r="D779" s="2" t="s">
        <v>817</v>
      </c>
      <c r="E779" s="2">
        <v>6.106000757E9</v>
      </c>
      <c r="F779" s="3"/>
      <c r="G779" s="2" t="s">
        <v>733</v>
      </c>
      <c r="H779" s="2" t="s">
        <v>926</v>
      </c>
      <c r="I779" s="3">
        <v>1.0</v>
      </c>
      <c r="J779" s="3"/>
      <c r="K779" s="5">
        <v>240.0</v>
      </c>
      <c r="L779" s="6" t="str">
        <f>IF(D779&lt;&gt;"",VLOOKUP(H779,TABLEITEM,2,FALSE),"")</f>
        <v>MAT GL</v>
      </c>
      <c r="M779" s="6" t="str">
        <f>IF(D779&lt;&gt;"",VLOOKUP(H779,TABLEITEM,3,FALSE),"")</f>
        <v>กระจก492x962T5.0</v>
      </c>
      <c r="N779" s="7">
        <f>INSTOCK!$I779*INSTOCK!$K779</f>
        <v>240</v>
      </c>
      <c r="O779" s="2"/>
      <c r="P779" s="2"/>
    </row>
    <row r="780" ht="18.0" hidden="1" customHeight="1">
      <c r="A780" s="1"/>
      <c r="B780" s="3">
        <v>779.0</v>
      </c>
      <c r="C780" s="4">
        <v>43339.0</v>
      </c>
      <c r="D780" s="2" t="s">
        <v>927</v>
      </c>
      <c r="E780" s="2">
        <v>6.109001068E9</v>
      </c>
      <c r="F780" s="3" t="s">
        <v>928</v>
      </c>
      <c r="G780" s="2" t="s">
        <v>733</v>
      </c>
      <c r="H780" s="2" t="s">
        <v>929</v>
      </c>
      <c r="I780" s="3">
        <v>3.0</v>
      </c>
      <c r="J780" s="3"/>
      <c r="K780" s="5">
        <v>150.0</v>
      </c>
      <c r="L780" s="6" t="str">
        <f>IF(D780&lt;&gt;"",VLOOKUP(H780,TABLEITEM,2,FALSE),"")</f>
        <v>MAT GL</v>
      </c>
      <c r="M780" s="6" t="str">
        <f>IF(D780&lt;&gt;"",VLOOKUP(H780,TABLEITEM,3,FALSE),"")</f>
        <v>กระจก508x708T5.0</v>
      </c>
      <c r="N780" s="7">
        <f>INSTOCK!$I780*INSTOCK!$K780</f>
        <v>450</v>
      </c>
      <c r="O780" s="2" t="s">
        <v>739</v>
      </c>
      <c r="P780" s="2"/>
    </row>
    <row r="781" ht="18.0" hidden="1" customHeight="1">
      <c r="A781" s="1"/>
      <c r="B781" s="3">
        <v>780.0</v>
      </c>
      <c r="C781" s="4">
        <v>43340.0</v>
      </c>
      <c r="D781" s="2" t="s">
        <v>732</v>
      </c>
      <c r="E781" s="2">
        <v>6.108000968E9</v>
      </c>
      <c r="F781" s="3"/>
      <c r="G781" s="2" t="s">
        <v>733</v>
      </c>
      <c r="H781" s="2" t="s">
        <v>930</v>
      </c>
      <c r="I781" s="3">
        <v>1.0</v>
      </c>
      <c r="J781" s="3"/>
      <c r="K781" s="5">
        <v>240.0</v>
      </c>
      <c r="L781" s="6" t="str">
        <f>IF(D781&lt;&gt;"",VLOOKUP(H781,TABLEITEM,2,FALSE),"")</f>
        <v>MAT GL</v>
      </c>
      <c r="M781" s="6" t="str">
        <f>IF(D781&lt;&gt;"",VLOOKUP(H781,TABLEITEM,3,FALSE),"")</f>
        <v>กระจก512x1112T5.0</v>
      </c>
      <c r="N781" s="7">
        <f>INSTOCK!$I781*INSTOCK!$K781</f>
        <v>240</v>
      </c>
      <c r="O781" s="2"/>
      <c r="P781" s="2"/>
    </row>
    <row r="782" ht="18.0" hidden="1" customHeight="1">
      <c r="A782" s="1"/>
      <c r="B782" s="3">
        <v>781.0</v>
      </c>
      <c r="C782" s="4">
        <v>43340.0</v>
      </c>
      <c r="D782" s="2" t="s">
        <v>749</v>
      </c>
      <c r="E782" s="2">
        <v>6.10700089E9</v>
      </c>
      <c r="F782" s="3"/>
      <c r="G782" s="2" t="s">
        <v>733</v>
      </c>
      <c r="H782" s="2" t="s">
        <v>931</v>
      </c>
      <c r="I782" s="3">
        <v>1.0</v>
      </c>
      <c r="J782" s="3"/>
      <c r="K782" s="5">
        <v>120.0</v>
      </c>
      <c r="L782" s="6" t="str">
        <f>IF(D782&lt;&gt;"",VLOOKUP(H782,TABLEITEM,2,FALSE),"")</f>
        <v>MAT GL</v>
      </c>
      <c r="M782" s="6" t="str">
        <f>IF(D782&lt;&gt;"",VLOOKUP(H782,TABLEITEM,3,FALSE),"")</f>
        <v>กระจก512x562T5.0</v>
      </c>
      <c r="N782" s="7">
        <f>INSTOCK!$I782*INSTOCK!$K782</f>
        <v>120</v>
      </c>
      <c r="O782" s="2"/>
      <c r="P782" s="2"/>
    </row>
    <row r="783" ht="18.0" hidden="1" customHeight="1">
      <c r="A783" s="1"/>
      <c r="B783" s="3">
        <v>782.0</v>
      </c>
      <c r="C783" s="4">
        <v>43339.0</v>
      </c>
      <c r="D783" s="2" t="s">
        <v>747</v>
      </c>
      <c r="E783" s="2">
        <v>6.107000882E9</v>
      </c>
      <c r="F783" s="3"/>
      <c r="G783" s="2" t="s">
        <v>733</v>
      </c>
      <c r="H783" s="2" t="s">
        <v>932</v>
      </c>
      <c r="I783" s="3">
        <v>1.0</v>
      </c>
      <c r="J783" s="3"/>
      <c r="K783" s="5">
        <v>150.0</v>
      </c>
      <c r="L783" s="6" t="str">
        <f>IF(D783&lt;&gt;"",VLOOKUP(H783,TABLEITEM,2,FALSE),"")</f>
        <v>MAT GL</v>
      </c>
      <c r="M783" s="6" t="str">
        <f>IF(D783&lt;&gt;"",VLOOKUP(H783,TABLEITEM,3,FALSE),"")</f>
        <v>กระจก512x762T5.0</v>
      </c>
      <c r="N783" s="7">
        <f>INSTOCK!$I783*INSTOCK!$K783</f>
        <v>150</v>
      </c>
      <c r="O783" s="2"/>
      <c r="P783" s="2"/>
    </row>
    <row r="784" ht="18.0" hidden="1" customHeight="1">
      <c r="A784" s="1"/>
      <c r="B784" s="3">
        <v>783.0</v>
      </c>
      <c r="C784" s="4">
        <v>43339.0</v>
      </c>
      <c r="D784" s="2" t="s">
        <v>933</v>
      </c>
      <c r="E784" s="2">
        <v>6.109001068E9</v>
      </c>
      <c r="F784" s="3" t="s">
        <v>934</v>
      </c>
      <c r="G784" s="2" t="s">
        <v>733</v>
      </c>
      <c r="H784" s="2" t="s">
        <v>935</v>
      </c>
      <c r="I784" s="3">
        <v>1.0</v>
      </c>
      <c r="J784" s="3"/>
      <c r="K784" s="5">
        <v>180.0</v>
      </c>
      <c r="L784" s="6" t="str">
        <f>IF(D784&lt;&gt;"",VLOOKUP(H784,TABLEITEM,2,FALSE),"")</f>
        <v>MAT GL</v>
      </c>
      <c r="M784" s="6" t="str">
        <f>IF(D784&lt;&gt;"",VLOOKUP(H784,TABLEITEM,3,FALSE),"")</f>
        <v>กระจก512X792T5.0</v>
      </c>
      <c r="N784" s="7">
        <f>INSTOCK!$I784*INSTOCK!$K784</f>
        <v>180</v>
      </c>
      <c r="O784" s="2" t="s">
        <v>739</v>
      </c>
      <c r="P784" s="2"/>
    </row>
    <row r="785" ht="18.0" hidden="1" customHeight="1">
      <c r="A785" s="1"/>
      <c r="B785" s="3">
        <v>784.0</v>
      </c>
      <c r="C785" s="4">
        <v>43276.0</v>
      </c>
      <c r="D785" s="2" t="s">
        <v>784</v>
      </c>
      <c r="E785" s="2">
        <v>6.106000776E9</v>
      </c>
      <c r="F785" s="3"/>
      <c r="G785" s="2" t="s">
        <v>733</v>
      </c>
      <c r="H785" s="2" t="s">
        <v>936</v>
      </c>
      <c r="I785" s="3">
        <v>1.0</v>
      </c>
      <c r="J785" s="3"/>
      <c r="K785" s="5">
        <v>180.0</v>
      </c>
      <c r="L785" s="6" t="str">
        <f>IF(D785&lt;&gt;"",VLOOKUP(H785,TABLEITEM,2,FALSE),"")</f>
        <v>MAT GL</v>
      </c>
      <c r="M785" s="6" t="str">
        <f>IF(D785&lt;&gt;"",VLOOKUP(H785,TABLEITEM,3,FALSE),"")</f>
        <v>กระจก512x812T5.0</v>
      </c>
      <c r="N785" s="7">
        <f>INSTOCK!$I785*INSTOCK!$K785</f>
        <v>180</v>
      </c>
      <c r="O785" s="2"/>
      <c r="P785" s="2"/>
    </row>
    <row r="786" ht="18.0" hidden="1" customHeight="1">
      <c r="A786" s="1"/>
      <c r="B786" s="3">
        <v>785.0</v>
      </c>
      <c r="C786" s="4">
        <v>43276.0</v>
      </c>
      <c r="D786" s="2" t="s">
        <v>784</v>
      </c>
      <c r="E786" s="2">
        <v>6.106000776E9</v>
      </c>
      <c r="F786" s="3"/>
      <c r="G786" s="2" t="s">
        <v>733</v>
      </c>
      <c r="H786" s="2" t="s">
        <v>937</v>
      </c>
      <c r="I786" s="3">
        <v>1.0</v>
      </c>
      <c r="J786" s="3"/>
      <c r="K786" s="5">
        <v>180.0</v>
      </c>
      <c r="L786" s="6" t="str">
        <f>IF(D786&lt;&gt;"",VLOOKUP(H786,TABLEITEM,2,FALSE),"")</f>
        <v>MAT GL</v>
      </c>
      <c r="M786" s="6" t="str">
        <f>IF(D786&lt;&gt;"",VLOOKUP(H786,TABLEITEM,3,FALSE),"")</f>
        <v>กระจก512x862T5.0</v>
      </c>
      <c r="N786" s="7">
        <f>INSTOCK!$I786*INSTOCK!$K786</f>
        <v>180</v>
      </c>
      <c r="O786" s="2"/>
      <c r="P786" s="2"/>
    </row>
    <row r="787" ht="18.0" hidden="1" customHeight="1">
      <c r="A787" s="1"/>
      <c r="B787" s="3">
        <v>786.0</v>
      </c>
      <c r="C787" s="4">
        <v>43342.0</v>
      </c>
      <c r="D787" s="2" t="s">
        <v>938</v>
      </c>
      <c r="E787" s="2">
        <v>6.109001068E9</v>
      </c>
      <c r="F787" s="3" t="s">
        <v>939</v>
      </c>
      <c r="G787" s="2" t="s">
        <v>733</v>
      </c>
      <c r="H787" s="2" t="s">
        <v>940</v>
      </c>
      <c r="I787" s="3">
        <v>1.0</v>
      </c>
      <c r="J787" s="3"/>
      <c r="K787" s="5">
        <v>210.0</v>
      </c>
      <c r="L787" s="6" t="str">
        <f>IF(D787&lt;&gt;"",VLOOKUP(H787,TABLEITEM,2,FALSE),"")</f>
        <v>MAT GL</v>
      </c>
      <c r="M787" s="6" t="str">
        <f>IF(D787&lt;&gt;"",VLOOKUP(H787,TABLEITEM,3,FALSE),"")</f>
        <v>กระจก512x972T5.0</v>
      </c>
      <c r="N787" s="7">
        <f>INSTOCK!$I787*INSTOCK!$K787</f>
        <v>210</v>
      </c>
      <c r="O787" s="2" t="s">
        <v>739</v>
      </c>
      <c r="P787" s="2"/>
    </row>
    <row r="788" ht="18.0" hidden="1" customHeight="1">
      <c r="A788" s="1"/>
      <c r="B788" s="3">
        <v>787.0</v>
      </c>
      <c r="C788" s="4">
        <v>43337.0</v>
      </c>
      <c r="D788" s="2" t="s">
        <v>941</v>
      </c>
      <c r="E788" s="2">
        <v>6.109001068E9</v>
      </c>
      <c r="F788" s="3" t="s">
        <v>942</v>
      </c>
      <c r="G788" s="2" t="s">
        <v>733</v>
      </c>
      <c r="H788" s="2" t="s">
        <v>943</v>
      </c>
      <c r="I788" s="3">
        <v>1.0</v>
      </c>
      <c r="J788" s="3"/>
      <c r="K788" s="5">
        <v>240.0</v>
      </c>
      <c r="L788" s="6" t="str">
        <f>IF(D788&lt;&gt;"",VLOOKUP(H788,TABLEITEM,2,FALSE),"")</f>
        <v>MAT GL</v>
      </c>
      <c r="M788" s="6" t="str">
        <f>IF(D788&lt;&gt;"",VLOOKUP(H788,TABLEITEM,3,FALSE),"")</f>
        <v>กระจก522X1062T5.0</v>
      </c>
      <c r="N788" s="7">
        <f>INSTOCK!$I788*INSTOCK!$K788</f>
        <v>240</v>
      </c>
      <c r="O788" s="2" t="s">
        <v>739</v>
      </c>
      <c r="P788" s="2"/>
    </row>
    <row r="789" ht="18.0" hidden="1" customHeight="1">
      <c r="A789" s="1"/>
      <c r="B789" s="3">
        <v>788.0</v>
      </c>
      <c r="C789" s="4">
        <v>43155.0</v>
      </c>
      <c r="D789" s="2" t="s">
        <v>792</v>
      </c>
      <c r="E789" s="2">
        <v>6.101000049E9</v>
      </c>
      <c r="F789" s="3"/>
      <c r="G789" s="2" t="s">
        <v>733</v>
      </c>
      <c r="H789" s="2" t="s">
        <v>944</v>
      </c>
      <c r="I789" s="3">
        <v>1.0</v>
      </c>
      <c r="J789" s="3"/>
      <c r="K789" s="5">
        <v>300.0</v>
      </c>
      <c r="L789" s="6" t="str">
        <f>IF(D789&lt;&gt;"",VLOOKUP(H789,TABLEITEM,2,FALSE),"")</f>
        <v>MAT GL</v>
      </c>
      <c r="M789" s="6" t="str">
        <f>IF(D789&lt;&gt;"",VLOOKUP(H789,TABLEITEM,3,FALSE),"")</f>
        <v>กระจก538X1258T5.0</v>
      </c>
      <c r="N789" s="7">
        <f>INSTOCK!$I789*INSTOCK!$K789</f>
        <v>300</v>
      </c>
      <c r="O789" s="2"/>
      <c r="P789" s="2"/>
    </row>
    <row r="790" ht="18.0" hidden="1" customHeight="1">
      <c r="A790" s="1"/>
      <c r="B790" s="3">
        <v>789.0</v>
      </c>
      <c r="C790" s="4">
        <v>43340.0</v>
      </c>
      <c r="D790" s="2" t="s">
        <v>749</v>
      </c>
      <c r="E790" s="2">
        <v>6.108000968E9</v>
      </c>
      <c r="F790" s="3"/>
      <c r="G790" s="2" t="s">
        <v>733</v>
      </c>
      <c r="H790" s="2" t="s">
        <v>945</v>
      </c>
      <c r="I790" s="3">
        <v>1.0</v>
      </c>
      <c r="J790" s="3"/>
      <c r="K790" s="5">
        <v>180.0</v>
      </c>
      <c r="L790" s="6" t="str">
        <f>IF(D790&lt;&gt;"",VLOOKUP(H790,TABLEITEM,2,FALSE),"")</f>
        <v>MAT GL</v>
      </c>
      <c r="M790" s="6" t="str">
        <f>IF(D790&lt;&gt;"",VLOOKUP(H790,TABLEITEM,3,FALSE),"")</f>
        <v>กระจก562x812T5.0</v>
      </c>
      <c r="N790" s="7">
        <f>INSTOCK!$I790*INSTOCK!$K790</f>
        <v>180</v>
      </c>
      <c r="O790" s="2"/>
      <c r="P790" s="2"/>
    </row>
    <row r="791" ht="18.0" hidden="1" customHeight="1">
      <c r="A791" s="1"/>
      <c r="B791" s="3">
        <v>790.0</v>
      </c>
      <c r="C791" s="4">
        <v>43276.0</v>
      </c>
      <c r="D791" s="2" t="s">
        <v>784</v>
      </c>
      <c r="E791" s="2">
        <v>6.106000757E9</v>
      </c>
      <c r="F791" s="3"/>
      <c r="G791" s="2" t="s">
        <v>733</v>
      </c>
      <c r="H791" s="2" t="s">
        <v>945</v>
      </c>
      <c r="I791" s="3">
        <v>3.0</v>
      </c>
      <c r="J791" s="3"/>
      <c r="K791" s="5">
        <v>150.0</v>
      </c>
      <c r="L791" s="6" t="str">
        <f>IF(D791&lt;&gt;"",VLOOKUP(H791,TABLEITEM,2,FALSE),"")</f>
        <v>MAT GL</v>
      </c>
      <c r="M791" s="6" t="str">
        <f>IF(D791&lt;&gt;"",VLOOKUP(H791,TABLEITEM,3,FALSE),"")</f>
        <v>กระจก562x812T5.0</v>
      </c>
      <c r="N791" s="7">
        <f>INSTOCK!$I791*INSTOCK!$K791</f>
        <v>450</v>
      </c>
      <c r="O791" s="2"/>
      <c r="P791" s="2"/>
    </row>
    <row r="792" ht="18.0" hidden="1" customHeight="1">
      <c r="A792" s="1"/>
      <c r="B792" s="3">
        <v>791.0</v>
      </c>
      <c r="C792" s="4">
        <v>43276.0</v>
      </c>
      <c r="D792" s="2" t="s">
        <v>817</v>
      </c>
      <c r="E792" s="2">
        <v>6.106000716E9</v>
      </c>
      <c r="F792" s="3"/>
      <c r="G792" s="2" t="s">
        <v>733</v>
      </c>
      <c r="H792" s="2" t="s">
        <v>946</v>
      </c>
      <c r="I792" s="3">
        <v>1.0</v>
      </c>
      <c r="J792" s="3"/>
      <c r="K792" s="5">
        <v>240.0</v>
      </c>
      <c r="L792" s="6" t="str">
        <f>IF(D792&lt;&gt;"",VLOOKUP(H792,TABLEITEM,2,FALSE),"")</f>
        <v>MAT GL</v>
      </c>
      <c r="M792" s="6" t="str">
        <f>IF(D792&lt;&gt;"",VLOOKUP(H792,TABLEITEM,3,FALSE),"")</f>
        <v>กระจก562X962T5.0</v>
      </c>
      <c r="N792" s="7">
        <f>INSTOCK!$I792*INSTOCK!$K792</f>
        <v>240</v>
      </c>
      <c r="O792" s="2"/>
      <c r="P792" s="2"/>
    </row>
    <row r="793" ht="18.0" hidden="1" customHeight="1">
      <c r="A793" s="1"/>
      <c r="B793" s="3">
        <v>792.0</v>
      </c>
      <c r="C793" s="4">
        <v>43276.0</v>
      </c>
      <c r="D793" s="2" t="s">
        <v>735</v>
      </c>
      <c r="E793" s="2">
        <v>6.105000696E9</v>
      </c>
      <c r="F793" s="3"/>
      <c r="G793" s="2" t="s">
        <v>733</v>
      </c>
      <c r="H793" s="2" t="s">
        <v>947</v>
      </c>
      <c r="I793" s="3">
        <v>1.0</v>
      </c>
      <c r="J793" s="3"/>
      <c r="K793" s="5">
        <v>300.0</v>
      </c>
      <c r="L793" s="6" t="str">
        <f>IF(D793&lt;&gt;"",VLOOKUP(H793,TABLEITEM,2,FALSE),"")</f>
        <v>MAT GL</v>
      </c>
      <c r="M793" s="6" t="str">
        <f>IF(D793&lt;&gt;"",VLOOKUP(H793,TABLEITEM,3,FALSE),"")</f>
        <v>กระจก602x1182T5.0</v>
      </c>
      <c r="N793" s="7">
        <f>INSTOCK!$I793*INSTOCK!$K793</f>
        <v>300</v>
      </c>
      <c r="O793" s="2"/>
      <c r="P793" s="2"/>
    </row>
    <row r="794" ht="18.0" hidden="1" customHeight="1">
      <c r="A794" s="1"/>
      <c r="B794" s="3">
        <v>793.0</v>
      </c>
      <c r="C794" s="4">
        <v>43276.0</v>
      </c>
      <c r="D794" s="2" t="s">
        <v>784</v>
      </c>
      <c r="E794" s="2">
        <v>6.106000757E9</v>
      </c>
      <c r="F794" s="3"/>
      <c r="G794" s="2" t="s">
        <v>733</v>
      </c>
      <c r="H794" s="2" t="s">
        <v>948</v>
      </c>
      <c r="I794" s="3">
        <v>1.0</v>
      </c>
      <c r="J794" s="3"/>
      <c r="K794" s="5">
        <v>300.0</v>
      </c>
      <c r="L794" s="6" t="str">
        <f>IF(D794&lt;&gt;"",VLOOKUP(H794,TABLEITEM,2,FALSE),"")</f>
        <v>MAT GL</v>
      </c>
      <c r="M794" s="6" t="str">
        <f>IF(D794&lt;&gt;"",VLOOKUP(H794,TABLEITEM,3,FALSE),"")</f>
        <v>กระจก612/1032T5.0</v>
      </c>
      <c r="N794" s="7">
        <f>INSTOCK!$I794*INSTOCK!$K794</f>
        <v>300</v>
      </c>
      <c r="O794" s="2"/>
      <c r="P794" s="2"/>
    </row>
    <row r="795" ht="18.0" hidden="1" customHeight="1">
      <c r="A795" s="1"/>
      <c r="B795" s="3">
        <v>794.0</v>
      </c>
      <c r="C795" s="4">
        <v>43339.0</v>
      </c>
      <c r="D795" s="2" t="s">
        <v>747</v>
      </c>
      <c r="E795" s="2">
        <v>6.106000808E9</v>
      </c>
      <c r="F795" s="3"/>
      <c r="G795" s="2" t="s">
        <v>733</v>
      </c>
      <c r="H795" s="2" t="s">
        <v>949</v>
      </c>
      <c r="I795" s="3">
        <v>5.0</v>
      </c>
      <c r="J795" s="3"/>
      <c r="K795" s="5">
        <v>225.0</v>
      </c>
      <c r="L795" s="6" t="str">
        <f>IF(D795&lt;&gt;"",VLOOKUP(H795,TABLEITEM,2,FALSE),"")</f>
        <v>MAT GL</v>
      </c>
      <c r="M795" s="6" t="str">
        <f>IF(D795&lt;&gt;"",VLOOKUP(H795,TABLEITEM,3,FALSE),"")</f>
        <v>กระจก612x912T5.0</v>
      </c>
      <c r="N795" s="7">
        <f>INSTOCK!$I795*INSTOCK!$K795</f>
        <v>1125</v>
      </c>
      <c r="O795" s="2"/>
      <c r="P795" s="2"/>
    </row>
    <row r="796" ht="18.0" hidden="1" customHeight="1">
      <c r="A796" s="1"/>
      <c r="B796" s="3">
        <v>795.0</v>
      </c>
      <c r="C796" s="4">
        <v>43215.0</v>
      </c>
      <c r="D796" s="2" t="s">
        <v>799</v>
      </c>
      <c r="E796" s="2">
        <v>6.103000397E9</v>
      </c>
      <c r="F796" s="3"/>
      <c r="G796" s="2" t="s">
        <v>733</v>
      </c>
      <c r="H796" s="2" t="s">
        <v>950</v>
      </c>
      <c r="I796" s="3">
        <v>1.0</v>
      </c>
      <c r="J796" s="3"/>
      <c r="K796" s="5">
        <v>230.0</v>
      </c>
      <c r="L796" s="6" t="str">
        <f>IF(D796&lt;&gt;"",VLOOKUP(H796,TABLEITEM,2,FALSE),"")</f>
        <v>MAT GL</v>
      </c>
      <c r="M796" s="6" t="str">
        <f>IF(D796&lt;&gt;"",VLOOKUP(H796,TABLEITEM,3,FALSE),"")</f>
        <v>กระจก686x886T5.0</v>
      </c>
      <c r="N796" s="7">
        <f>INSTOCK!$I796*INSTOCK!$K796</f>
        <v>230</v>
      </c>
      <c r="O796" s="2"/>
      <c r="P796" s="2"/>
    </row>
    <row r="797" ht="18.0" hidden="1" customHeight="1">
      <c r="A797" s="1"/>
      <c r="B797" s="3">
        <v>796.0</v>
      </c>
      <c r="C797" s="4">
        <v>43340.0</v>
      </c>
      <c r="D797" s="2" t="s">
        <v>732</v>
      </c>
      <c r="E797" s="2">
        <v>6.108001005E9</v>
      </c>
      <c r="F797" s="3"/>
      <c r="G797" s="2" t="s">
        <v>733</v>
      </c>
      <c r="H797" s="2" t="s">
        <v>951</v>
      </c>
      <c r="I797" s="3">
        <v>1.0</v>
      </c>
      <c r="J797" s="3"/>
      <c r="K797" s="5">
        <v>188.0</v>
      </c>
      <c r="L797" s="6" t="str">
        <f>IF(D797&lt;&gt;"",VLOOKUP(H797,TABLEITEM,2,FALSE),"")</f>
        <v>MAT GL</v>
      </c>
      <c r="M797" s="6" t="str">
        <f>IF(D797&lt;&gt;"",VLOOKUP(H797,TABLEITEM,3,FALSE),"")</f>
        <v>กระจก712X912T5.0</v>
      </c>
      <c r="N797" s="7">
        <f>INSTOCK!$I797*INSTOCK!$K797</f>
        <v>188</v>
      </c>
      <c r="O797" s="2"/>
      <c r="P797" s="2"/>
    </row>
    <row r="798" ht="18.0" hidden="1" customHeight="1">
      <c r="A798" s="1"/>
      <c r="B798" s="3">
        <v>797.0</v>
      </c>
      <c r="C798" s="4">
        <v>43230.0</v>
      </c>
      <c r="D798" s="2" t="s">
        <v>952</v>
      </c>
      <c r="E798" s="2"/>
      <c r="F798" s="3"/>
      <c r="G798" s="2" t="s">
        <v>953</v>
      </c>
      <c r="H798" s="2" t="s">
        <v>954</v>
      </c>
      <c r="I798" s="3">
        <v>2.0</v>
      </c>
      <c r="J798" s="3"/>
      <c r="K798" s="5">
        <v>300.0</v>
      </c>
      <c r="L798" s="6" t="str">
        <f>IF(D798&lt;&gt;"",VLOOKUP(H798,TABLEITEM,2,FALSE),"")</f>
        <v>MAT GL</v>
      </c>
      <c r="M798" s="6" t="str">
        <f>IF(D798&lt;&gt;"",VLOOKUP(H798,TABLEITEM,3,FALSE),"")</f>
        <v>กระจกลวด103X268T6.0</v>
      </c>
      <c r="N798" s="7">
        <f>INSTOCK!$I798*INSTOCK!$K798</f>
        <v>600</v>
      </c>
      <c r="O798" s="2"/>
      <c r="P798" s="2"/>
    </row>
    <row r="799" ht="18.0" hidden="1" customHeight="1">
      <c r="A799" s="1"/>
      <c r="B799" s="3">
        <v>798.0</v>
      </c>
      <c r="C799" s="4">
        <v>43214.0</v>
      </c>
      <c r="D799" s="2" t="s">
        <v>823</v>
      </c>
      <c r="E799" s="2">
        <v>6.103000347E9</v>
      </c>
      <c r="F799" s="3"/>
      <c r="G799" s="2" t="s">
        <v>733</v>
      </c>
      <c r="H799" s="2" t="s">
        <v>954</v>
      </c>
      <c r="I799" s="3">
        <v>2.0</v>
      </c>
      <c r="J799" s="3"/>
      <c r="K799" s="5">
        <v>300.0</v>
      </c>
      <c r="L799" s="6" t="str">
        <f>IF(D799&lt;&gt;"",VLOOKUP(H799,TABLEITEM,2,FALSE),"")</f>
        <v>MAT GL</v>
      </c>
      <c r="M799" s="6" t="str">
        <f>IF(D799&lt;&gt;"",VLOOKUP(H799,TABLEITEM,3,FALSE),"")</f>
        <v>กระจกลวด103X268T6.0</v>
      </c>
      <c r="N799" s="7">
        <f>INSTOCK!$I799*INSTOCK!$K799</f>
        <v>600</v>
      </c>
      <c r="O799" s="2"/>
      <c r="P799" s="2"/>
    </row>
    <row r="800" ht="18.0" hidden="1" customHeight="1">
      <c r="A800" s="1"/>
      <c r="B800" s="3">
        <v>799.0</v>
      </c>
      <c r="C800" s="4">
        <v>43214.0</v>
      </c>
      <c r="D800" s="2" t="s">
        <v>807</v>
      </c>
      <c r="E800" s="2">
        <v>6.103000309E9</v>
      </c>
      <c r="F800" s="3"/>
      <c r="G800" s="2" t="s">
        <v>733</v>
      </c>
      <c r="H800" s="2" t="s">
        <v>955</v>
      </c>
      <c r="I800" s="3">
        <v>1.0</v>
      </c>
      <c r="J800" s="3"/>
      <c r="K800" s="5">
        <v>300.0</v>
      </c>
      <c r="L800" s="6" t="str">
        <f>IF(D800&lt;&gt;"",VLOOKUP(H800,TABLEITEM,2,FALSE),"")</f>
        <v>MAT GL</v>
      </c>
      <c r="M800" s="6" t="str">
        <f>IF(D800&lt;&gt;"",VLOOKUP(H800,TABLEITEM,3,FALSE),"")</f>
        <v>กระจกลวด133x228T6.0</v>
      </c>
      <c r="N800" s="7">
        <f>INSTOCK!$I800*INSTOCK!$K800</f>
        <v>300</v>
      </c>
      <c r="O800" s="2"/>
      <c r="P800" s="2"/>
    </row>
    <row r="801" ht="18.0" hidden="1" customHeight="1">
      <c r="A801" s="1"/>
      <c r="B801" s="3">
        <v>800.0</v>
      </c>
      <c r="C801" s="4">
        <v>43315.0</v>
      </c>
      <c r="D801" s="2" t="s">
        <v>956</v>
      </c>
      <c r="E801" s="2"/>
      <c r="F801" s="3" t="s">
        <v>957</v>
      </c>
      <c r="G801" s="2" t="s">
        <v>953</v>
      </c>
      <c r="H801" s="2" t="s">
        <v>958</v>
      </c>
      <c r="I801" s="3">
        <v>1.0</v>
      </c>
      <c r="J801" s="3"/>
      <c r="K801" s="5">
        <v>300.0</v>
      </c>
      <c r="L801" s="6" t="str">
        <f>IF(D801&lt;&gt;"",VLOOKUP(H801,TABLEITEM,2,FALSE),"")</f>
        <v>MAT GL</v>
      </c>
      <c r="M801" s="6" t="str">
        <f>IF(D801&lt;&gt;"",VLOOKUP(H801,TABLEITEM,3,FALSE),"")</f>
        <v>กระจกลวด150X230T6.0</v>
      </c>
      <c r="N801" s="7">
        <f>INSTOCK!$I801*INSTOCK!$K801</f>
        <v>300</v>
      </c>
      <c r="O801" s="2"/>
      <c r="P801" s="2"/>
    </row>
    <row r="802" ht="18.0" hidden="1" customHeight="1">
      <c r="A802" s="1"/>
      <c r="B802" s="3">
        <v>801.0</v>
      </c>
      <c r="C802" s="4">
        <v>43284.0</v>
      </c>
      <c r="D802" s="2" t="s">
        <v>959</v>
      </c>
      <c r="E802" s="2"/>
      <c r="F802" s="3" t="s">
        <v>960</v>
      </c>
      <c r="G802" s="2" t="s">
        <v>953</v>
      </c>
      <c r="H802" s="2" t="s">
        <v>958</v>
      </c>
      <c r="I802" s="3">
        <v>4.0</v>
      </c>
      <c r="J802" s="3"/>
      <c r="K802" s="5">
        <v>300.0</v>
      </c>
      <c r="L802" s="6" t="str">
        <f>IF(D802&lt;&gt;"",VLOOKUP(H802,TABLEITEM,2,FALSE),"")</f>
        <v>MAT GL</v>
      </c>
      <c r="M802" s="6" t="str">
        <f>IF(D802&lt;&gt;"",VLOOKUP(H802,TABLEITEM,3,FALSE),"")</f>
        <v>กระจกลวด150X230T6.0</v>
      </c>
      <c r="N802" s="7">
        <f>INSTOCK!$I802*INSTOCK!$K802</f>
        <v>1200</v>
      </c>
      <c r="O802" s="2"/>
      <c r="P802" s="2"/>
    </row>
    <row r="803" ht="18.0" hidden="1" customHeight="1">
      <c r="A803" s="1"/>
      <c r="B803" s="3">
        <v>802.0</v>
      </c>
      <c r="C803" s="4">
        <v>43230.0</v>
      </c>
      <c r="D803" s="2" t="s">
        <v>952</v>
      </c>
      <c r="E803" s="2"/>
      <c r="F803" s="3"/>
      <c r="G803" s="2" t="s">
        <v>953</v>
      </c>
      <c r="H803" s="2" t="s">
        <v>961</v>
      </c>
      <c r="I803" s="3">
        <v>8.0</v>
      </c>
      <c r="J803" s="3"/>
      <c r="K803" s="5">
        <v>300.0</v>
      </c>
      <c r="L803" s="6" t="str">
        <f>IF(D803&lt;&gt;"",VLOOKUP(H803,TABLEITEM,2,FALSE),"")</f>
        <v>MAT GL</v>
      </c>
      <c r="M803" s="6" t="str">
        <f>IF(D803&lt;&gt;"",VLOOKUP(H803,TABLEITEM,3,FALSE),"")</f>
        <v>กระจกลวด150X230T6.0</v>
      </c>
      <c r="N803" s="7">
        <f>INSTOCK!$I803*INSTOCK!$K803</f>
        <v>2400</v>
      </c>
      <c r="O803" s="2"/>
      <c r="P803" s="2"/>
    </row>
    <row r="804" ht="18.0" hidden="1" customHeight="1">
      <c r="A804" s="1"/>
      <c r="B804" s="3">
        <v>803.0</v>
      </c>
      <c r="C804" s="4">
        <v>43230.0</v>
      </c>
      <c r="D804" s="2" t="s">
        <v>962</v>
      </c>
      <c r="E804" s="2"/>
      <c r="F804" s="3"/>
      <c r="G804" s="2" t="s">
        <v>953</v>
      </c>
      <c r="H804" s="2" t="s">
        <v>958</v>
      </c>
      <c r="I804" s="3">
        <v>4.0</v>
      </c>
      <c r="J804" s="3"/>
      <c r="K804" s="5">
        <v>300.0</v>
      </c>
      <c r="L804" s="6" t="str">
        <f>IF(D804&lt;&gt;"",VLOOKUP(H804,TABLEITEM,2,FALSE),"")</f>
        <v>MAT GL</v>
      </c>
      <c r="M804" s="6" t="str">
        <f>IF(D804&lt;&gt;"",VLOOKUP(H804,TABLEITEM,3,FALSE),"")</f>
        <v>กระจกลวด150X230T6.0</v>
      </c>
      <c r="N804" s="7">
        <f>INSTOCK!$I804*INSTOCK!$K804</f>
        <v>1200</v>
      </c>
      <c r="O804" s="2"/>
      <c r="P804" s="2"/>
    </row>
    <row r="805" ht="18.0" hidden="1" customHeight="1">
      <c r="A805" s="1"/>
      <c r="B805" s="3">
        <v>804.0</v>
      </c>
      <c r="C805" s="4">
        <v>43214.0</v>
      </c>
      <c r="D805" s="2" t="s">
        <v>807</v>
      </c>
      <c r="E805" s="2">
        <v>6.103000301E9</v>
      </c>
      <c r="F805" s="3"/>
      <c r="G805" s="2" t="s">
        <v>733</v>
      </c>
      <c r="H805" s="2" t="s">
        <v>961</v>
      </c>
      <c r="I805" s="3">
        <v>2.0</v>
      </c>
      <c r="J805" s="3"/>
      <c r="K805" s="5">
        <v>300.0</v>
      </c>
      <c r="L805" s="6" t="str">
        <f>IF(D805&lt;&gt;"",VLOOKUP(H805,TABLEITEM,2,FALSE),"")</f>
        <v>MAT GL</v>
      </c>
      <c r="M805" s="6" t="str">
        <f>IF(D805&lt;&gt;"",VLOOKUP(H805,TABLEITEM,3,FALSE),"")</f>
        <v>กระจกลวด150X230T6.0</v>
      </c>
      <c r="N805" s="7">
        <f>INSTOCK!$I805*INSTOCK!$K805</f>
        <v>600</v>
      </c>
      <c r="O805" s="2"/>
      <c r="P805" s="2"/>
    </row>
    <row r="806" ht="18.0" hidden="1" customHeight="1">
      <c r="A806" s="1"/>
      <c r="B806" s="3">
        <v>805.0</v>
      </c>
      <c r="C806" s="4">
        <v>43214.0</v>
      </c>
      <c r="D806" s="2" t="s">
        <v>807</v>
      </c>
      <c r="E806" s="2">
        <v>6.103000339E9</v>
      </c>
      <c r="F806" s="3"/>
      <c r="G806" s="2" t="s">
        <v>733</v>
      </c>
      <c r="H806" s="2" t="s">
        <v>961</v>
      </c>
      <c r="I806" s="3">
        <v>2.0</v>
      </c>
      <c r="J806" s="3"/>
      <c r="K806" s="5">
        <v>300.0</v>
      </c>
      <c r="L806" s="6" t="str">
        <f>IF(D806&lt;&gt;"",VLOOKUP(H806,TABLEITEM,2,FALSE),"")</f>
        <v>MAT GL</v>
      </c>
      <c r="M806" s="6" t="str">
        <f>IF(D806&lt;&gt;"",VLOOKUP(H806,TABLEITEM,3,FALSE),"")</f>
        <v>กระจกลวด150X230T6.0</v>
      </c>
      <c r="N806" s="7">
        <f>INSTOCK!$I806*INSTOCK!$K806</f>
        <v>600</v>
      </c>
      <c r="O806" s="2"/>
      <c r="P806" s="2"/>
    </row>
    <row r="807" ht="18.0" hidden="1" customHeight="1">
      <c r="A807" s="1"/>
      <c r="B807" s="3">
        <v>806.0</v>
      </c>
      <c r="C807" s="4">
        <v>43214.0</v>
      </c>
      <c r="D807" s="2" t="s">
        <v>823</v>
      </c>
      <c r="E807" s="2">
        <v>6.103000379E9</v>
      </c>
      <c r="F807" s="3"/>
      <c r="G807" s="2" t="s">
        <v>733</v>
      </c>
      <c r="H807" s="2" t="s">
        <v>958</v>
      </c>
      <c r="I807" s="3">
        <v>2.0</v>
      </c>
      <c r="J807" s="3"/>
      <c r="K807" s="5">
        <v>300.0</v>
      </c>
      <c r="L807" s="6" t="str">
        <f>IF(D807&lt;&gt;"",VLOOKUP(H807,TABLEITEM,2,FALSE),"")</f>
        <v>MAT GL</v>
      </c>
      <c r="M807" s="6" t="str">
        <f>IF(D807&lt;&gt;"",VLOOKUP(H807,TABLEITEM,3,FALSE),"")</f>
        <v>กระจกลวด150X230T6.0</v>
      </c>
      <c r="N807" s="7">
        <f>INSTOCK!$I807*INSTOCK!$K807</f>
        <v>600</v>
      </c>
      <c r="O807" s="2"/>
      <c r="P807" s="2"/>
    </row>
    <row r="808" ht="18.0" hidden="1" customHeight="1">
      <c r="A808" s="1"/>
      <c r="B808" s="3">
        <v>807.0</v>
      </c>
      <c r="C808" s="4">
        <v>43157.0</v>
      </c>
      <c r="D808" s="2" t="s">
        <v>740</v>
      </c>
      <c r="E808" s="2">
        <v>6.102000153E9</v>
      </c>
      <c r="F808" s="3"/>
      <c r="G808" s="2" t="s">
        <v>733</v>
      </c>
      <c r="H808" s="2" t="s">
        <v>961</v>
      </c>
      <c r="I808" s="3">
        <v>2.0</v>
      </c>
      <c r="J808" s="3"/>
      <c r="K808" s="5">
        <v>300.0</v>
      </c>
      <c r="L808" s="6" t="str">
        <f>IF(D808&lt;&gt;"",VLOOKUP(H808,TABLEITEM,2,FALSE),"")</f>
        <v>MAT GL</v>
      </c>
      <c r="M808" s="6" t="str">
        <f>IF(D808&lt;&gt;"",VLOOKUP(H808,TABLEITEM,3,FALSE),"")</f>
        <v>กระจกลวด150X230T6.0</v>
      </c>
      <c r="N808" s="7">
        <f>INSTOCK!$I808*INSTOCK!$K808</f>
        <v>600</v>
      </c>
      <c r="O808" s="2"/>
      <c r="P808" s="2"/>
    </row>
    <row r="809" ht="18.0" hidden="1" customHeight="1">
      <c r="A809" s="1"/>
      <c r="B809" s="3">
        <v>808.0</v>
      </c>
      <c r="C809" s="4">
        <v>43157.0</v>
      </c>
      <c r="D809" s="2" t="s">
        <v>740</v>
      </c>
      <c r="E809" s="2">
        <v>6.102000268E9</v>
      </c>
      <c r="F809" s="3"/>
      <c r="G809" s="2" t="s">
        <v>733</v>
      </c>
      <c r="H809" s="2" t="s">
        <v>961</v>
      </c>
      <c r="I809" s="3">
        <v>6.0</v>
      </c>
      <c r="J809" s="3"/>
      <c r="K809" s="5">
        <v>300.0</v>
      </c>
      <c r="L809" s="6" t="str">
        <f>IF(D809&lt;&gt;"",VLOOKUP(H809,TABLEITEM,2,FALSE),"")</f>
        <v>MAT GL</v>
      </c>
      <c r="M809" s="6" t="str">
        <f>IF(D809&lt;&gt;"",VLOOKUP(H809,TABLEITEM,3,FALSE),"")</f>
        <v>กระจกลวด150X230T6.0</v>
      </c>
      <c r="N809" s="7">
        <f>INSTOCK!$I809*INSTOCK!$K809</f>
        <v>1800</v>
      </c>
      <c r="O809" s="2"/>
      <c r="P809" s="2"/>
    </row>
    <row r="810" ht="18.0" hidden="1" customHeight="1">
      <c r="A810" s="1"/>
      <c r="B810" s="3">
        <v>809.0</v>
      </c>
      <c r="C810" s="4">
        <v>43332.0</v>
      </c>
      <c r="D810" s="2" t="s">
        <v>963</v>
      </c>
      <c r="E810" s="2">
        <v>6.108001006E9</v>
      </c>
      <c r="F810" s="3" t="s">
        <v>964</v>
      </c>
      <c r="G810" s="2" t="s">
        <v>953</v>
      </c>
      <c r="H810" s="2" t="s">
        <v>961</v>
      </c>
      <c r="I810" s="3">
        <v>4.0</v>
      </c>
      <c r="J810" s="3"/>
      <c r="K810" s="5">
        <v>300.0</v>
      </c>
      <c r="L810" s="6" t="str">
        <f>IF(D810&lt;&gt;"",VLOOKUP(H810,TABLEITEM,2,FALSE),"")</f>
        <v>MAT GL</v>
      </c>
      <c r="M810" s="6" t="str">
        <f>IF(D810&lt;&gt;"",VLOOKUP(H810,TABLEITEM,3,FALSE),"")</f>
        <v>กระจกลวด150X230T6.0</v>
      </c>
      <c r="N810" s="7">
        <f>INSTOCK!$I810*INSTOCK!$K810</f>
        <v>1200</v>
      </c>
      <c r="O810" s="2"/>
      <c r="P810" s="2"/>
    </row>
    <row r="811" ht="18.0" hidden="1" customHeight="1">
      <c r="A811" s="1"/>
      <c r="B811" s="3">
        <v>810.0</v>
      </c>
      <c r="C811" s="4">
        <v>43252.0</v>
      </c>
      <c r="D811" s="2" t="s">
        <v>965</v>
      </c>
      <c r="E811" s="2"/>
      <c r="F811" s="3" t="s">
        <v>966</v>
      </c>
      <c r="G811" s="2" t="s">
        <v>953</v>
      </c>
      <c r="H811" s="2" t="s">
        <v>967</v>
      </c>
      <c r="I811" s="3">
        <v>10.0</v>
      </c>
      <c r="J811" s="3"/>
      <c r="K811" s="5">
        <v>450.0</v>
      </c>
      <c r="L811" s="6" t="str">
        <f>IF(D811&lt;&gt;"",VLOOKUP(H811,TABLEITEM,2,FALSE),"")</f>
        <v>MAT GL</v>
      </c>
      <c r="M811" s="6" t="str">
        <f>IF(D811&lt;&gt;"",VLOOKUP(H811,TABLEITEM,3,FALSE),"")</f>
        <v>กระจกลวด190X290T6.0</v>
      </c>
      <c r="N811" s="7">
        <f>INSTOCK!$I811*INSTOCK!$K811</f>
        <v>4500</v>
      </c>
      <c r="O811" s="2"/>
      <c r="P811" s="2"/>
    </row>
    <row r="812" ht="18.0" hidden="1" customHeight="1">
      <c r="A812" s="1"/>
      <c r="B812" s="3">
        <v>811.0</v>
      </c>
      <c r="C812" s="4">
        <v>43230.0</v>
      </c>
      <c r="D812" s="2" t="s">
        <v>952</v>
      </c>
      <c r="E812" s="2"/>
      <c r="F812" s="3"/>
      <c r="G812" s="2" t="s">
        <v>953</v>
      </c>
      <c r="H812" s="2" t="s">
        <v>967</v>
      </c>
      <c r="I812" s="3">
        <v>3.0</v>
      </c>
      <c r="J812" s="3"/>
      <c r="K812" s="5">
        <v>480.0</v>
      </c>
      <c r="L812" s="6" t="str">
        <f>IF(D812&lt;&gt;"",VLOOKUP(H812,TABLEITEM,2,FALSE),"")</f>
        <v>MAT GL</v>
      </c>
      <c r="M812" s="6" t="str">
        <f>IF(D812&lt;&gt;"",VLOOKUP(H812,TABLEITEM,3,FALSE),"")</f>
        <v>กระจกลวด190X290T6.0</v>
      </c>
      <c r="N812" s="7">
        <f>INSTOCK!$I812*INSTOCK!$K812</f>
        <v>1440</v>
      </c>
      <c r="O812" s="2"/>
      <c r="P812" s="2"/>
    </row>
    <row r="813" ht="18.0" hidden="1" customHeight="1">
      <c r="A813" s="1"/>
      <c r="B813" s="3">
        <v>812.0</v>
      </c>
      <c r="C813" s="4">
        <v>43215.0</v>
      </c>
      <c r="D813" s="2" t="s">
        <v>767</v>
      </c>
      <c r="E813" s="2">
        <v>6.104000436E9</v>
      </c>
      <c r="F813" s="3"/>
      <c r="G813" s="2" t="s">
        <v>733</v>
      </c>
      <c r="H813" s="2" t="s">
        <v>967</v>
      </c>
      <c r="I813" s="3">
        <v>1.0</v>
      </c>
      <c r="J813" s="3"/>
      <c r="K813" s="5">
        <v>400.0</v>
      </c>
      <c r="L813" s="6" t="str">
        <f>IF(D813&lt;&gt;"",VLOOKUP(H813,TABLEITEM,2,FALSE),"")</f>
        <v>MAT GL</v>
      </c>
      <c r="M813" s="6" t="str">
        <f>IF(D813&lt;&gt;"",VLOOKUP(H813,TABLEITEM,3,FALSE),"")</f>
        <v>กระจกลวด190X290T6.0</v>
      </c>
      <c r="N813" s="7">
        <f>INSTOCK!$I813*INSTOCK!$K813</f>
        <v>400</v>
      </c>
      <c r="O813" s="2"/>
      <c r="P813" s="2"/>
    </row>
    <row r="814" ht="18.0" hidden="1" customHeight="1">
      <c r="A814" s="1"/>
      <c r="B814" s="3">
        <v>813.0</v>
      </c>
      <c r="C814" s="4">
        <v>43215.0</v>
      </c>
      <c r="D814" s="2" t="s">
        <v>767</v>
      </c>
      <c r="E814" s="2">
        <v>6.104000436E9</v>
      </c>
      <c r="F814" s="3"/>
      <c r="G814" s="2" t="s">
        <v>733</v>
      </c>
      <c r="H814" s="2" t="s">
        <v>967</v>
      </c>
      <c r="I814" s="3">
        <v>2.0</v>
      </c>
      <c r="J814" s="3"/>
      <c r="K814" s="5">
        <v>400.0</v>
      </c>
      <c r="L814" s="6" t="str">
        <f>IF(D814&lt;&gt;"",VLOOKUP(H814,TABLEITEM,2,FALSE),"")</f>
        <v>MAT GL</v>
      </c>
      <c r="M814" s="6" t="str">
        <f>IF(D814&lt;&gt;"",VLOOKUP(H814,TABLEITEM,3,FALSE),"")</f>
        <v>กระจกลวด190X290T6.0</v>
      </c>
      <c r="N814" s="7">
        <f>INSTOCK!$I814*INSTOCK!$K814</f>
        <v>800</v>
      </c>
      <c r="O814" s="2"/>
      <c r="P814" s="2"/>
    </row>
    <row r="815" ht="18.0" hidden="1" customHeight="1">
      <c r="A815" s="1"/>
      <c r="B815" s="3">
        <v>814.0</v>
      </c>
      <c r="C815" s="4">
        <v>43215.0</v>
      </c>
      <c r="D815" s="2" t="s">
        <v>767</v>
      </c>
      <c r="E815" s="2">
        <v>6.104000436E9</v>
      </c>
      <c r="F815" s="3"/>
      <c r="G815" s="2" t="s">
        <v>733</v>
      </c>
      <c r="H815" s="2" t="s">
        <v>967</v>
      </c>
      <c r="I815" s="3">
        <v>4.0</v>
      </c>
      <c r="J815" s="3"/>
      <c r="K815" s="5">
        <v>400.0</v>
      </c>
      <c r="L815" s="6" t="str">
        <f>IF(D815&lt;&gt;"",VLOOKUP(H815,TABLEITEM,2,FALSE),"")</f>
        <v>MAT GL</v>
      </c>
      <c r="M815" s="6" t="str">
        <f>IF(D815&lt;&gt;"",VLOOKUP(H815,TABLEITEM,3,FALSE),"")</f>
        <v>กระจกลวด190X290T6.0</v>
      </c>
      <c r="N815" s="7">
        <f>INSTOCK!$I815*INSTOCK!$K815</f>
        <v>1600</v>
      </c>
      <c r="O815" s="2"/>
      <c r="P815" s="2"/>
    </row>
    <row r="816" ht="18.0" hidden="1" customHeight="1">
      <c r="A816" s="1"/>
      <c r="B816" s="3">
        <v>815.0</v>
      </c>
      <c r="C816" s="4">
        <v>43155.0</v>
      </c>
      <c r="D816" s="2" t="s">
        <v>803</v>
      </c>
      <c r="E816" s="2">
        <v>6.101000049E9</v>
      </c>
      <c r="F816" s="3"/>
      <c r="G816" s="2" t="s">
        <v>733</v>
      </c>
      <c r="H816" s="2" t="s">
        <v>967</v>
      </c>
      <c r="I816" s="3">
        <v>1.0</v>
      </c>
      <c r="J816" s="3"/>
      <c r="K816" s="5">
        <v>400.0</v>
      </c>
      <c r="L816" s="6" t="str">
        <f>IF(D816&lt;&gt;"",VLOOKUP(H816,TABLEITEM,2,FALSE),"")</f>
        <v>MAT GL</v>
      </c>
      <c r="M816" s="6" t="str">
        <f>IF(D816&lt;&gt;"",VLOOKUP(H816,TABLEITEM,3,FALSE),"")</f>
        <v>กระจกลวด190X290T6.0</v>
      </c>
      <c r="N816" s="7">
        <f>INSTOCK!$I816*INSTOCK!$K816</f>
        <v>400</v>
      </c>
      <c r="O816" s="2"/>
      <c r="P816" s="2"/>
    </row>
    <row r="817" ht="18.0" hidden="1" customHeight="1">
      <c r="A817" s="1"/>
      <c r="B817" s="3">
        <v>816.0</v>
      </c>
      <c r="C817" s="4">
        <v>43230.0</v>
      </c>
      <c r="D817" s="2" t="s">
        <v>962</v>
      </c>
      <c r="E817" s="2"/>
      <c r="F817" s="3"/>
      <c r="G817" s="2" t="s">
        <v>953</v>
      </c>
      <c r="H817" s="2" t="s">
        <v>968</v>
      </c>
      <c r="I817" s="3">
        <v>4.0</v>
      </c>
      <c r="J817" s="3"/>
      <c r="K817" s="5">
        <v>580.0</v>
      </c>
      <c r="L817" s="6" t="str">
        <f>IF(D817&lt;&gt;"",VLOOKUP(H817,TABLEITEM,2,FALSE),"")</f>
        <v>MAT GL</v>
      </c>
      <c r="M817" s="6" t="str">
        <f>IF(D817&lt;&gt;"",VLOOKUP(H817,TABLEITEM,3,FALSE),"")</f>
        <v>กระจกลวด228X328T6.0</v>
      </c>
      <c r="N817" s="7">
        <f>INSTOCK!$I817*INSTOCK!$K817</f>
        <v>2320</v>
      </c>
      <c r="O817" s="2"/>
      <c r="P817" s="2"/>
    </row>
    <row r="818" ht="18.0" hidden="1" customHeight="1">
      <c r="A818" s="1"/>
      <c r="B818" s="3">
        <v>817.0</v>
      </c>
      <c r="C818" s="4">
        <v>43157.0</v>
      </c>
      <c r="D818" s="2" t="s">
        <v>740</v>
      </c>
      <c r="E818" s="2">
        <v>6.102000205E9</v>
      </c>
      <c r="F818" s="3"/>
      <c r="G818" s="2" t="s">
        <v>733</v>
      </c>
      <c r="H818" s="2" t="s">
        <v>969</v>
      </c>
      <c r="I818" s="3">
        <v>1.0</v>
      </c>
      <c r="J818" s="3"/>
      <c r="K818" s="5">
        <v>540.0</v>
      </c>
      <c r="L818" s="6" t="str">
        <f>IF(D818&lt;&gt;"",VLOOKUP(H818,TABLEITEM,2,FALSE),"")</f>
        <v>MAT GL</v>
      </c>
      <c r="M818" s="6" t="str">
        <f>IF(D818&lt;&gt;"",VLOOKUP(H818,TABLEITEM,3,FALSE),"")</f>
        <v>กระจกลวด230x330T6.0</v>
      </c>
      <c r="N818" s="7">
        <f>INSTOCK!$I818*INSTOCK!$K818</f>
        <v>540</v>
      </c>
      <c r="O818" s="2"/>
      <c r="P818" s="2"/>
    </row>
    <row r="819" ht="18.0" hidden="1" customHeight="1">
      <c r="A819" s="1"/>
      <c r="B819" s="3">
        <v>818.0</v>
      </c>
      <c r="C819" s="4">
        <v>43215.0</v>
      </c>
      <c r="D819" s="2" t="s">
        <v>767</v>
      </c>
      <c r="E819" s="2">
        <v>6.104000483E9</v>
      </c>
      <c r="F819" s="3"/>
      <c r="G819" s="2" t="s">
        <v>733</v>
      </c>
      <c r="H819" s="2" t="s">
        <v>970</v>
      </c>
      <c r="I819" s="3">
        <v>2.0</v>
      </c>
      <c r="J819" s="3"/>
      <c r="K819" s="5">
        <v>1040.0</v>
      </c>
      <c r="L819" s="6" t="str">
        <f>IF(D819&lt;&gt;"",VLOOKUP(H819,TABLEITEM,2,FALSE),"")</f>
        <v>MAT GL</v>
      </c>
      <c r="M819" s="6" t="str">
        <f>IF(D819&lt;&gt;"",VLOOKUP(H819,TABLEITEM,3,FALSE),"")</f>
        <v>กระจกลวด310x515T6.0</v>
      </c>
      <c r="N819" s="7">
        <f>INSTOCK!$I819*INSTOCK!$K819</f>
        <v>2080</v>
      </c>
      <c r="O819" s="2"/>
      <c r="P819" s="2"/>
    </row>
    <row r="820" ht="18.0" hidden="1" customHeight="1">
      <c r="A820" s="1"/>
      <c r="B820" s="3">
        <v>819.0</v>
      </c>
      <c r="C820" s="4">
        <v>43157.0</v>
      </c>
      <c r="D820" s="2" t="s">
        <v>740</v>
      </c>
      <c r="E820" s="2">
        <v>6.102000268E9</v>
      </c>
      <c r="F820" s="3"/>
      <c r="G820" s="2" t="s">
        <v>733</v>
      </c>
      <c r="H820" s="2" t="s">
        <v>970</v>
      </c>
      <c r="I820" s="3">
        <v>2.0</v>
      </c>
      <c r="J820" s="3"/>
      <c r="K820" s="5">
        <v>1200.0</v>
      </c>
      <c r="L820" s="6" t="str">
        <f>IF(D820&lt;&gt;"",VLOOKUP(H820,TABLEITEM,2,FALSE),"")</f>
        <v>MAT GL</v>
      </c>
      <c r="M820" s="6" t="str">
        <f>IF(D820&lt;&gt;"",VLOOKUP(H820,TABLEITEM,3,FALSE),"")</f>
        <v>กระจกลวด310x515T6.0</v>
      </c>
      <c r="N820" s="7">
        <f>INSTOCK!$I820*INSTOCK!$K820</f>
        <v>2400</v>
      </c>
      <c r="O820" s="2"/>
      <c r="P820" s="2"/>
    </row>
    <row r="821" ht="18.0" hidden="1" customHeight="1">
      <c r="A821" s="1"/>
      <c r="B821" s="3">
        <v>820.0</v>
      </c>
      <c r="C821" s="4">
        <v>43220.0</v>
      </c>
      <c r="D821" s="2" t="s">
        <v>971</v>
      </c>
      <c r="E821" s="2"/>
      <c r="F821" s="3" t="s">
        <v>972</v>
      </c>
      <c r="G821" s="2" t="s">
        <v>973</v>
      </c>
      <c r="H821" s="2" t="s">
        <v>974</v>
      </c>
      <c r="I821" s="3">
        <v>1.0</v>
      </c>
      <c r="J821" s="3"/>
      <c r="K821" s="5">
        <v>350.0</v>
      </c>
      <c r="L821" s="6" t="str">
        <f>IF(D821&lt;&gt;"",VLOOKUP(H821,TABLEITEM,2,FALSE),"")</f>
        <v>MAT GL</v>
      </c>
      <c r="M821" s="6" t="str">
        <f>IF(D821&lt;&gt;"",VLOOKUP(H821,TABLEITEM,3,FALSE),"")</f>
        <v>กระจกเซฟตี้228x328T5.0</v>
      </c>
      <c r="N821" s="7">
        <f>INSTOCK!$I821*INSTOCK!$K821</f>
        <v>350</v>
      </c>
      <c r="O821" s="2"/>
      <c r="P821" s="2"/>
    </row>
    <row r="822" ht="18.0" hidden="1" customHeight="1">
      <c r="A822" s="1"/>
      <c r="B822" s="3">
        <v>821.0</v>
      </c>
      <c r="C822" s="4">
        <v>43244.0</v>
      </c>
      <c r="D822" s="2" t="s">
        <v>975</v>
      </c>
      <c r="E822" s="2"/>
      <c r="F822" s="3" t="s">
        <v>161</v>
      </c>
      <c r="G822" s="2" t="s">
        <v>973</v>
      </c>
      <c r="H822" s="2" t="s">
        <v>976</v>
      </c>
      <c r="I822" s="3">
        <v>30.0</v>
      </c>
      <c r="J822" s="3"/>
      <c r="K822" s="5">
        <v>180.0</v>
      </c>
      <c r="L822" s="6" t="str">
        <f>IF(D822&lt;&gt;"",VLOOKUP(H822,TABLEITEM,2,FALSE),"")</f>
        <v>MAT GL</v>
      </c>
      <c r="M822" s="6" t="str">
        <f>IF(D822&lt;&gt;"",VLOOKUP(H822,TABLEITEM,3,FALSE),"")</f>
        <v>กระจกเซฟตี้234X334T5.0</v>
      </c>
      <c r="N822" s="7">
        <f>INSTOCK!$I822*INSTOCK!$K822</f>
        <v>5400</v>
      </c>
      <c r="O822" s="2"/>
      <c r="P822" s="2"/>
    </row>
    <row r="823" ht="18.0" hidden="1" customHeight="1">
      <c r="A823" s="1"/>
      <c r="B823" s="3">
        <v>822.0</v>
      </c>
      <c r="C823" s="4">
        <v>43113.0</v>
      </c>
      <c r="D823" s="2" t="s">
        <v>977</v>
      </c>
      <c r="E823" s="2"/>
      <c r="F823" s="3"/>
      <c r="G823" s="2" t="s">
        <v>973</v>
      </c>
      <c r="H823" s="2" t="s">
        <v>978</v>
      </c>
      <c r="I823" s="3">
        <v>6.0</v>
      </c>
      <c r="J823" s="3"/>
      <c r="K823" s="5">
        <v>350.0</v>
      </c>
      <c r="L823" s="6" t="str">
        <f>IF(D823&lt;&gt;"",VLOOKUP(H823,TABLEITEM,2,FALSE),"")</f>
        <v>MAT GL</v>
      </c>
      <c r="M823" s="6" t="str">
        <f>IF(D823&lt;&gt;"",VLOOKUP(H823,TABLEITEM,3,FALSE),"")</f>
        <v>กระจกเซฟตี้ 358x408T5.0</v>
      </c>
      <c r="N823" s="7">
        <f>INSTOCK!$I823*INSTOCK!$K823</f>
        <v>2100</v>
      </c>
      <c r="O823" s="2"/>
      <c r="P823" s="2"/>
    </row>
    <row r="824" ht="18.0" hidden="1" customHeight="1">
      <c r="A824" s="1"/>
      <c r="B824" s="3">
        <v>823.0</v>
      </c>
      <c r="C824" s="4">
        <v>43365.0</v>
      </c>
      <c r="D824" s="2" t="s">
        <v>979</v>
      </c>
      <c r="E824" s="2"/>
      <c r="F824" s="3" t="s">
        <v>161</v>
      </c>
      <c r="G824" s="2" t="s">
        <v>456</v>
      </c>
      <c r="H824" s="2" t="s">
        <v>466</v>
      </c>
      <c r="I824" s="3">
        <v>200.0</v>
      </c>
      <c r="J824" s="3"/>
      <c r="K824" s="5"/>
      <c r="L824" s="6" t="str">
        <f>IF(D824&lt;&gt;"",VLOOKUP(H824,TABLEITEM,2,FALSE),"")</f>
        <v>PART</v>
      </c>
      <c r="M824" s="6" t="str">
        <f>IF(D824&lt;&gt;"",VLOOKUP(H824,TABLEITEM,3,FALSE),"")</f>
        <v>คานเจปรับระดับ754x68x35T3.0</v>
      </c>
      <c r="N824" s="7">
        <f>INSTOCK!$I824*INSTOCK!$K824</f>
        <v>0</v>
      </c>
      <c r="O824" s="2"/>
      <c r="P824" s="2"/>
    </row>
    <row r="825" ht="18.0" hidden="1" customHeight="1">
      <c r="A825" s="1"/>
      <c r="B825" s="3">
        <v>824.0</v>
      </c>
      <c r="C825" s="4">
        <v>43384.0</v>
      </c>
      <c r="D825" s="2" t="s">
        <v>625</v>
      </c>
      <c r="E825" s="2"/>
      <c r="F825" s="3" t="s">
        <v>161</v>
      </c>
      <c r="G825" s="2" t="s">
        <v>456</v>
      </c>
      <c r="H825" s="2" t="s">
        <v>626</v>
      </c>
      <c r="I825" s="3">
        <v>111.0</v>
      </c>
      <c r="J825" s="3"/>
      <c r="K825" s="5"/>
      <c r="L825" s="6" t="str">
        <f>IF(D825&lt;&gt;"",VLOOKUP(H825,TABLEITEM,2,FALSE),"")</f>
        <v>PART</v>
      </c>
      <c r="M825" s="6" t="str">
        <f>IF(D825&lt;&gt;"",VLOOKUP(H825,TABLEITEM,3,FALSE),"")</f>
        <v>คานเจ 2รู 65x32x454</v>
      </c>
      <c r="N825" s="7">
        <f>INSTOCK!$I825*INSTOCK!$K825</f>
        <v>0</v>
      </c>
      <c r="O825" s="2"/>
      <c r="P825" s="2"/>
    </row>
    <row r="826" ht="18.0" hidden="1" customHeight="1">
      <c r="A826" s="1"/>
      <c r="B826" s="3">
        <v>825.0</v>
      </c>
      <c r="C826" s="4">
        <v>43378.0</v>
      </c>
      <c r="D826" s="2" t="s">
        <v>980</v>
      </c>
      <c r="E826" s="2"/>
      <c r="F826" s="3" t="s">
        <v>161</v>
      </c>
      <c r="G826" s="2" t="s">
        <v>456</v>
      </c>
      <c r="H826" s="2" t="s">
        <v>981</v>
      </c>
      <c r="I826" s="3">
        <v>57.0</v>
      </c>
      <c r="J826" s="3"/>
      <c r="K826" s="5"/>
      <c r="L826" s="6" t="str">
        <f>IF(D826&lt;&gt;"",VLOOKUP(H826,TABLEITEM,2,FALSE),"")</f>
        <v>PART</v>
      </c>
      <c r="M826" s="6" t="str">
        <f>IF(D826&lt;&gt;"",VLOOKUP(H826,TABLEITEM,3,FALSE),"")</f>
        <v>คานเจยึดเสาใน954x50x35T2.0</v>
      </c>
      <c r="N826" s="7">
        <f>INSTOCK!$I826*INSTOCK!$K826</f>
        <v>0</v>
      </c>
      <c r="O826" s="2"/>
      <c r="P826" s="2"/>
    </row>
    <row r="827" ht="18.0" hidden="1" customHeight="1">
      <c r="A827" s="1"/>
      <c r="B827" s="3">
        <v>826.0</v>
      </c>
      <c r="C827" s="4">
        <v>43383.0</v>
      </c>
      <c r="D827" s="2" t="s">
        <v>980</v>
      </c>
      <c r="E827" s="2"/>
      <c r="F827" s="3" t="s">
        <v>161</v>
      </c>
      <c r="G827" s="2" t="s">
        <v>456</v>
      </c>
      <c r="H827" s="2" t="s">
        <v>981</v>
      </c>
      <c r="I827" s="3">
        <v>41.0</v>
      </c>
      <c r="J827" s="3"/>
      <c r="K827" s="5"/>
      <c r="L827" s="6" t="str">
        <f>IF(D827&lt;&gt;"",VLOOKUP(H827,TABLEITEM,2,FALSE),"")</f>
        <v>PART</v>
      </c>
      <c r="M827" s="6" t="str">
        <f>IF(D827&lt;&gt;"",VLOOKUP(H827,TABLEITEM,3,FALSE),"")</f>
        <v>คานเจยึดเสาใน954x50x35T2.0</v>
      </c>
      <c r="N827" s="7">
        <f>INSTOCK!$I827*INSTOCK!$K827</f>
        <v>0</v>
      </c>
      <c r="O827" s="2"/>
      <c r="P827" s="2"/>
    </row>
    <row r="828" ht="18.0" hidden="1" customHeight="1">
      <c r="A828" s="1"/>
      <c r="B828" s="3">
        <v>827.0</v>
      </c>
      <c r="C828" s="4">
        <v>43383.0</v>
      </c>
      <c r="D828" s="2" t="s">
        <v>636</v>
      </c>
      <c r="E828" s="2"/>
      <c r="F828" s="3" t="s">
        <v>161</v>
      </c>
      <c r="G828" s="2" t="s">
        <v>456</v>
      </c>
      <c r="H828" s="2" t="s">
        <v>637</v>
      </c>
      <c r="I828" s="3">
        <v>22.0</v>
      </c>
      <c r="J828" s="3"/>
      <c r="K828" s="5"/>
      <c r="L828" s="6" t="str">
        <f>IF(D828&lt;&gt;"",VLOOKUP(H828,TABLEITEM,2,FALSE),"")</f>
        <v>PART</v>
      </c>
      <c r="M828" s="6" t="str">
        <f>IF(D828&lt;&gt;"",VLOOKUP(H828,TABLEITEM,3,FALSE),"")</f>
        <v>ฉากรับกุญแจ 40x30x1963</v>
      </c>
      <c r="N828" s="7">
        <f>INSTOCK!$I828*INSTOCK!$K828</f>
        <v>0</v>
      </c>
      <c r="O828" s="2"/>
      <c r="P828" s="2"/>
    </row>
    <row r="829" ht="18.0" hidden="1" customHeight="1">
      <c r="A829" s="1"/>
      <c r="B829" s="3">
        <v>828.0</v>
      </c>
      <c r="C829" s="4">
        <v>43365.0</v>
      </c>
      <c r="D829" s="2" t="s">
        <v>982</v>
      </c>
      <c r="E829" s="2"/>
      <c r="F829" s="3" t="s">
        <v>161</v>
      </c>
      <c r="G829" s="2" t="s">
        <v>456</v>
      </c>
      <c r="H829" s="2" t="s">
        <v>983</v>
      </c>
      <c r="I829" s="3">
        <v>224.0</v>
      </c>
      <c r="J829" s="3"/>
      <c r="K829" s="5"/>
      <c r="L829" s="6" t="str">
        <f>IF(D829&lt;&gt;"",VLOOKUP(H829,TABLEITEM,2,FALSE),"")</f>
        <v>PART</v>
      </c>
      <c r="M829" s="6" t="str">
        <f>IF(D829&lt;&gt;"",VLOOKUP(H829,TABLEITEM,3,FALSE),"")</f>
        <v>ฉากรับฝาใน 50x30</v>
      </c>
      <c r="N829" s="7">
        <f>INSTOCK!$I829*INSTOCK!$K829</f>
        <v>0</v>
      </c>
      <c r="O829" s="2"/>
      <c r="P829" s="2"/>
    </row>
    <row r="830" ht="18.0" hidden="1" customHeight="1">
      <c r="A830" s="1"/>
      <c r="B830" s="3">
        <v>829.0</v>
      </c>
      <c r="C830" s="4">
        <v>43377.0</v>
      </c>
      <c r="D830" s="2" t="s">
        <v>984</v>
      </c>
      <c r="E830" s="2"/>
      <c r="F830" s="3" t="s">
        <v>161</v>
      </c>
      <c r="G830" s="2" t="s">
        <v>456</v>
      </c>
      <c r="H830" s="2" t="s">
        <v>985</v>
      </c>
      <c r="I830" s="3">
        <v>120.0</v>
      </c>
      <c r="J830" s="3"/>
      <c r="K830" s="5"/>
      <c r="L830" s="6" t="str">
        <f>IF(D830&lt;&gt;"",VLOOKUP(H830,TABLEITEM,2,FALSE),"")</f>
        <v>PART</v>
      </c>
      <c r="M830" s="6" t="str">
        <f>IF(D830&lt;&gt;"",VLOOKUP(H830,TABLEITEM,3,FALSE),"")</f>
        <v>ฉากรับเพลท70x30x3mm</v>
      </c>
      <c r="N830" s="7">
        <f>INSTOCK!$I830*INSTOCK!$K830</f>
        <v>0</v>
      </c>
      <c r="O830" s="2"/>
      <c r="P830" s="2"/>
    </row>
    <row r="831" ht="18.0" hidden="1" customHeight="1">
      <c r="A831" s="1"/>
      <c r="B831" s="3">
        <v>830.0</v>
      </c>
      <c r="C831" s="4">
        <v>43350.0</v>
      </c>
      <c r="D831" s="2" t="s">
        <v>502</v>
      </c>
      <c r="E831" s="2"/>
      <c r="F831" s="3" t="s">
        <v>161</v>
      </c>
      <c r="G831" s="2" t="s">
        <v>456</v>
      </c>
      <c r="H831" s="2" t="s">
        <v>504</v>
      </c>
      <c r="I831" s="3">
        <v>12.0</v>
      </c>
      <c r="J831" s="3"/>
      <c r="K831" s="5"/>
      <c r="L831" s="6" t="str">
        <f>IF(D831&lt;&gt;"",VLOOKUP(H831,TABLEITEM,2,FALSE),"")</f>
        <v>PART</v>
      </c>
      <c r="M831" s="6" t="str">
        <f>IF(D831&lt;&gt;"",VLOOKUP(H831,TABLEITEM,3,FALSE),"")</f>
        <v>แพลทยึดอุปกรณ์595x300</v>
      </c>
      <c r="N831" s="7">
        <f>INSTOCK!$I831*INSTOCK!$K831</f>
        <v>0</v>
      </c>
      <c r="O831" s="2"/>
      <c r="P831" s="2"/>
    </row>
    <row r="832" ht="18.0" hidden="1" customHeight="1">
      <c r="A832" s="1"/>
      <c r="B832" s="3">
        <v>831.0</v>
      </c>
      <c r="C832" s="4">
        <v>43384.0</v>
      </c>
      <c r="D832" s="2" t="s">
        <v>642</v>
      </c>
      <c r="E832" s="2"/>
      <c r="F832" s="3" t="s">
        <v>161</v>
      </c>
      <c r="G832" s="2" t="s">
        <v>456</v>
      </c>
      <c r="H832" s="2" t="s">
        <v>487</v>
      </c>
      <c r="I832" s="3">
        <v>44.0</v>
      </c>
      <c r="J832" s="3"/>
      <c r="K832" s="5"/>
      <c r="L832" s="6" t="str">
        <f>IF(D832&lt;&gt;"",VLOOKUP(H832,TABLEITEM,2,FALSE),"")</f>
        <v>PART</v>
      </c>
      <c r="M832" s="6" t="str">
        <f>IF(D832&lt;&gt;"",VLOOKUP(H832,TABLEITEM,3,FALSE),"")</f>
        <v>กระเป๋าเอกสารรุ่น 316x224</v>
      </c>
      <c r="N832" s="7">
        <f>INSTOCK!$I832*INSTOCK!$K832</f>
        <v>0</v>
      </c>
      <c r="O832" s="2"/>
      <c r="P832" s="2"/>
    </row>
    <row r="833" ht="18.0" hidden="1" customHeight="1">
      <c r="A833" s="1"/>
      <c r="B833" s="3">
        <v>832.0</v>
      </c>
      <c r="C833" s="4">
        <v>43385.0</v>
      </c>
      <c r="D833" s="2" t="s">
        <v>642</v>
      </c>
      <c r="E833" s="2"/>
      <c r="F833" s="3" t="s">
        <v>161</v>
      </c>
      <c r="G833" s="2" t="s">
        <v>456</v>
      </c>
      <c r="H833" s="2" t="s">
        <v>487</v>
      </c>
      <c r="I833" s="3">
        <v>50.0</v>
      </c>
      <c r="J833" s="3"/>
      <c r="K833" s="5"/>
      <c r="L833" s="6" t="str">
        <f>IF(D833&lt;&gt;"",VLOOKUP(H833,TABLEITEM,2,FALSE),"")</f>
        <v>PART</v>
      </c>
      <c r="M833" s="6" t="str">
        <f>IF(D833&lt;&gt;"",VLOOKUP(H833,TABLEITEM,3,FALSE),"")</f>
        <v>กระเป๋าเอกสารรุ่น 316x224</v>
      </c>
      <c r="N833" s="7">
        <f>INSTOCK!$I833*INSTOCK!$K833</f>
        <v>0</v>
      </c>
      <c r="O833" s="2"/>
      <c r="P833" s="2"/>
    </row>
    <row r="834" ht="18.0" hidden="1" customHeight="1">
      <c r="A834" s="1"/>
      <c r="B834" s="3">
        <v>833.0</v>
      </c>
      <c r="C834" s="4">
        <v>43361.0</v>
      </c>
      <c r="D834" s="2" t="s">
        <v>642</v>
      </c>
      <c r="E834" s="2"/>
      <c r="F834" s="3" t="s">
        <v>161</v>
      </c>
      <c r="G834" s="2" t="s">
        <v>456</v>
      </c>
      <c r="H834" s="2" t="s">
        <v>486</v>
      </c>
      <c r="I834" s="3">
        <v>20.0</v>
      </c>
      <c r="J834" s="3"/>
      <c r="K834" s="5"/>
      <c r="L834" s="6" t="str">
        <f>IF(D834&lt;&gt;"",VLOOKUP(H834,TABLEITEM,2,FALSE),"")</f>
        <v>PART</v>
      </c>
      <c r="M834" s="6" t="str">
        <f>IF(D834&lt;&gt;"",VLOOKUP(H834,TABLEITEM,3,FALSE),"")</f>
        <v>กระเป๋าเอกสารรุ่น 316x45</v>
      </c>
      <c r="N834" s="7">
        <f>INSTOCK!$I834*INSTOCK!$K834</f>
        <v>0</v>
      </c>
      <c r="O834" s="2"/>
      <c r="P834" s="2"/>
    </row>
    <row r="835" ht="18.0" hidden="1" customHeight="1">
      <c r="A835" s="1"/>
      <c r="B835" s="3">
        <v>834.0</v>
      </c>
      <c r="C835" s="4">
        <v>43365.0</v>
      </c>
      <c r="D835" s="2" t="s">
        <v>642</v>
      </c>
      <c r="E835" s="2"/>
      <c r="F835" s="3" t="s">
        <v>161</v>
      </c>
      <c r="G835" s="2" t="s">
        <v>456</v>
      </c>
      <c r="H835" s="2" t="s">
        <v>486</v>
      </c>
      <c r="I835" s="3">
        <v>45.0</v>
      </c>
      <c r="J835" s="3"/>
      <c r="K835" s="5"/>
      <c r="L835" s="6" t="str">
        <f>IF(D835&lt;&gt;"",VLOOKUP(H835,TABLEITEM,2,FALSE),"")</f>
        <v>PART</v>
      </c>
      <c r="M835" s="6" t="str">
        <f>IF(D835&lt;&gt;"",VLOOKUP(H835,TABLEITEM,3,FALSE),"")</f>
        <v>กระเป๋าเอกสารรุ่น 316x45</v>
      </c>
      <c r="N835" s="7">
        <f>INSTOCK!$I835*INSTOCK!$K835</f>
        <v>0</v>
      </c>
      <c r="O835" s="2"/>
      <c r="P835" s="2"/>
    </row>
    <row r="836" ht="18.0" hidden="1" customHeight="1">
      <c r="A836" s="1"/>
      <c r="B836" s="3">
        <v>835.0</v>
      </c>
      <c r="C836" s="4">
        <v>43384.0</v>
      </c>
      <c r="D836" s="2" t="s">
        <v>642</v>
      </c>
      <c r="E836" s="2"/>
      <c r="F836" s="3" t="s">
        <v>161</v>
      </c>
      <c r="G836" s="2" t="s">
        <v>456</v>
      </c>
      <c r="H836" s="2" t="s">
        <v>486</v>
      </c>
      <c r="I836" s="3">
        <v>11.0</v>
      </c>
      <c r="J836" s="3"/>
      <c r="K836" s="5"/>
      <c r="L836" s="6" t="str">
        <f>IF(D836&lt;&gt;"",VLOOKUP(H836,TABLEITEM,2,FALSE),"")</f>
        <v>PART</v>
      </c>
      <c r="M836" s="6" t="str">
        <f>IF(D836&lt;&gt;"",VLOOKUP(H836,TABLEITEM,3,FALSE),"")</f>
        <v>กระเป๋าเอกสารรุ่น 316x45</v>
      </c>
      <c r="N836" s="7">
        <f>INSTOCK!$I836*INSTOCK!$K836</f>
        <v>0</v>
      </c>
      <c r="O836" s="2"/>
      <c r="P836" s="2"/>
    </row>
    <row r="837" ht="18.0" hidden="1" customHeight="1">
      <c r="A837" s="1"/>
      <c r="B837" s="3">
        <v>836.0</v>
      </c>
      <c r="C837" s="4">
        <v>43377.0</v>
      </c>
      <c r="D837" s="2" t="s">
        <v>986</v>
      </c>
      <c r="E837" s="2">
        <v>6.110001237E9</v>
      </c>
      <c r="F837" s="3" t="s">
        <v>161</v>
      </c>
      <c r="G837" s="2" t="s">
        <v>162</v>
      </c>
      <c r="H837" s="2" t="s">
        <v>73</v>
      </c>
      <c r="I837" s="3">
        <v>10.0</v>
      </c>
      <c r="J837" s="3"/>
      <c r="K837" s="5">
        <v>1400.0</v>
      </c>
      <c r="L837" s="6" t="str">
        <f>IF(D837&lt;&gt;"",VLOOKUP(H837,TABLEITEM,2,FALSE),"")</f>
        <v>MAT ST</v>
      </c>
      <c r="M837" s="6" t="str">
        <f>IF(D837&lt;&gt;"",VLOOKUP(H837,TABLEITEM,3,FALSE),"")</f>
        <v>แผ่นPVC ใส4'x8'T2.0</v>
      </c>
      <c r="N837" s="7">
        <f>INSTOCK!$I837*INSTOCK!$K837</f>
        <v>14000</v>
      </c>
      <c r="O837" s="2"/>
      <c r="P837" s="2"/>
    </row>
    <row r="838" ht="18.0" hidden="1" customHeight="1">
      <c r="A838" s="1"/>
      <c r="B838" s="3">
        <v>837.0</v>
      </c>
      <c r="C838" s="4">
        <v>43154.0</v>
      </c>
      <c r="D838" s="2" t="s">
        <v>987</v>
      </c>
      <c r="E838" s="2"/>
      <c r="F838" s="3" t="s">
        <v>988</v>
      </c>
      <c r="G838" s="2" t="s">
        <v>989</v>
      </c>
      <c r="H838" s="2" t="s">
        <v>990</v>
      </c>
      <c r="I838" s="3">
        <v>180.0</v>
      </c>
      <c r="J838" s="3" t="s">
        <v>78</v>
      </c>
      <c r="K838" s="5">
        <v>206.7</v>
      </c>
      <c r="L838" s="6" t="str">
        <f>IF(D838&lt;&gt;"",VLOOKUP(H838,TABLEITEM,2,FALSE),"")</f>
        <v>MAT ST</v>
      </c>
      <c r="M838" s="6" t="str">
        <f>IF(D838&lt;&gt;"",VLOOKUP(H838,TABLEITEM,3,FALSE),"")</f>
        <v>อลูมิเนียมแบน2'x3/8</v>
      </c>
      <c r="N838" s="7">
        <f>INSTOCK!$I838*INSTOCK!$K838</f>
        <v>37206</v>
      </c>
      <c r="O838" s="2"/>
      <c r="P838" s="2"/>
    </row>
    <row r="839" ht="18.0" hidden="1" customHeight="1">
      <c r="A839" s="1"/>
      <c r="B839" s="3">
        <v>838.0</v>
      </c>
      <c r="C839" s="4">
        <v>43374.0</v>
      </c>
      <c r="D839" s="2" t="s">
        <v>991</v>
      </c>
      <c r="E839" s="2">
        <v>6.109001206E9</v>
      </c>
      <c r="F839" s="3" t="s">
        <v>161</v>
      </c>
      <c r="G839" s="2" t="s">
        <v>219</v>
      </c>
      <c r="H839" s="2" t="s">
        <v>71</v>
      </c>
      <c r="I839" s="3">
        <v>30.0</v>
      </c>
      <c r="J839" s="3"/>
      <c r="K839" s="5">
        <v>2120.0</v>
      </c>
      <c r="L839" s="6" t="str">
        <f>IF(D839&lt;&gt;"",VLOOKUP(H839,TABLEITEM,2,FALSE),"")</f>
        <v>MAT ST</v>
      </c>
      <c r="M839" s="6" t="str">
        <f>IF(D839&lt;&gt;"",VLOOKUP(H839,TABLEITEM,3,FALSE),"")</f>
        <v>แผ่นอลูมิเนียม4'x8'T3.0</v>
      </c>
      <c r="N839" s="7">
        <f>INSTOCK!$I839*INSTOCK!$K839</f>
        <v>63600</v>
      </c>
      <c r="O839" s="2"/>
      <c r="P839" s="2"/>
    </row>
    <row r="840" ht="18.0" hidden="1" customHeight="1">
      <c r="A840" s="1"/>
      <c r="B840" s="3">
        <v>839.0</v>
      </c>
      <c r="C840" s="4">
        <v>43354.0</v>
      </c>
      <c r="D840" s="2" t="s">
        <v>992</v>
      </c>
      <c r="E840" s="2">
        <v>6.109001006E9</v>
      </c>
      <c r="F840" s="3" t="s">
        <v>161</v>
      </c>
      <c r="G840" s="2" t="s">
        <v>202</v>
      </c>
      <c r="H840" s="2" t="s">
        <v>85</v>
      </c>
      <c r="I840" s="3">
        <v>300.0</v>
      </c>
      <c r="J840" s="3" t="s">
        <v>78</v>
      </c>
      <c r="K840" s="5">
        <v>45.833</v>
      </c>
      <c r="L840" s="6" t="str">
        <f>IF(D840&lt;&gt;"",VLOOKUP(H840,TABLEITEM,2,FALSE),"")</f>
        <v>MAT ST</v>
      </c>
      <c r="M840" s="6" t="str">
        <f>IF(D840&lt;&gt;"",VLOOKUP(H840,TABLEITEM,3,FALSE),"")</f>
        <v>เหล็กฉาก 1''1/2'หนา3 มิล</v>
      </c>
      <c r="N840" s="7">
        <f>INSTOCK!$I840*INSTOCK!$K840</f>
        <v>13749.9</v>
      </c>
      <c r="O840" s="2"/>
      <c r="P840" s="2"/>
    </row>
    <row r="841" ht="18.0" hidden="1" customHeight="1">
      <c r="A841" s="1"/>
      <c r="B841" s="3">
        <v>840.0</v>
      </c>
      <c r="C841" s="4">
        <v>43382.0</v>
      </c>
      <c r="D841" s="2" t="s">
        <v>993</v>
      </c>
      <c r="E841" s="2">
        <v>6.1100001251E10</v>
      </c>
      <c r="F841" s="3" t="s">
        <v>994</v>
      </c>
      <c r="G841" s="2" t="s">
        <v>202</v>
      </c>
      <c r="H841" s="2" t="s">
        <v>85</v>
      </c>
      <c r="I841" s="3">
        <v>600.0</v>
      </c>
      <c r="J841" s="3" t="s">
        <v>78</v>
      </c>
      <c r="K841" s="5">
        <v>45.833</v>
      </c>
      <c r="L841" s="6" t="str">
        <f>IF(D841&lt;&gt;"",VLOOKUP(H841,TABLEITEM,2,FALSE),"")</f>
        <v>MAT ST</v>
      </c>
      <c r="M841" s="6" t="str">
        <f>IF(D841&lt;&gt;"",VLOOKUP(H841,TABLEITEM,3,FALSE),"")</f>
        <v>เหล็กฉาก 1''1/2'หนา3 มิล</v>
      </c>
      <c r="N841" s="7">
        <f>INSTOCK!$I841*INSTOCK!$K841</f>
        <v>27499.8</v>
      </c>
      <c r="O841" s="2"/>
      <c r="P841" s="2"/>
    </row>
    <row r="842" ht="18.0" hidden="1" customHeight="1">
      <c r="A842" s="1"/>
      <c r="B842" s="3">
        <v>841.0</v>
      </c>
      <c r="C842" s="4">
        <v>43354.0</v>
      </c>
      <c r="D842" s="2" t="s">
        <v>992</v>
      </c>
      <c r="E842" s="2">
        <v>6.109001006E9</v>
      </c>
      <c r="F842" s="3" t="s">
        <v>161</v>
      </c>
      <c r="G842" s="2" t="s">
        <v>202</v>
      </c>
      <c r="H842" s="2" t="s">
        <v>86</v>
      </c>
      <c r="I842" s="3">
        <v>300.0</v>
      </c>
      <c r="J842" s="3" t="s">
        <v>78</v>
      </c>
      <c r="K842" s="5">
        <v>68.33</v>
      </c>
      <c r="L842" s="6" t="str">
        <f>IF(D842&lt;&gt;"",VLOOKUP(H842,TABLEITEM,2,FALSE),"")</f>
        <v>MAT ST</v>
      </c>
      <c r="M842" s="6" t="str">
        <f>IF(D842&lt;&gt;"",VLOOKUP(H842,TABLEITEM,3,FALSE),"")</f>
        <v>เหล็กฉาก 1''1/2'หนา5 มิล</v>
      </c>
      <c r="N842" s="7">
        <f>INSTOCK!$I842*INSTOCK!$K842</f>
        <v>20499</v>
      </c>
      <c r="O842" s="2"/>
      <c r="P842" s="2"/>
    </row>
    <row r="843" ht="18.0" hidden="1" customHeight="1">
      <c r="A843" s="1"/>
      <c r="B843" s="3">
        <v>842.0</v>
      </c>
      <c r="C843" s="4">
        <v>43354.0</v>
      </c>
      <c r="D843" s="2" t="s">
        <v>992</v>
      </c>
      <c r="E843" s="2">
        <v>6.109001006E9</v>
      </c>
      <c r="F843" s="3" t="s">
        <v>161</v>
      </c>
      <c r="G843" s="2" t="s">
        <v>202</v>
      </c>
      <c r="H843" s="2" t="s">
        <v>89</v>
      </c>
      <c r="I843" s="3">
        <v>300.0</v>
      </c>
      <c r="J843" s="3" t="s">
        <v>78</v>
      </c>
      <c r="K843" s="5">
        <v>89.17</v>
      </c>
      <c r="L843" s="6" t="str">
        <f>IF(D843&lt;&gt;"",VLOOKUP(H843,TABLEITEM,2,FALSE),"")</f>
        <v>MAT ST</v>
      </c>
      <c r="M843" s="6" t="str">
        <f>IF(D843&lt;&gt;"",VLOOKUP(H843,TABLEITEM,3,FALSE),"")</f>
        <v>เหล็กฉาก 2''หนา5 มิล</v>
      </c>
      <c r="N843" s="7">
        <f>INSTOCK!$I843*INSTOCK!$K843</f>
        <v>26751</v>
      </c>
      <c r="O843" s="2"/>
      <c r="P843" s="2"/>
    </row>
    <row r="844" ht="18.0" hidden="1" customHeight="1">
      <c r="A844" s="1"/>
      <c r="B844" s="3">
        <v>843.0</v>
      </c>
      <c r="C844" s="4">
        <v>43378.0</v>
      </c>
      <c r="D844" s="2" t="s">
        <v>995</v>
      </c>
      <c r="E844" s="2">
        <v>6.110001244E9</v>
      </c>
      <c r="F844" s="3" t="s">
        <v>161</v>
      </c>
      <c r="G844" s="2" t="s">
        <v>202</v>
      </c>
      <c r="H844" s="2" t="s">
        <v>89</v>
      </c>
      <c r="I844" s="3">
        <v>300.0</v>
      </c>
      <c r="J844" s="3" t="s">
        <v>78</v>
      </c>
      <c r="K844" s="5">
        <v>88.33</v>
      </c>
      <c r="L844" s="6" t="str">
        <f>IF(D844&lt;&gt;"",VLOOKUP(H844,TABLEITEM,2,FALSE),"")</f>
        <v>MAT ST</v>
      </c>
      <c r="M844" s="6" t="str">
        <f>IF(D844&lt;&gt;"",VLOOKUP(H844,TABLEITEM,3,FALSE),"")</f>
        <v>เหล็กฉาก 2''หนา5 มิล</v>
      </c>
      <c r="N844" s="7">
        <f>INSTOCK!$I844*INSTOCK!$K844</f>
        <v>26499</v>
      </c>
      <c r="O844" s="2"/>
      <c r="P844" s="2"/>
    </row>
    <row r="845" ht="18.0" hidden="1" customHeight="1">
      <c r="A845" s="1"/>
      <c r="B845" s="3">
        <v>844.0</v>
      </c>
      <c r="C845" s="4">
        <v>43285.0</v>
      </c>
      <c r="D845" s="2" t="s">
        <v>996</v>
      </c>
      <c r="E845" s="2">
        <v>6.106000806E9</v>
      </c>
      <c r="F845" s="3" t="s">
        <v>161</v>
      </c>
      <c r="G845" s="2" t="s">
        <v>171</v>
      </c>
      <c r="H845" s="2" t="s">
        <v>17</v>
      </c>
      <c r="I845" s="3">
        <v>100.0</v>
      </c>
      <c r="J845" s="3"/>
      <c r="K845" s="5">
        <v>655.65</v>
      </c>
      <c r="L845" s="6" t="str">
        <f>IF(D845&lt;&gt;"",VLOOKUP(H845,TABLEITEM,2,FALSE),"")</f>
        <v>MAT ST</v>
      </c>
      <c r="M845" s="6" t="str">
        <f>IF(D845&lt;&gt;"",VLOOKUP(H845,TABLEITEM,3,FALSE),"")</f>
        <v>เหล็กแผ่นขาว4'x8'T1.2</v>
      </c>
      <c r="N845" s="7">
        <f>INSTOCK!$I845*INSTOCK!$K845</f>
        <v>65565</v>
      </c>
      <c r="O845" s="2"/>
      <c r="P845" s="2"/>
    </row>
    <row r="846" ht="18.0" hidden="1" customHeight="1">
      <c r="A846" s="1"/>
      <c r="B846" s="3">
        <v>845.0</v>
      </c>
      <c r="C846" s="4">
        <v>43374.0</v>
      </c>
      <c r="D846" s="2" t="s">
        <v>997</v>
      </c>
      <c r="E846" s="2">
        <v>6.109001208E9</v>
      </c>
      <c r="F846" s="3" t="s">
        <v>161</v>
      </c>
      <c r="G846" s="2" t="s">
        <v>171</v>
      </c>
      <c r="H846" s="2" t="s">
        <v>17</v>
      </c>
      <c r="I846" s="3">
        <v>100.0</v>
      </c>
      <c r="J846" s="3"/>
      <c r="K846" s="5">
        <v>683.2</v>
      </c>
      <c r="L846" s="6" t="str">
        <f>IF(D846&lt;&gt;"",VLOOKUP(H846,TABLEITEM,2,FALSE),"")</f>
        <v>MAT ST</v>
      </c>
      <c r="M846" s="6" t="str">
        <f>IF(D846&lt;&gt;"",VLOOKUP(H846,TABLEITEM,3,FALSE),"")</f>
        <v>เหล็กแผ่นขาว4'x8'T1.2</v>
      </c>
      <c r="N846" s="7">
        <f>INSTOCK!$I846*INSTOCK!$K846</f>
        <v>68320</v>
      </c>
      <c r="O846" s="2" t="s">
        <v>998</v>
      </c>
      <c r="P846" s="2"/>
    </row>
    <row r="847" ht="18.0" hidden="1" customHeight="1">
      <c r="A847" s="1"/>
      <c r="B847" s="3">
        <v>846.0</v>
      </c>
      <c r="C847" s="4">
        <v>43357.0</v>
      </c>
      <c r="D847" s="2" t="s">
        <v>999</v>
      </c>
      <c r="E847" s="2">
        <v>6.109001097E9</v>
      </c>
      <c r="F847" s="3" t="s">
        <v>161</v>
      </c>
      <c r="G847" s="2" t="s">
        <v>171</v>
      </c>
      <c r="H847" s="2" t="s">
        <v>1000</v>
      </c>
      <c r="I847" s="3">
        <v>91.0</v>
      </c>
      <c r="J847" s="3"/>
      <c r="K847" s="5">
        <v>375.0</v>
      </c>
      <c r="L847" s="6" t="str">
        <f>IF(D847&lt;&gt;"",VLOOKUP(H847,TABLEITEM,2,FALSE),"")</f>
        <v>MAT ST</v>
      </c>
      <c r="M847" s="6" t="str">
        <f>IF(D847&lt;&gt;"",VLOOKUP(H847,TABLEITEM,3,FALSE),"")</f>
        <v>เหล็กแผ่นขาว 490x2440xT1.6</v>
      </c>
      <c r="N847" s="7">
        <f>INSTOCK!$I847*INSTOCK!$K847</f>
        <v>34125</v>
      </c>
      <c r="O847" s="2" t="s">
        <v>1001</v>
      </c>
      <c r="P847" s="2"/>
    </row>
    <row r="848" ht="18.0" hidden="1" customHeight="1">
      <c r="A848" s="1"/>
      <c r="B848" s="3">
        <v>847.0</v>
      </c>
      <c r="C848" s="4">
        <v>43357.0</v>
      </c>
      <c r="D848" s="2" t="s">
        <v>999</v>
      </c>
      <c r="E848" s="2">
        <v>6.109001097E9</v>
      </c>
      <c r="F848" s="3" t="s">
        <v>161</v>
      </c>
      <c r="G848" s="2" t="s">
        <v>171</v>
      </c>
      <c r="H848" s="2" t="s">
        <v>34</v>
      </c>
      <c r="I848" s="3">
        <v>103.0</v>
      </c>
      <c r="J848" s="3"/>
      <c r="K848" s="5">
        <v>487.87</v>
      </c>
      <c r="L848" s="6" t="str">
        <f>IF(D848&lt;&gt;"",VLOOKUP(H848,TABLEITEM,2,FALSE),"")</f>
        <v>MAT ST</v>
      </c>
      <c r="M848" s="6" t="str">
        <f>IF(D848&lt;&gt;"",VLOOKUP(H848,TABLEITEM,3,FALSE),"")</f>
        <v>เหล็กแผ่นขาว729x2142T1.6</v>
      </c>
      <c r="N848" s="7">
        <f>INSTOCK!$I848*INSTOCK!$K848</f>
        <v>50250.61</v>
      </c>
      <c r="O848" s="2" t="s">
        <v>1002</v>
      </c>
      <c r="P848" s="2"/>
    </row>
    <row r="849" ht="18.0" hidden="1" customHeight="1">
      <c r="A849" s="1"/>
      <c r="B849" s="3">
        <v>848.0</v>
      </c>
      <c r="C849" s="4">
        <v>43357.0</v>
      </c>
      <c r="D849" s="2" t="s">
        <v>999</v>
      </c>
      <c r="E849" s="2">
        <v>6.109001097E9</v>
      </c>
      <c r="F849" s="3" t="s">
        <v>161</v>
      </c>
      <c r="G849" s="2" t="s">
        <v>171</v>
      </c>
      <c r="H849" s="2" t="s">
        <v>301</v>
      </c>
      <c r="I849" s="3">
        <v>40.0</v>
      </c>
      <c r="J849" s="3" t="s">
        <v>1003</v>
      </c>
      <c r="K849" s="5">
        <v>25.0</v>
      </c>
      <c r="L849" s="6" t="str">
        <f>IF(D849&lt;&gt;"",VLOOKUP(H849,TABLEITEM,2,FALSE),"")</f>
        <v>MAT ST</v>
      </c>
      <c r="M849" s="6" t="str">
        <f>IF(D849&lt;&gt;"",VLOOKUP(H849,TABLEITEM,3,FALSE),"")</f>
        <v>เหล็กแผ่นขาวT1.6(เศษ)</v>
      </c>
      <c r="N849" s="7">
        <f>INSTOCK!$I849*INSTOCK!$K849</f>
        <v>1000</v>
      </c>
      <c r="O849" s="2"/>
      <c r="P849" s="2"/>
    </row>
    <row r="850" ht="18.0" hidden="1" customHeight="1">
      <c r="A850" s="1"/>
      <c r="B850" s="3">
        <v>849.0</v>
      </c>
      <c r="C850" s="4">
        <v>43374.0</v>
      </c>
      <c r="D850" s="2" t="s">
        <v>997</v>
      </c>
      <c r="E850" s="2">
        <v>6.109001208E9</v>
      </c>
      <c r="F850" s="3" t="s">
        <v>161</v>
      </c>
      <c r="G850" s="2" t="s">
        <v>171</v>
      </c>
      <c r="H850" s="2" t="s">
        <v>19</v>
      </c>
      <c r="I850" s="3">
        <v>100.0</v>
      </c>
      <c r="J850" s="3"/>
      <c r="K850" s="5">
        <v>1122.1</v>
      </c>
      <c r="L850" s="6" t="str">
        <f>IF(D850&lt;&gt;"",VLOOKUP(H850,TABLEITEM,2,FALSE),"")</f>
        <v>MAT ST</v>
      </c>
      <c r="M850" s="6" t="str">
        <f>IF(D850&lt;&gt;"",VLOOKUP(H850,TABLEITEM,3,FALSE),"")</f>
        <v>เหล็กแผ่นขาว4'x8'T1.6</v>
      </c>
      <c r="N850" s="7">
        <f>INSTOCK!$I850*INSTOCK!$K850</f>
        <v>112210</v>
      </c>
      <c r="O850" s="2" t="s">
        <v>1004</v>
      </c>
      <c r="P850" s="2"/>
    </row>
    <row r="851" ht="18.0" hidden="1" customHeight="1">
      <c r="A851" s="1"/>
      <c r="B851" s="3">
        <v>850.0</v>
      </c>
      <c r="C851" s="4">
        <v>43283.0</v>
      </c>
      <c r="D851" s="2" t="s">
        <v>1005</v>
      </c>
      <c r="E851" s="2">
        <v>6.106000754E9</v>
      </c>
      <c r="F851" s="3" t="s">
        <v>161</v>
      </c>
      <c r="G851" s="2" t="s">
        <v>171</v>
      </c>
      <c r="H851" s="2" t="s">
        <v>21</v>
      </c>
      <c r="I851" s="3">
        <v>200.0</v>
      </c>
      <c r="J851" s="3"/>
      <c r="K851" s="5">
        <v>1099.76</v>
      </c>
      <c r="L851" s="6" t="str">
        <f>IF(D851&lt;&gt;"",VLOOKUP(H851,TABLEITEM,2,FALSE),"")</f>
        <v>MAT ST</v>
      </c>
      <c r="M851" s="6" t="str">
        <f>IF(D851&lt;&gt;"",VLOOKUP(H851,TABLEITEM,3,FALSE),"")</f>
        <v>เหล็กแผ่นขาว4'x8'T2.0</v>
      </c>
      <c r="N851" s="7">
        <f>INSTOCK!$I851*INSTOCK!$K851</f>
        <v>219952</v>
      </c>
      <c r="O851" s="2"/>
      <c r="P851" s="2"/>
    </row>
    <row r="852" ht="18.0" hidden="1" customHeight="1">
      <c r="A852" s="1"/>
      <c r="B852" s="3">
        <v>851.0</v>
      </c>
      <c r="C852" s="4">
        <v>43375.0</v>
      </c>
      <c r="D852" s="2" t="s">
        <v>1006</v>
      </c>
      <c r="E852" s="2">
        <v>6.109001208E9</v>
      </c>
      <c r="F852" s="3" t="s">
        <v>161</v>
      </c>
      <c r="G852" s="2" t="s">
        <v>171</v>
      </c>
      <c r="H852" s="2" t="s">
        <v>21</v>
      </c>
      <c r="I852" s="3">
        <v>250.0</v>
      </c>
      <c r="J852" s="3"/>
      <c r="K852" s="5">
        <v>1141.7</v>
      </c>
      <c r="L852" s="6" t="str">
        <f>IF(D852&lt;&gt;"",VLOOKUP(H852,TABLEITEM,2,FALSE),"")</f>
        <v>MAT ST</v>
      </c>
      <c r="M852" s="6" t="str">
        <f>IF(D852&lt;&gt;"",VLOOKUP(H852,TABLEITEM,3,FALSE),"")</f>
        <v>เหล็กแผ่นขาว4'x8'T2.0</v>
      </c>
      <c r="N852" s="7">
        <f>INSTOCK!$I852*INSTOCK!$K852</f>
        <v>285425</v>
      </c>
      <c r="O852" s="2" t="s">
        <v>1007</v>
      </c>
      <c r="P852" s="2"/>
    </row>
    <row r="853" ht="18.0" hidden="1" customHeight="1">
      <c r="A853" s="1"/>
      <c r="B853" s="3">
        <v>852.0</v>
      </c>
      <c r="C853" s="4">
        <v>43375.0</v>
      </c>
      <c r="D853" s="2" t="s">
        <v>1008</v>
      </c>
      <c r="E853" s="2">
        <v>6.109001208E9</v>
      </c>
      <c r="F853" s="3" t="s">
        <v>161</v>
      </c>
      <c r="G853" s="2" t="s">
        <v>171</v>
      </c>
      <c r="H853" s="2" t="s">
        <v>21</v>
      </c>
      <c r="I853" s="3">
        <v>100.0</v>
      </c>
      <c r="J853" s="3"/>
      <c r="K853" s="5">
        <v>1142.19</v>
      </c>
      <c r="L853" s="6" t="str">
        <f>IF(D853&lt;&gt;"",VLOOKUP(H853,TABLEITEM,2,FALSE),"")</f>
        <v>MAT ST</v>
      </c>
      <c r="M853" s="6" t="str">
        <f>IF(D853&lt;&gt;"",VLOOKUP(H853,TABLEITEM,3,FALSE),"")</f>
        <v>เหล็กแผ่นขาว4'x8'T2.0</v>
      </c>
      <c r="N853" s="7">
        <f>INSTOCK!$I853*INSTOCK!$K853</f>
        <v>114219</v>
      </c>
      <c r="O853" s="2" t="s">
        <v>1009</v>
      </c>
      <c r="P853" s="2"/>
    </row>
    <row r="854" ht="18.0" hidden="1" customHeight="1">
      <c r="A854" s="1"/>
      <c r="B854" s="3">
        <v>853.0</v>
      </c>
      <c r="C854" s="4">
        <v>43374.0</v>
      </c>
      <c r="D854" s="2" t="s">
        <v>997</v>
      </c>
      <c r="E854" s="2">
        <v>6.109001208E9</v>
      </c>
      <c r="F854" s="3" t="s">
        <v>161</v>
      </c>
      <c r="G854" s="2" t="s">
        <v>171</v>
      </c>
      <c r="H854" s="2" t="s">
        <v>23</v>
      </c>
      <c r="I854" s="3">
        <v>100.0</v>
      </c>
      <c r="J854" s="3"/>
      <c r="K854" s="5">
        <v>1309.44</v>
      </c>
      <c r="L854" s="6" t="str">
        <f>IF(D854&lt;&gt;"",VLOOKUP(H854,TABLEITEM,2,FALSE),"")</f>
        <v>MAT ST</v>
      </c>
      <c r="M854" s="6" t="str">
        <f>IF(D854&lt;&gt;"",VLOOKUP(H854,TABLEITEM,3,FALSE),"")</f>
        <v>เหล็กแผ่นขาว4'x8'T2.3</v>
      </c>
      <c r="N854" s="7">
        <f>INSTOCK!$I854*INSTOCK!$K854</f>
        <v>130944</v>
      </c>
      <c r="O854" s="2" t="s">
        <v>1010</v>
      </c>
      <c r="P854" s="2"/>
    </row>
    <row r="855" ht="18.0" hidden="1" customHeight="1">
      <c r="A855" s="1"/>
      <c r="B855" s="3">
        <v>854.0</v>
      </c>
      <c r="C855" s="4">
        <v>43286.0</v>
      </c>
      <c r="D855" s="2" t="s">
        <v>1011</v>
      </c>
      <c r="E855" s="2">
        <v>6.106000806E9</v>
      </c>
      <c r="F855" s="3" t="s">
        <v>161</v>
      </c>
      <c r="G855" s="2" t="s">
        <v>171</v>
      </c>
      <c r="H855" s="2" t="s">
        <v>25</v>
      </c>
      <c r="I855" s="3">
        <v>200.0</v>
      </c>
      <c r="J855" s="3"/>
      <c r="K855" s="5">
        <v>1713.162</v>
      </c>
      <c r="L855" s="6" t="str">
        <f>IF(D855&lt;&gt;"",VLOOKUP(H855,TABLEITEM,2,FALSE),"")</f>
        <v>MAT ST</v>
      </c>
      <c r="M855" s="6" t="str">
        <f>IF(D855&lt;&gt;"",VLOOKUP(H855,TABLEITEM,3,FALSE),"")</f>
        <v>เหล็กแผ่นขาว4'x8'T3.0</v>
      </c>
      <c r="N855" s="7">
        <f>INSTOCK!$I855*INSTOCK!$K855</f>
        <v>342632.4</v>
      </c>
      <c r="O855" s="2"/>
      <c r="P855" s="2"/>
    </row>
    <row r="856" ht="18.0" hidden="1" customHeight="1">
      <c r="A856" s="1"/>
      <c r="B856" s="3">
        <v>855.0</v>
      </c>
      <c r="C856" s="4">
        <v>43374.0</v>
      </c>
      <c r="D856" s="2" t="s">
        <v>1012</v>
      </c>
      <c r="E856" s="2">
        <v>6.109001208E9</v>
      </c>
      <c r="F856" s="3" t="s">
        <v>161</v>
      </c>
      <c r="G856" s="2" t="s">
        <v>171</v>
      </c>
      <c r="H856" s="2" t="s">
        <v>25</v>
      </c>
      <c r="I856" s="3">
        <v>200.0</v>
      </c>
      <c r="J856" s="3"/>
      <c r="K856" s="5">
        <v>1783.73</v>
      </c>
      <c r="L856" s="6" t="str">
        <f>IF(D856&lt;&gt;"",VLOOKUP(H856,TABLEITEM,2,FALSE),"")</f>
        <v>MAT ST</v>
      </c>
      <c r="M856" s="6" t="str">
        <f>IF(D856&lt;&gt;"",VLOOKUP(H856,TABLEITEM,3,FALSE),"")</f>
        <v>เหล็กแผ่นขาว4'x8'T3.0</v>
      </c>
      <c r="N856" s="7">
        <f>INSTOCK!$I856*INSTOCK!$K856</f>
        <v>356746</v>
      </c>
      <c r="O856" s="2" t="s">
        <v>1013</v>
      </c>
      <c r="P856" s="2"/>
    </row>
    <row r="857" ht="18.0" hidden="1" customHeight="1">
      <c r="A857" s="1"/>
      <c r="B857" s="3">
        <v>856.0</v>
      </c>
      <c r="C857" s="4">
        <v>43365.0</v>
      </c>
      <c r="D857" s="2" t="s">
        <v>1014</v>
      </c>
      <c r="E857" s="2">
        <v>6.109001142E9</v>
      </c>
      <c r="F857" s="3" t="s">
        <v>1015</v>
      </c>
      <c r="G857" s="2" t="s">
        <v>202</v>
      </c>
      <c r="H857" s="2" t="s">
        <v>54</v>
      </c>
      <c r="I857" s="3">
        <v>100.0</v>
      </c>
      <c r="J857" s="3"/>
      <c r="K857" s="5">
        <v>2725.0</v>
      </c>
      <c r="L857" s="6" t="str">
        <f>IF(D857&lt;&gt;"",VLOOKUP(H857,TABLEITEM,2,FALSE),"")</f>
        <v>MAT ST</v>
      </c>
      <c r="M857" s="6" t="str">
        <f>IF(D857&lt;&gt;"",VLOOKUP(H857,TABLEITEM,3,FALSE),"")</f>
        <v>เหล็กแผ่นดำ5'x10'T3.0</v>
      </c>
      <c r="N857" s="7">
        <f>INSTOCK!$I857*INSTOCK!$K857</f>
        <v>272500</v>
      </c>
      <c r="O857" s="2"/>
      <c r="P857" s="2"/>
    </row>
    <row r="858" ht="18.0" hidden="1" customHeight="1">
      <c r="A858" s="1"/>
      <c r="B858" s="3">
        <v>857.0</v>
      </c>
      <c r="C858" s="4">
        <v>43378.0</v>
      </c>
      <c r="D858" s="2" t="s">
        <v>1016</v>
      </c>
      <c r="E858" s="2">
        <v>6.1100001243E10</v>
      </c>
      <c r="F858" s="3" t="s">
        <v>161</v>
      </c>
      <c r="G858" s="2" t="s">
        <v>153</v>
      </c>
      <c r="H858" s="2" t="s">
        <v>107</v>
      </c>
      <c r="I858" s="3">
        <v>400.0</v>
      </c>
      <c r="J858" s="3" t="s">
        <v>78</v>
      </c>
      <c r="K858" s="5">
        <v>13.25</v>
      </c>
      <c r="L858" s="6" t="str">
        <f>IF(D858&lt;&gt;"",VLOOKUP(H858,TABLEITEM,2,FALSE),"")</f>
        <v>MAT ST</v>
      </c>
      <c r="M858" s="6" t="str">
        <f>IF(D858&lt;&gt;"",VLOOKUP(H858,TABLEITEM,3,FALSE),"")</f>
        <v>เหล็กเพลากลม 8มิล</v>
      </c>
      <c r="N858" s="7">
        <f>INSTOCK!$I858*INSTOCK!$K858</f>
        <v>5300</v>
      </c>
      <c r="O858" s="2"/>
      <c r="P858" s="2"/>
    </row>
    <row r="859" ht="18.0" hidden="1" customHeight="1">
      <c r="A859" s="1"/>
      <c r="B859" s="3">
        <v>858.0</v>
      </c>
      <c r="C859" s="4">
        <v>43365.0</v>
      </c>
      <c r="D859" s="2" t="s">
        <v>1014</v>
      </c>
      <c r="E859" s="2">
        <v>6.109001142E9</v>
      </c>
      <c r="F859" s="3" t="s">
        <v>1015</v>
      </c>
      <c r="G859" s="2" t="s">
        <v>202</v>
      </c>
      <c r="H859" s="2" t="s">
        <v>79</v>
      </c>
      <c r="I859" s="3">
        <v>300.0</v>
      </c>
      <c r="J859" s="3" t="s">
        <v>78</v>
      </c>
      <c r="K859" s="5">
        <v>161.66</v>
      </c>
      <c r="L859" s="6" t="str">
        <f>IF(D859&lt;&gt;"",VLOOKUP(H859,TABLEITEM,2,FALSE),"")</f>
        <v>MAT ST</v>
      </c>
      <c r="M859" s="6" t="str">
        <f>IF(D859&lt;&gt;"",VLOOKUP(H859,TABLEITEM,3,FALSE),"")</f>
        <v>เหล็กรางน้ำ U' 3</v>
      </c>
      <c r="N859" s="7">
        <f>INSTOCK!$I859*INSTOCK!$K859</f>
        <v>48498</v>
      </c>
      <c r="O859" s="2"/>
      <c r="P859" s="2"/>
    </row>
    <row r="860" ht="18.0" hidden="1" customHeight="1">
      <c r="A860" s="1"/>
      <c r="B860" s="3">
        <v>859.0</v>
      </c>
      <c r="C860" s="4">
        <v>43283.0</v>
      </c>
      <c r="D860" s="2" t="s">
        <v>1017</v>
      </c>
      <c r="E860" s="2">
        <v>6.106000805E9</v>
      </c>
      <c r="F860" s="3" t="s">
        <v>161</v>
      </c>
      <c r="G860" s="2" t="s">
        <v>192</v>
      </c>
      <c r="H860" s="2" t="s">
        <v>62</v>
      </c>
      <c r="I860" s="3">
        <v>36.0</v>
      </c>
      <c r="J860" s="3"/>
      <c r="K860" s="5">
        <v>2870.0</v>
      </c>
      <c r="L860" s="6" t="str">
        <f>IF(D860&lt;&gt;"",VLOOKUP(H860,TABLEITEM,2,FALSE),"")</f>
        <v>MAT ST</v>
      </c>
      <c r="M860" s="6" t="str">
        <f>IF(D860&lt;&gt;"",VLOOKUP(H860,TABLEITEM,3,FALSE),"")</f>
        <v>สแตนเลสแผ่น4'x8'T1.5</v>
      </c>
      <c r="N860" s="7">
        <f>INSTOCK!$I860*INSTOCK!$K860</f>
        <v>103320</v>
      </c>
      <c r="O860" s="2"/>
      <c r="P860" s="2"/>
    </row>
    <row r="861" ht="18.0" hidden="1" customHeight="1">
      <c r="A861" s="1"/>
      <c r="B861" s="3">
        <v>860.0</v>
      </c>
      <c r="C861" s="4">
        <v>43283.0</v>
      </c>
      <c r="D861" s="2" t="s">
        <v>1017</v>
      </c>
      <c r="E861" s="2">
        <v>6.106000805E9</v>
      </c>
      <c r="F861" s="3" t="s">
        <v>161</v>
      </c>
      <c r="G861" s="2" t="s">
        <v>192</v>
      </c>
      <c r="H861" s="2" t="s">
        <v>63</v>
      </c>
      <c r="I861" s="3">
        <v>31.0</v>
      </c>
      <c r="J861" s="3"/>
      <c r="K861" s="5">
        <v>3765.0</v>
      </c>
      <c r="L861" s="6" t="str">
        <f>IF(D861&lt;&gt;"",VLOOKUP(H861,TABLEITEM,2,FALSE),"")</f>
        <v>MAT ST</v>
      </c>
      <c r="M861" s="6" t="str">
        <f>IF(D861&lt;&gt;"",VLOOKUP(H861,TABLEITEM,3,FALSE),"")</f>
        <v>สแตนเลสแผ่น4'x8'T2.0</v>
      </c>
      <c r="N861" s="7">
        <f>INSTOCK!$I861*INSTOCK!$K861</f>
        <v>116715</v>
      </c>
      <c r="O861" s="2"/>
      <c r="P861" s="2"/>
    </row>
    <row r="862" ht="18.0" hidden="1" customHeight="1">
      <c r="A862" s="1"/>
      <c r="B862" s="3">
        <v>861.0</v>
      </c>
      <c r="C862" s="4">
        <v>43369.0</v>
      </c>
      <c r="D862" s="2" t="s">
        <v>1018</v>
      </c>
      <c r="E862" s="2">
        <v>6.109001196E9</v>
      </c>
      <c r="F862" s="3" t="s">
        <v>1019</v>
      </c>
      <c r="G862" s="2" t="s">
        <v>240</v>
      </c>
      <c r="H862" s="2" t="s">
        <v>1020</v>
      </c>
      <c r="I862" s="3">
        <v>6.0</v>
      </c>
      <c r="J862" s="3" t="s">
        <v>78</v>
      </c>
      <c r="K862" s="5">
        <v>191.66</v>
      </c>
      <c r="L862" s="6" t="str">
        <f>IF(D862&lt;&gt;"",VLOOKUP(H862,TABLEITEM,2,FALSE),"")</f>
        <v>MAT ST</v>
      </c>
      <c r="M862" s="6" t="str">
        <f>IF(D862&lt;&gt;"",VLOOKUP(H862,TABLEITEM,3,FALSE),"")</f>
        <v>กล่องแสตนเลส 1"x2" T1.5</v>
      </c>
      <c r="N862" s="7">
        <f>INSTOCK!$I862*INSTOCK!$K862</f>
        <v>1149.96</v>
      </c>
      <c r="O862" s="2"/>
      <c r="P862" s="2"/>
    </row>
    <row r="863" ht="18.0" hidden="1" customHeight="1">
      <c r="A863" s="1"/>
      <c r="B863" s="3">
        <v>862.0</v>
      </c>
      <c r="C863" s="4">
        <v>43367.0</v>
      </c>
      <c r="D863" s="2" t="s">
        <v>1021</v>
      </c>
      <c r="E863" s="2">
        <v>6.109001189E9</v>
      </c>
      <c r="F863" s="3" t="s">
        <v>1022</v>
      </c>
      <c r="G863" s="2" t="s">
        <v>240</v>
      </c>
      <c r="H863" s="2" t="s">
        <v>414</v>
      </c>
      <c r="I863" s="3">
        <v>60.0</v>
      </c>
      <c r="J863" s="3" t="s">
        <v>78</v>
      </c>
      <c r="K863" s="5">
        <v>381.66</v>
      </c>
      <c r="L863" s="6" t="str">
        <f>IF(D863&lt;&gt;"",VLOOKUP(H863,TABLEITEM,2,FALSE),"")</f>
        <v>MAT ST</v>
      </c>
      <c r="M863" s="6" t="str">
        <f>IF(D863&lt;&gt;"",VLOOKUP(H863,TABLEITEM,3,FALSE),"")</f>
        <v>ฉากสแตนเลส2'หนา5.0</v>
      </c>
      <c r="N863" s="7">
        <f>INSTOCK!$I863*INSTOCK!$K863</f>
        <v>22899.6</v>
      </c>
      <c r="O863" s="2"/>
      <c r="P863" s="2"/>
    </row>
    <row r="864" ht="18.0" hidden="1" customHeight="1">
      <c r="A864" s="1"/>
      <c r="B864" s="3">
        <v>863.0</v>
      </c>
      <c r="C864" s="4">
        <v>43371.0</v>
      </c>
      <c r="D864" s="2" t="s">
        <v>1023</v>
      </c>
      <c r="E864" s="2">
        <v>6.109001215E9</v>
      </c>
      <c r="F864" s="3" t="s">
        <v>1024</v>
      </c>
      <c r="G864" s="2" t="s">
        <v>240</v>
      </c>
      <c r="H864" s="2" t="s">
        <v>414</v>
      </c>
      <c r="I864" s="3">
        <v>18.0</v>
      </c>
      <c r="J864" s="3" t="s">
        <v>78</v>
      </c>
      <c r="K864" s="5">
        <v>381.66</v>
      </c>
      <c r="L864" s="6" t="str">
        <f>IF(D864&lt;&gt;"",VLOOKUP(H864,TABLEITEM,2,FALSE),"")</f>
        <v>MAT ST</v>
      </c>
      <c r="M864" s="6" t="str">
        <f>IF(D864&lt;&gt;"",VLOOKUP(H864,TABLEITEM,3,FALSE),"")</f>
        <v>ฉากสแตนเลส2'หนา5.0</v>
      </c>
      <c r="N864" s="7">
        <f>INSTOCK!$I864*INSTOCK!$K864</f>
        <v>6869.88</v>
      </c>
      <c r="O864" s="2"/>
      <c r="P864" s="2"/>
    </row>
    <row r="865" ht="18.0" hidden="1" customHeight="1">
      <c r="A865" s="1"/>
      <c r="B865" s="3">
        <v>864.0</v>
      </c>
      <c r="C865" s="4">
        <v>43358.0</v>
      </c>
      <c r="D865" s="2" t="s">
        <v>1025</v>
      </c>
      <c r="E865" s="2">
        <v>6.109001139E9</v>
      </c>
      <c r="F865" s="3" t="s">
        <v>1015</v>
      </c>
      <c r="G865" s="2" t="s">
        <v>240</v>
      </c>
      <c r="H865" s="2" t="s">
        <v>134</v>
      </c>
      <c r="I865" s="3">
        <v>24.0</v>
      </c>
      <c r="J865" s="3" t="s">
        <v>78</v>
      </c>
      <c r="K865" s="5">
        <v>475.0</v>
      </c>
      <c r="L865" s="6" t="str">
        <f>IF(D865&lt;&gt;"",VLOOKUP(H865,TABLEITEM,2,FALSE),"")</f>
        <v>MAT ST</v>
      </c>
      <c r="M865" s="6" t="str">
        <f>IF(D865&lt;&gt;"",VLOOKUP(H865,TABLEITEM,3,FALSE),"")</f>
        <v>ฉากสแตนเลส 2''หนา6.0</v>
      </c>
      <c r="N865" s="7">
        <f>INSTOCK!$I865*INSTOCK!$K865</f>
        <v>11400</v>
      </c>
      <c r="O865" s="2"/>
      <c r="P865" s="2"/>
    </row>
    <row r="866" ht="18.0" hidden="1" customHeight="1">
      <c r="A866" s="1"/>
      <c r="B866" s="3">
        <v>865.0</v>
      </c>
      <c r="C866" s="4">
        <v>43374.0</v>
      </c>
      <c r="D866" s="2" t="s">
        <v>1026</v>
      </c>
      <c r="E866" s="2">
        <v>6.109001207E9</v>
      </c>
      <c r="F866" s="3" t="s">
        <v>161</v>
      </c>
      <c r="G866" s="2" t="s">
        <v>240</v>
      </c>
      <c r="H866" s="2" t="s">
        <v>134</v>
      </c>
      <c r="I866" s="3">
        <v>30.0</v>
      </c>
      <c r="J866" s="3" t="s">
        <v>78</v>
      </c>
      <c r="K866" s="5">
        <v>475.0</v>
      </c>
      <c r="L866" s="6" t="str">
        <f>IF(D866&lt;&gt;"",VLOOKUP(H866,TABLEITEM,2,FALSE),"")</f>
        <v>MAT ST</v>
      </c>
      <c r="M866" s="6" t="str">
        <f>IF(D866&lt;&gt;"",VLOOKUP(H866,TABLEITEM,3,FALSE),"")</f>
        <v>ฉากสแตนเลส 2''หนา6.0</v>
      </c>
      <c r="N866" s="7">
        <f>INSTOCK!$I866*INSTOCK!$K866</f>
        <v>14250</v>
      </c>
      <c r="O866" s="2"/>
      <c r="P866" s="2"/>
    </row>
    <row r="867" ht="18.0" hidden="1" customHeight="1">
      <c r="A867" s="1"/>
      <c r="B867" s="3">
        <v>866.0</v>
      </c>
      <c r="C867" s="4">
        <v>43365.0</v>
      </c>
      <c r="D867" s="2" t="s">
        <v>628</v>
      </c>
      <c r="E867" s="2"/>
      <c r="F867" s="3" t="s">
        <v>161</v>
      </c>
      <c r="G867" s="2" t="s">
        <v>456</v>
      </c>
      <c r="H867" s="2" t="s">
        <v>534</v>
      </c>
      <c r="I867" s="3">
        <v>196.0</v>
      </c>
      <c r="J867" s="3"/>
      <c r="K867" s="5"/>
      <c r="L867" s="6" t="str">
        <f>IF(D867&lt;&gt;"",VLOOKUP(H867,TABLEITEM,2,FALSE),"")</f>
        <v>PART</v>
      </c>
      <c r="M867" s="6" t="str">
        <f>IF(D867&lt;&gt;"",VLOOKUP(H867,TABLEITEM,3,FALSE),"")</f>
        <v>ตัวแซดยึดแผ่นพื้น 60x695</v>
      </c>
      <c r="N867" s="7">
        <f>INSTOCK!$I867*INSTOCK!$K867</f>
        <v>0</v>
      </c>
      <c r="O867" s="2"/>
      <c r="P867" s="2"/>
    </row>
    <row r="868" ht="18.0" hidden="1" customHeight="1">
      <c r="A868" s="1"/>
      <c r="B868" s="3">
        <v>867.0</v>
      </c>
      <c r="C868" s="4">
        <v>43372.0</v>
      </c>
      <c r="D868" s="2" t="s">
        <v>628</v>
      </c>
      <c r="E868" s="2"/>
      <c r="F868" s="3" t="s">
        <v>161</v>
      </c>
      <c r="G868" s="2" t="s">
        <v>456</v>
      </c>
      <c r="H868" s="2" t="s">
        <v>629</v>
      </c>
      <c r="I868" s="3">
        <v>70.0</v>
      </c>
      <c r="J868" s="3"/>
      <c r="K868" s="5"/>
      <c r="L868" s="6" t="str">
        <f>IF(D868&lt;&gt;"",VLOOKUP(H868,TABLEITEM,2,FALSE),"")</f>
        <v>PART</v>
      </c>
      <c r="M868" s="6" t="str">
        <f>IF(D868&lt;&gt;"",VLOOKUP(H868,TABLEITEM,3,FALSE),"")</f>
        <v>ตัวแซดยึดแผ่นพื้น 60x895</v>
      </c>
      <c r="N868" s="7">
        <f>INSTOCK!$I868*INSTOCK!$K868</f>
        <v>0</v>
      </c>
      <c r="O868" s="2"/>
      <c r="P868" s="2"/>
    </row>
    <row r="869" ht="18.0" hidden="1" customHeight="1">
      <c r="A869" s="1"/>
      <c r="B869" s="3">
        <v>868.0</v>
      </c>
      <c r="C869" s="4">
        <v>43385.0</v>
      </c>
      <c r="D869" s="2">
        <v>77515.0</v>
      </c>
      <c r="E869" s="2">
        <v>6.110001272E9</v>
      </c>
      <c r="F869" s="3" t="s">
        <v>161</v>
      </c>
      <c r="G869" s="2" t="s">
        <v>192</v>
      </c>
      <c r="H869" s="2" t="s">
        <v>66</v>
      </c>
      <c r="I869" s="3">
        <v>2.0</v>
      </c>
      <c r="J869" s="3"/>
      <c r="K869" s="5">
        <v>5585.0</v>
      </c>
      <c r="L869" s="6" t="str">
        <f>IF(D869&lt;&gt;"",VLOOKUP(H869,TABLEITEM,2,FALSE),"")</f>
        <v>MAT ST</v>
      </c>
      <c r="M869" s="6" t="str">
        <f>IF(D869&lt;&gt;"",VLOOKUP(H869,TABLEITEM,3,FALSE),"")</f>
        <v>สแตนเลสแผ่น4'x8'T3.0</v>
      </c>
      <c r="N869" s="7">
        <f>INSTOCK!$I869*INSTOCK!$K869</f>
        <v>11170</v>
      </c>
      <c r="O869" s="2" t="s">
        <v>700</v>
      </c>
      <c r="P869" s="2"/>
    </row>
    <row r="870" ht="18.0" hidden="1" customHeight="1">
      <c r="A870" s="1"/>
      <c r="B870" s="3">
        <v>869.0</v>
      </c>
      <c r="C870" s="4">
        <v>43382.0</v>
      </c>
      <c r="D870" s="2" t="s">
        <v>1027</v>
      </c>
      <c r="E870" s="2">
        <v>6.110001299E9</v>
      </c>
      <c r="F870" s="3" t="s">
        <v>1028</v>
      </c>
      <c r="G870" s="2" t="s">
        <v>733</v>
      </c>
      <c r="H870" s="2" t="s">
        <v>1029</v>
      </c>
      <c r="I870" s="3">
        <v>1.0</v>
      </c>
      <c r="J870" s="3"/>
      <c r="K870" s="5">
        <v>300.0</v>
      </c>
      <c r="L870" s="6" t="str">
        <f>IF(D870&lt;&gt;"",VLOOKUP(H870,TABLEITEM,2,FALSE),"")</f>
        <v>MAT GL</v>
      </c>
      <c r="M870" s="6" t="str">
        <f>IF(D870&lt;&gt;"",VLOOKUP(H870,TABLEITEM,3,FALSE),"")</f>
        <v>กระจก 562x1342 T5.0</v>
      </c>
      <c r="N870" s="7">
        <f>INSTOCK!$I870*INSTOCK!$K870</f>
        <v>300</v>
      </c>
      <c r="O870" s="2"/>
      <c r="P870" s="2"/>
    </row>
    <row r="871" ht="18.0" hidden="1" customHeight="1">
      <c r="A871" s="1"/>
      <c r="B871" s="3">
        <v>870.0</v>
      </c>
      <c r="C871" s="4">
        <v>43383.0</v>
      </c>
      <c r="D871" s="2" t="s">
        <v>1030</v>
      </c>
      <c r="E871" s="2">
        <v>6.110001299E9</v>
      </c>
      <c r="F871" s="3" t="s">
        <v>770</v>
      </c>
      <c r="G871" s="2" t="s">
        <v>733</v>
      </c>
      <c r="H871" s="2" t="s">
        <v>771</v>
      </c>
      <c r="I871" s="3">
        <v>1.0</v>
      </c>
      <c r="J871" s="3"/>
      <c r="K871" s="5">
        <v>38.0</v>
      </c>
      <c r="L871" s="6" t="str">
        <f>IF(D871&lt;&gt;"",VLOOKUP(H871,TABLEITEM,2,FALSE),"")</f>
        <v>MAT GL</v>
      </c>
      <c r="M871" s="6" t="str">
        <f>IF(D871&lt;&gt;"",VLOOKUP(H871,TABLEITEM,3,FALSE),"")</f>
        <v>กระจก158x358T3.0</v>
      </c>
      <c r="N871" s="7">
        <f>INSTOCK!$I871*INSTOCK!$K871</f>
        <v>38</v>
      </c>
      <c r="O871" s="2" t="s">
        <v>700</v>
      </c>
      <c r="P871" s="2"/>
    </row>
    <row r="872" ht="18.0" hidden="1" customHeight="1">
      <c r="A872" s="1"/>
      <c r="B872" s="3">
        <v>871.0</v>
      </c>
      <c r="C872" s="4">
        <v>43384.0</v>
      </c>
      <c r="D872" s="2" t="s">
        <v>1031</v>
      </c>
      <c r="E872" s="2">
        <v>6.110001299E9</v>
      </c>
      <c r="F872" s="3" t="s">
        <v>754</v>
      </c>
      <c r="G872" s="2" t="s">
        <v>733</v>
      </c>
      <c r="H872" s="2" t="s">
        <v>752</v>
      </c>
      <c r="I872" s="3">
        <v>3.0</v>
      </c>
      <c r="J872" s="3"/>
      <c r="K872" s="5">
        <v>25.0</v>
      </c>
      <c r="L872" s="6" t="str">
        <f>IF(D872&lt;&gt;"",VLOOKUP(H872,TABLEITEM,2,FALSE),"")</f>
        <v>MAT GL</v>
      </c>
      <c r="M872" s="6" t="str">
        <f>IF(D872&lt;&gt;"",VLOOKUP(H872,TABLEITEM,3,FALSE),"")</f>
        <v>กระจก128X128T3.0</v>
      </c>
      <c r="N872" s="7">
        <f>INSTOCK!$I872*INSTOCK!$K872</f>
        <v>75</v>
      </c>
      <c r="O872" s="2" t="s">
        <v>700</v>
      </c>
      <c r="P872" s="2"/>
    </row>
    <row r="873" ht="18.0" hidden="1" customHeight="1">
      <c r="A873" s="1"/>
      <c r="B873" s="3">
        <v>872.0</v>
      </c>
      <c r="C873" s="4">
        <v>43383.0</v>
      </c>
      <c r="D873" s="2" t="s">
        <v>1032</v>
      </c>
      <c r="E873" s="2">
        <v>6.110001299E9</v>
      </c>
      <c r="F873" s="3" t="s">
        <v>1033</v>
      </c>
      <c r="G873" s="2" t="s">
        <v>733</v>
      </c>
      <c r="H873" s="2" t="s">
        <v>1034</v>
      </c>
      <c r="I873" s="3">
        <v>1.0</v>
      </c>
      <c r="J873" s="3"/>
      <c r="K873" s="5">
        <v>150.0</v>
      </c>
      <c r="L873" s="6" t="str">
        <f>IF(D873&lt;&gt;"",VLOOKUP(H873,TABLEITEM,2,FALSE),"")</f>
        <v>MAT GL</v>
      </c>
      <c r="M873" s="6" t="str">
        <f>IF(D873&lt;&gt;"",VLOOKUP(H873,TABLEITEM,3,FALSE),"")</f>
        <v>กระจก 512x712 T5.0</v>
      </c>
      <c r="N873" s="7">
        <f>INSTOCK!$I873*INSTOCK!$K873</f>
        <v>150</v>
      </c>
      <c r="O873" s="2" t="s">
        <v>700</v>
      </c>
      <c r="P873" s="2"/>
    </row>
    <row r="874" ht="18.0" hidden="1" customHeight="1">
      <c r="A874" s="1"/>
      <c r="B874" s="3">
        <v>873.0</v>
      </c>
      <c r="C874" s="4">
        <v>43388.0</v>
      </c>
      <c r="D874" s="2" t="s">
        <v>1035</v>
      </c>
      <c r="E874" s="2">
        <v>6.110001299E9</v>
      </c>
      <c r="F874" s="3" t="s">
        <v>1036</v>
      </c>
      <c r="G874" s="2" t="s">
        <v>733</v>
      </c>
      <c r="H874" s="2" t="s">
        <v>1037</v>
      </c>
      <c r="I874" s="3">
        <v>3.0</v>
      </c>
      <c r="J874" s="3"/>
      <c r="K874" s="5">
        <v>150.0</v>
      </c>
      <c r="L874" s="6" t="str">
        <f>IF(D874&lt;&gt;"",VLOOKUP(H874,TABLEITEM,2,FALSE),"")</f>
        <v>MAT GL</v>
      </c>
      <c r="M874" s="6" t="str">
        <f>IF(D874&lt;&gt;"",VLOOKUP(H874,TABLEITEM,3,FALSE),"")</f>
        <v>กระจก 502x632 T5.0</v>
      </c>
      <c r="N874" s="7">
        <f>INSTOCK!$I874*INSTOCK!$K874</f>
        <v>450</v>
      </c>
      <c r="O874" s="2" t="s">
        <v>700</v>
      </c>
      <c r="P874" s="2"/>
    </row>
    <row r="875" ht="18.0" hidden="1" customHeight="1">
      <c r="A875" s="1"/>
      <c r="B875" s="3">
        <v>874.0</v>
      </c>
      <c r="C875" s="4">
        <v>43389.0</v>
      </c>
      <c r="D875" s="2" t="s">
        <v>1038</v>
      </c>
      <c r="E875" s="2">
        <v>6.110001299E9</v>
      </c>
      <c r="F875" s="3" t="s">
        <v>1039</v>
      </c>
      <c r="G875" s="2" t="s">
        <v>733</v>
      </c>
      <c r="H875" s="2" t="s">
        <v>1040</v>
      </c>
      <c r="I875" s="3">
        <v>1.0</v>
      </c>
      <c r="J875" s="3"/>
      <c r="K875" s="5">
        <v>75.0</v>
      </c>
      <c r="L875" s="6" t="str">
        <f>IF(D875&lt;&gt;"",VLOOKUP(H875,TABLEITEM,2,FALSE),"")</f>
        <v>MAT GL</v>
      </c>
      <c r="M875" s="6" t="str">
        <f>IF(D875&lt;&gt;"",VLOOKUP(H875,TABLEITEM,3,FALSE),"")</f>
        <v>กระจก 312x412 T5.0</v>
      </c>
      <c r="N875" s="7">
        <f>INSTOCK!$I875*INSTOCK!$K875</f>
        <v>75</v>
      </c>
      <c r="O875" s="2" t="s">
        <v>700</v>
      </c>
      <c r="P875" s="2"/>
    </row>
    <row r="876" ht="18.0" hidden="1" customHeight="1">
      <c r="A876" s="1"/>
      <c r="B876" s="3">
        <v>875.0</v>
      </c>
      <c r="C876" s="4">
        <v>43385.0</v>
      </c>
      <c r="D876" s="2" t="s">
        <v>1041</v>
      </c>
      <c r="E876" s="2">
        <v>6.110001299E9</v>
      </c>
      <c r="F876" s="3" t="s">
        <v>1042</v>
      </c>
      <c r="G876" s="2" t="s">
        <v>733</v>
      </c>
      <c r="H876" s="2" t="s">
        <v>1043</v>
      </c>
      <c r="I876" s="3">
        <v>2.0</v>
      </c>
      <c r="J876" s="3"/>
      <c r="K876" s="5">
        <v>45.0</v>
      </c>
      <c r="L876" s="6" t="str">
        <f>IF(D876&lt;&gt;"",VLOOKUP(H876,TABLEITEM,2,FALSE),"")</f>
        <v>MAT GL</v>
      </c>
      <c r="M876" s="6" t="str">
        <f>IF(D876&lt;&gt;"",VLOOKUP(H876,TABLEITEM,3,FALSE),"")</f>
        <v>กระจก 245x435 T5.0</v>
      </c>
      <c r="N876" s="7">
        <f>INSTOCK!$I876*INSTOCK!$K876</f>
        <v>90</v>
      </c>
      <c r="O876" s="2" t="s">
        <v>700</v>
      </c>
      <c r="P876" s="2"/>
    </row>
    <row r="877" ht="18.0" hidden="1" customHeight="1">
      <c r="A877" s="1"/>
      <c r="B877" s="3">
        <v>876.0</v>
      </c>
      <c r="C877" s="4">
        <v>43388.0</v>
      </c>
      <c r="D877" s="2" t="s">
        <v>1044</v>
      </c>
      <c r="E877" s="2">
        <v>6.110001277E9</v>
      </c>
      <c r="F877" s="3" t="s">
        <v>161</v>
      </c>
      <c r="G877" s="2" t="s">
        <v>171</v>
      </c>
      <c r="H877" s="2" t="s">
        <v>26</v>
      </c>
      <c r="I877" s="3">
        <v>10.0</v>
      </c>
      <c r="J877" s="3"/>
      <c r="K877" s="5">
        <v>2025.0</v>
      </c>
      <c r="L877" s="6" t="str">
        <f>IF(D877&lt;&gt;"",VLOOKUP(H877,TABLEITEM,2,FALSE),"")</f>
        <v>MAT ST</v>
      </c>
      <c r="M877" s="6" t="str">
        <f>IF(D877&lt;&gt;"",VLOOKUP(H877,TABLEITEM,3,FALSE),"")</f>
        <v>เหล็กแผ่นขาว4'x8'T3.2</v>
      </c>
      <c r="N877" s="7">
        <f>INSTOCK!$I877*INSTOCK!$K877</f>
        <v>20250</v>
      </c>
      <c r="O877" s="2" t="s">
        <v>1045</v>
      </c>
      <c r="P877" s="2"/>
    </row>
    <row r="878" ht="18.0" hidden="1" customHeight="1">
      <c r="A878" s="1"/>
      <c r="B878" s="3">
        <v>877.0</v>
      </c>
      <c r="C878" s="4">
        <v>43391.0</v>
      </c>
      <c r="D878" s="2" t="s">
        <v>646</v>
      </c>
      <c r="E878" s="2"/>
      <c r="F878" s="3" t="s">
        <v>161</v>
      </c>
      <c r="G878" s="2" t="s">
        <v>456</v>
      </c>
      <c r="H878" s="2" t="s">
        <v>539</v>
      </c>
      <c r="I878" s="3">
        <v>15.0</v>
      </c>
      <c r="J878" s="3"/>
      <c r="K878" s="5"/>
      <c r="L878" s="6" t="str">
        <f>IF(D878&lt;&gt;"",VLOOKUP(H878,TABLEITEM,2,FALSE),"")</f>
        <v>PART</v>
      </c>
      <c r="M878" s="6" t="str">
        <f>IF(D878&lt;&gt;"",VLOOKUP(H878,TABLEITEM,3,FALSE),"")</f>
        <v>แพลทยึดอุปกรณ์595x250</v>
      </c>
      <c r="N878" s="7">
        <f>INSTOCK!$I878*INSTOCK!$K878</f>
        <v>0</v>
      </c>
      <c r="O878" s="2"/>
      <c r="P878" s="2"/>
    </row>
    <row r="879" ht="18.0" hidden="1" customHeight="1">
      <c r="A879" s="1"/>
      <c r="B879" s="3">
        <v>878.0</v>
      </c>
      <c r="C879" s="4">
        <v>43391.0</v>
      </c>
      <c r="D879" s="2" t="s">
        <v>638</v>
      </c>
      <c r="E879" s="2"/>
      <c r="F879" s="3" t="s">
        <v>161</v>
      </c>
      <c r="G879" s="2" t="s">
        <v>456</v>
      </c>
      <c r="H879" s="2" t="s">
        <v>573</v>
      </c>
      <c r="I879" s="3">
        <v>51.0</v>
      </c>
      <c r="J879" s="3"/>
      <c r="K879" s="5"/>
      <c r="L879" s="6" t="str">
        <f>IF(D879&lt;&gt;"",VLOOKUP(H879,TABLEITEM,2,FALSE),"")</f>
        <v>PART</v>
      </c>
      <c r="M879" s="6" t="str">
        <f>IF(D879&lt;&gt;"",VLOOKUP(H879,TABLEITEM,3,FALSE),"")</f>
        <v>คานตัวC 70x25T2.0x495</v>
      </c>
      <c r="N879" s="7">
        <f>INSTOCK!$I879*INSTOCK!$K879</f>
        <v>0</v>
      </c>
      <c r="O879" s="2"/>
      <c r="P879" s="2"/>
    </row>
    <row r="880" ht="18.0" hidden="1" customHeight="1">
      <c r="A880" s="1"/>
      <c r="B880" s="3">
        <v>879.0</v>
      </c>
      <c r="C880" s="4">
        <v>43391.0</v>
      </c>
      <c r="D880" s="2" t="s">
        <v>638</v>
      </c>
      <c r="E880" s="2"/>
      <c r="F880" s="3" t="s">
        <v>161</v>
      </c>
      <c r="G880" s="2" t="s">
        <v>456</v>
      </c>
      <c r="H880" s="2" t="s">
        <v>527</v>
      </c>
      <c r="I880" s="3">
        <v>50.0</v>
      </c>
      <c r="J880" s="3"/>
      <c r="K880" s="5"/>
      <c r="L880" s="6" t="str">
        <f>IF(D880&lt;&gt;"",VLOOKUP(H880,TABLEITEM,2,FALSE),"")</f>
        <v>PART</v>
      </c>
      <c r="M880" s="6" t="str">
        <f>IF(D880&lt;&gt;"",VLOOKUP(H880,TABLEITEM,3,FALSE),"")</f>
        <v>คานตัวC 70x25T2.0x595</v>
      </c>
      <c r="N880" s="7">
        <f>INSTOCK!$I880*INSTOCK!$K880</f>
        <v>0</v>
      </c>
      <c r="O880" s="2"/>
      <c r="P880" s="2"/>
    </row>
    <row r="881" ht="18.0" hidden="1" customHeight="1">
      <c r="A881" s="1"/>
      <c r="B881" s="3">
        <v>880.0</v>
      </c>
      <c r="C881" s="4">
        <v>43391.0</v>
      </c>
      <c r="D881" s="2" t="s">
        <v>630</v>
      </c>
      <c r="E881" s="2"/>
      <c r="F881" s="3" t="s">
        <v>161</v>
      </c>
      <c r="G881" s="2" t="s">
        <v>456</v>
      </c>
      <c r="H881" s="2" t="s">
        <v>487</v>
      </c>
      <c r="I881" s="3">
        <v>50.0</v>
      </c>
      <c r="J881" s="3"/>
      <c r="K881" s="5"/>
      <c r="L881" s="6" t="str">
        <f>IF(D881&lt;&gt;"",VLOOKUP(H881,TABLEITEM,2,FALSE),"")</f>
        <v>PART</v>
      </c>
      <c r="M881" s="6" t="str">
        <f>IF(D881&lt;&gt;"",VLOOKUP(H881,TABLEITEM,3,FALSE),"")</f>
        <v>กระเป๋าเอกสารรุ่น 316x224</v>
      </c>
      <c r="N881" s="7">
        <f>INSTOCK!$I881*INSTOCK!$K881</f>
        <v>0</v>
      </c>
      <c r="O881" s="2"/>
      <c r="P881" s="2"/>
    </row>
    <row r="882" ht="18.0" hidden="1" customHeight="1">
      <c r="A882" s="1"/>
      <c r="B882" s="3">
        <v>881.0</v>
      </c>
      <c r="C882" s="4">
        <v>43391.0</v>
      </c>
      <c r="D882" s="2" t="s">
        <v>1046</v>
      </c>
      <c r="E882" s="2"/>
      <c r="F882" s="3" t="s">
        <v>161</v>
      </c>
      <c r="G882" s="2" t="s">
        <v>456</v>
      </c>
      <c r="H882" s="2" t="s">
        <v>466</v>
      </c>
      <c r="I882" s="3">
        <v>195.0</v>
      </c>
      <c r="J882" s="3"/>
      <c r="K882" s="5"/>
      <c r="L882" s="6" t="str">
        <f>IF(D882&lt;&gt;"",VLOOKUP(H882,TABLEITEM,2,FALSE),"")</f>
        <v>PART</v>
      </c>
      <c r="M882" s="6" t="str">
        <f>IF(D882&lt;&gt;"",VLOOKUP(H882,TABLEITEM,3,FALSE),"")</f>
        <v>คานเจปรับระดับ754x68x35T3.0</v>
      </c>
      <c r="N882" s="7">
        <f>INSTOCK!$I882*INSTOCK!$K882</f>
        <v>0</v>
      </c>
      <c r="O882" s="2"/>
      <c r="P882" s="2"/>
    </row>
    <row r="883" ht="18.0" hidden="1" customHeight="1">
      <c r="A883" s="1"/>
      <c r="B883" s="3">
        <v>882.0</v>
      </c>
      <c r="C883" s="4">
        <v>43391.0</v>
      </c>
      <c r="D883" s="2" t="s">
        <v>625</v>
      </c>
      <c r="E883" s="2"/>
      <c r="F883" s="3" t="s">
        <v>161</v>
      </c>
      <c r="G883" s="2" t="s">
        <v>456</v>
      </c>
      <c r="H883" s="2" t="s">
        <v>477</v>
      </c>
      <c r="I883" s="3">
        <v>75.0</v>
      </c>
      <c r="J883" s="3"/>
      <c r="K883" s="5"/>
      <c r="L883" s="6" t="str">
        <f>IF(D883&lt;&gt;"",VLOOKUP(H883,TABLEITEM,2,FALSE),"")</f>
        <v>PART</v>
      </c>
      <c r="M883" s="6" t="str">
        <f>IF(D883&lt;&gt;"",VLOOKUP(H883,TABLEITEM,3,FALSE),"")</f>
        <v>คานเจ 2รู 65x32x654</v>
      </c>
      <c r="N883" s="7">
        <f>INSTOCK!$I883*INSTOCK!$K883</f>
        <v>0</v>
      </c>
      <c r="O883" s="2"/>
      <c r="P883" s="2"/>
    </row>
    <row r="884" ht="18.0" hidden="1" customHeight="1">
      <c r="A884" s="1"/>
      <c r="B884" s="3">
        <v>883.0</v>
      </c>
      <c r="C884" s="4">
        <v>43391.0</v>
      </c>
      <c r="D884" s="2" t="s">
        <v>625</v>
      </c>
      <c r="E884" s="2"/>
      <c r="F884" s="3" t="s">
        <v>161</v>
      </c>
      <c r="G884" s="2" t="s">
        <v>456</v>
      </c>
      <c r="H884" s="2" t="s">
        <v>626</v>
      </c>
      <c r="I884" s="3">
        <v>98.0</v>
      </c>
      <c r="J884" s="3"/>
      <c r="K884" s="5"/>
      <c r="L884" s="6" t="str">
        <f>IF(D884&lt;&gt;"",VLOOKUP(H884,TABLEITEM,2,FALSE),"")</f>
        <v>PART</v>
      </c>
      <c r="M884" s="6" t="str">
        <f>IF(D884&lt;&gt;"",VLOOKUP(H884,TABLEITEM,3,FALSE),"")</f>
        <v>คานเจ 2รู 65x32x454</v>
      </c>
      <c r="N884" s="7">
        <f>INSTOCK!$I884*INSTOCK!$K884</f>
        <v>0</v>
      </c>
      <c r="O884" s="2"/>
      <c r="P884" s="2"/>
    </row>
    <row r="885" ht="18.0" hidden="1" customHeight="1">
      <c r="A885" s="1"/>
      <c r="B885" s="3">
        <v>884.0</v>
      </c>
      <c r="C885" s="4">
        <v>43391.0</v>
      </c>
      <c r="D885" s="2" t="s">
        <v>1047</v>
      </c>
      <c r="E885" s="2"/>
      <c r="F885" s="3" t="s">
        <v>161</v>
      </c>
      <c r="G885" s="2" t="s">
        <v>456</v>
      </c>
      <c r="H885" s="2" t="s">
        <v>484</v>
      </c>
      <c r="I885" s="3">
        <v>32.0</v>
      </c>
      <c r="J885" s="3"/>
      <c r="K885" s="5"/>
      <c r="L885" s="6" t="str">
        <f>IF(D885&lt;&gt;"",VLOOKUP(H885,TABLEITEM,2,FALSE),"")</f>
        <v>PART</v>
      </c>
      <c r="M885" s="6" t="str">
        <f>IF(D885&lt;&gt;"",VLOOKUP(H885,TABLEITEM,3,FALSE),"")</f>
        <v>คานต่อโครง3mm 68x45x720</v>
      </c>
      <c r="N885" s="7">
        <f>INSTOCK!$I885*INSTOCK!$K885</f>
        <v>0</v>
      </c>
      <c r="O885" s="2"/>
      <c r="P885" s="2"/>
    </row>
    <row r="886" ht="18.0" hidden="1" customHeight="1">
      <c r="A886" s="1"/>
      <c r="B886" s="3">
        <v>885.0</v>
      </c>
      <c r="C886" s="4">
        <v>43391.0</v>
      </c>
      <c r="D886" s="2" t="s">
        <v>708</v>
      </c>
      <c r="E886" s="2"/>
      <c r="F886" s="3" t="s">
        <v>161</v>
      </c>
      <c r="G886" s="2" t="s">
        <v>456</v>
      </c>
      <c r="H886" s="2" t="s">
        <v>599</v>
      </c>
      <c r="I886" s="3">
        <v>30.0</v>
      </c>
      <c r="J886" s="3"/>
      <c r="K886" s="5"/>
      <c r="L886" s="6" t="str">
        <f>IF(D886&lt;&gt;"",VLOOKUP(H886,TABLEITEM,2,FALSE),"")</f>
        <v>PART</v>
      </c>
      <c r="M886" s="6" t="str">
        <f>IF(D886&lt;&gt;"",VLOOKUP(H886,TABLEITEM,3,FALSE),"")</f>
        <v>ฝาข้าง-ฝาหลัง 2075x770</v>
      </c>
      <c r="N886" s="7">
        <f>INSTOCK!$I886*INSTOCK!$K886</f>
        <v>0</v>
      </c>
      <c r="O886" s="2"/>
      <c r="P886" s="2"/>
    </row>
    <row r="887" ht="18.0" hidden="1" customHeight="1">
      <c r="A887" s="1"/>
      <c r="B887" s="3">
        <v>886.0</v>
      </c>
      <c r="C887" s="4">
        <v>43391.0</v>
      </c>
      <c r="D887" s="2" t="s">
        <v>708</v>
      </c>
      <c r="E887" s="2"/>
      <c r="F887" s="3" t="s">
        <v>161</v>
      </c>
      <c r="G887" s="2" t="s">
        <v>456</v>
      </c>
      <c r="H887" s="2" t="s">
        <v>461</v>
      </c>
      <c r="I887" s="3">
        <v>10.0</v>
      </c>
      <c r="J887" s="3"/>
      <c r="K887" s="5"/>
      <c r="L887" s="6" t="str">
        <f>IF(D887&lt;&gt;"",VLOOKUP(H887,TABLEITEM,2,FALSE),"")</f>
        <v>PART</v>
      </c>
      <c r="M887" s="6" t="str">
        <f>IF(D887&lt;&gt;"",VLOOKUP(H887,TABLEITEM,3,FALSE),"")</f>
        <v>ฝารูเปเปอร์ 2101x797เกล็ด</v>
      </c>
      <c r="N887" s="7">
        <f>INSTOCK!$I887*INSTOCK!$K887</f>
        <v>0</v>
      </c>
      <c r="O887" s="2"/>
      <c r="P887" s="2"/>
    </row>
    <row r="888" ht="18.0" hidden="1" customHeight="1">
      <c r="A888" s="1"/>
      <c r="B888" s="3">
        <v>887.0</v>
      </c>
      <c r="C888" s="4">
        <v>43392.0</v>
      </c>
      <c r="D888" s="2" t="s">
        <v>1048</v>
      </c>
      <c r="E888" s="2">
        <v>6.110001291E9</v>
      </c>
      <c r="F888" s="3" t="s">
        <v>161</v>
      </c>
      <c r="G888" s="2" t="s">
        <v>171</v>
      </c>
      <c r="H888" s="2" t="s">
        <v>22</v>
      </c>
      <c r="I888" s="3">
        <v>100.0</v>
      </c>
      <c r="J888" s="3"/>
      <c r="K888" s="5">
        <v>1413.27</v>
      </c>
      <c r="L888" s="6" t="str">
        <f>IF(D888&lt;&gt;"",VLOOKUP(H888,TABLEITEM,2,FALSE),"")</f>
        <v>MAT ST</v>
      </c>
      <c r="M888" s="6" t="str">
        <f>IF(D888&lt;&gt;"",VLOOKUP(H888,TABLEITEM,3,FALSE),"")</f>
        <v>เหล็กแผ่นขาว4''X3000T2.0</v>
      </c>
      <c r="N888" s="7">
        <f>INSTOCK!$I888*INSTOCK!$K888</f>
        <v>141327</v>
      </c>
      <c r="O888" s="2" t="s">
        <v>1049</v>
      </c>
      <c r="P888" s="2"/>
    </row>
    <row r="889" ht="18.0" hidden="1" customHeight="1">
      <c r="A889" s="1"/>
      <c r="B889" s="3">
        <v>888.0</v>
      </c>
      <c r="C889" s="4">
        <v>43392.0</v>
      </c>
      <c r="D889" s="2" t="s">
        <v>1050</v>
      </c>
      <c r="E889" s="2">
        <v>6.110001291E9</v>
      </c>
      <c r="F889" s="3" t="s">
        <v>161</v>
      </c>
      <c r="G889" s="2" t="s">
        <v>171</v>
      </c>
      <c r="H889" s="2" t="s">
        <v>42</v>
      </c>
      <c r="I889" s="3">
        <v>200.0</v>
      </c>
      <c r="J889" s="3"/>
      <c r="K889" s="5">
        <v>1282.96</v>
      </c>
      <c r="L889" s="6" t="str">
        <f>IF(D889&lt;&gt;"",VLOOKUP(H889,TABLEITEM,2,FALSE),"")</f>
        <v>MAT ST</v>
      </c>
      <c r="M889" s="6" t="str">
        <f>IF(D889&lt;&gt;"",VLOOKUP(H889,TABLEITEM,3,FALSE),"")</f>
        <v>เหล็กแผ่นEG4'x8'T2.0</v>
      </c>
      <c r="N889" s="7">
        <f>INSTOCK!$I889*INSTOCK!$K889</f>
        <v>256592</v>
      </c>
      <c r="O889" s="2" t="s">
        <v>1051</v>
      </c>
      <c r="P889" s="2"/>
    </row>
    <row r="890" ht="18.0" hidden="1" customHeight="1">
      <c r="A890" s="1"/>
      <c r="B890" s="3">
        <v>889.0</v>
      </c>
      <c r="C890" s="4">
        <v>43392.0</v>
      </c>
      <c r="D890" s="2" t="s">
        <v>726</v>
      </c>
      <c r="E890" s="2"/>
      <c r="F890" s="3" t="s">
        <v>161</v>
      </c>
      <c r="G890" s="2" t="s">
        <v>456</v>
      </c>
      <c r="H890" s="2" t="s">
        <v>513</v>
      </c>
      <c r="I890" s="3">
        <v>252.0</v>
      </c>
      <c r="J890" s="3"/>
      <c r="K890" s="5"/>
      <c r="L890" s="6" t="str">
        <f>IF(D890&lt;&gt;"",VLOOKUP(H890,TABLEITEM,2,FALSE),"")</f>
        <v>PART</v>
      </c>
      <c r="M890" s="6" t="str">
        <f>IF(D890&lt;&gt;"",VLOOKUP(H890,TABLEITEM,3,FALSE),"")</f>
        <v>เสาเชื่อม1925x40x50</v>
      </c>
      <c r="N890" s="7">
        <f>INSTOCK!$I890*INSTOCK!$K890</f>
        <v>0</v>
      </c>
      <c r="O890" s="2"/>
      <c r="P890" s="2"/>
    </row>
    <row r="891" ht="18.0" hidden="1" customHeight="1">
      <c r="A891" s="1"/>
      <c r="B891" s="3">
        <v>890.0</v>
      </c>
      <c r="C891" s="4">
        <v>43392.0</v>
      </c>
      <c r="D891" s="2" t="s">
        <v>726</v>
      </c>
      <c r="E891" s="2"/>
      <c r="F891" s="3" t="s">
        <v>161</v>
      </c>
      <c r="G891" s="2" t="s">
        <v>456</v>
      </c>
      <c r="H891" s="2" t="s">
        <v>493</v>
      </c>
      <c r="I891" s="3">
        <v>27.0</v>
      </c>
      <c r="J891" s="3"/>
      <c r="K891" s="5"/>
      <c r="L891" s="6" t="str">
        <f>IF(D891&lt;&gt;"",VLOOKUP(H891,TABLEITEM,2,FALSE),"")</f>
        <v>PART</v>
      </c>
      <c r="M891" s="6" t="str">
        <f>IF(D891&lt;&gt;"",VLOOKUP(H891,TABLEITEM,3,FALSE),"")</f>
        <v>เสาเชื่อม2125x40x50</v>
      </c>
      <c r="N891" s="7">
        <f>INSTOCK!$I891*INSTOCK!$K891</f>
        <v>0</v>
      </c>
      <c r="O891" s="2"/>
      <c r="P891" s="2"/>
    </row>
    <row r="892" ht="18.0" hidden="1" customHeight="1">
      <c r="A892" s="1"/>
      <c r="B892" s="3">
        <v>891.0</v>
      </c>
      <c r="C892" s="4">
        <v>43397.0</v>
      </c>
      <c r="D892" s="2" t="s">
        <v>1052</v>
      </c>
      <c r="E892" s="2"/>
      <c r="F892" s="3" t="s">
        <v>161</v>
      </c>
      <c r="G892" s="2" t="s">
        <v>456</v>
      </c>
      <c r="H892" s="2" t="s">
        <v>503</v>
      </c>
      <c r="I892" s="3">
        <v>41.0</v>
      </c>
      <c r="J892" s="3"/>
      <c r="K892" s="5"/>
      <c r="L892" s="6" t="str">
        <f>IF(D892&lt;&gt;"",VLOOKUP(H892,TABLEITEM,2,FALSE),"")</f>
        <v>PART</v>
      </c>
      <c r="M892" s="6" t="str">
        <f>IF(D892&lt;&gt;"",VLOOKUP(H892,TABLEITEM,3,FALSE),"")</f>
        <v>แพลทยึดอุปกรณ์220x700</v>
      </c>
      <c r="N892" s="7">
        <f>INSTOCK!$I892*INSTOCK!$K892</f>
        <v>0</v>
      </c>
      <c r="O892" s="2"/>
      <c r="P892" s="2"/>
    </row>
    <row r="893" ht="18.0" hidden="1" customHeight="1">
      <c r="A893" s="1"/>
      <c r="B893" s="3">
        <v>892.0</v>
      </c>
      <c r="C893" s="4">
        <v>43397.0</v>
      </c>
      <c r="D893" s="2" t="s">
        <v>706</v>
      </c>
      <c r="E893" s="2"/>
      <c r="F893" s="3" t="s">
        <v>161</v>
      </c>
      <c r="G893" s="2" t="s">
        <v>456</v>
      </c>
      <c r="H893" s="2" t="s">
        <v>542</v>
      </c>
      <c r="I893" s="3">
        <v>30.0</v>
      </c>
      <c r="J893" s="3"/>
      <c r="K893" s="5"/>
      <c r="L893" s="6" t="str">
        <f>IF(D893&lt;&gt;"",VLOOKUP(H893,TABLEITEM,2,FALSE),"")</f>
        <v>PART</v>
      </c>
      <c r="M893" s="6" t="str">
        <f>IF(D893&lt;&gt;"",VLOOKUP(H893,TABLEITEM,3,FALSE),"")</f>
        <v>ฝาข้าง-ฝาหลัง 1875x770</v>
      </c>
      <c r="N893" s="7">
        <f>INSTOCK!$I893*INSTOCK!$K893</f>
        <v>0</v>
      </c>
      <c r="O893" s="2"/>
      <c r="P893" s="2"/>
    </row>
    <row r="894" ht="18.0" hidden="1" customHeight="1">
      <c r="A894" s="1"/>
      <c r="B894" s="3">
        <v>893.0</v>
      </c>
      <c r="C894" s="4">
        <v>43398.0</v>
      </c>
      <c r="D894" s="2" t="s">
        <v>722</v>
      </c>
      <c r="E894" s="2"/>
      <c r="F894" s="3" t="s">
        <v>161</v>
      </c>
      <c r="G894" s="2" t="s">
        <v>456</v>
      </c>
      <c r="H894" s="2" t="s">
        <v>495</v>
      </c>
      <c r="I894" s="3">
        <v>135.0</v>
      </c>
      <c r="J894" s="3"/>
      <c r="K894" s="5"/>
      <c r="L894" s="6" t="str">
        <f>IF(D894&lt;&gt;"",VLOOKUP(H894,TABLEITEM,2,FALSE),"")</f>
        <v>PART</v>
      </c>
      <c r="M894" s="6" t="str">
        <f>IF(D894&lt;&gt;"",VLOOKUP(H894,TABLEITEM,3,FALSE),"")</f>
        <v>คานเชื่อม800</v>
      </c>
      <c r="N894" s="7">
        <f>INSTOCK!$I894*INSTOCK!$K894</f>
        <v>0</v>
      </c>
      <c r="O894" s="2"/>
      <c r="P894" s="2"/>
    </row>
    <row r="895" ht="18.0" hidden="1" customHeight="1">
      <c r="A895" s="1"/>
      <c r="B895" s="3">
        <v>894.0</v>
      </c>
      <c r="C895" s="4">
        <v>43399.0</v>
      </c>
      <c r="D895" s="2" t="s">
        <v>1046</v>
      </c>
      <c r="E895" s="2"/>
      <c r="F895" s="3" t="s">
        <v>161</v>
      </c>
      <c r="G895" s="2" t="s">
        <v>456</v>
      </c>
      <c r="H895" s="2" t="s">
        <v>517</v>
      </c>
      <c r="I895" s="3">
        <v>172.0</v>
      </c>
      <c r="J895" s="3"/>
      <c r="K895" s="5"/>
      <c r="L895" s="6" t="str">
        <f>IF(D895&lt;&gt;"",VLOOKUP(H895,TABLEITEM,2,FALSE),"")</f>
        <v>PART</v>
      </c>
      <c r="M895" s="6" t="str">
        <f>IF(D895&lt;&gt;"",VLOOKUP(H895,TABLEITEM,3,FALSE),"")</f>
        <v>คานเจปรับระดับ954x68x35T3.0</v>
      </c>
      <c r="N895" s="7">
        <f>INSTOCK!$I895*INSTOCK!$K895</f>
        <v>0</v>
      </c>
      <c r="O895" s="2"/>
      <c r="P895" s="2"/>
    </row>
    <row r="896" ht="18.0" hidden="1" customHeight="1">
      <c r="A896" s="1"/>
      <c r="B896" s="3">
        <v>895.0</v>
      </c>
      <c r="C896" s="4">
        <v>43399.0</v>
      </c>
      <c r="D896" s="2" t="s">
        <v>1053</v>
      </c>
      <c r="E896" s="2"/>
      <c r="F896" s="3" t="s">
        <v>161</v>
      </c>
      <c r="G896" s="2" t="s">
        <v>456</v>
      </c>
      <c r="H896" s="2" t="s">
        <v>720</v>
      </c>
      <c r="I896" s="3">
        <v>102.0</v>
      </c>
      <c r="J896" s="3"/>
      <c r="K896" s="5"/>
      <c r="L896" s="6" t="str">
        <f>IF(D896&lt;&gt;"",VLOOKUP(H896,TABLEITEM,2,FALSE),"")</f>
        <v>PART</v>
      </c>
      <c r="M896" s="6" t="str">
        <f>IF(D896&lt;&gt;"",VLOOKUP(H896,TABLEITEM,3,FALSE),"")</f>
        <v>คานต่อโครง4รูดาม720x68x45</v>
      </c>
      <c r="N896" s="7">
        <f>INSTOCK!$I896*INSTOCK!$K896</f>
        <v>0</v>
      </c>
      <c r="O896" s="2"/>
      <c r="P896" s="2"/>
    </row>
    <row r="897" ht="18.0" hidden="1" customHeight="1">
      <c r="A897" s="1"/>
      <c r="B897" s="3">
        <v>896.0</v>
      </c>
      <c r="C897" s="4">
        <v>43399.0</v>
      </c>
      <c r="D897" s="2" t="s">
        <v>1054</v>
      </c>
      <c r="E897" s="2"/>
      <c r="F897" s="3" t="s">
        <v>161</v>
      </c>
      <c r="G897" s="2" t="s">
        <v>456</v>
      </c>
      <c r="H897" s="2" t="s">
        <v>550</v>
      </c>
      <c r="I897" s="3">
        <v>265.0</v>
      </c>
      <c r="J897" s="3"/>
      <c r="K897" s="5"/>
      <c r="L897" s="6" t="str">
        <f>IF(D897&lt;&gt;"",VLOOKUP(H897,TABLEITEM,2,FALSE),"")</f>
        <v>PART</v>
      </c>
      <c r="M897" s="6" t="str">
        <f>IF(D897&lt;&gt;"",VLOOKUP(H897,TABLEITEM,3,FALSE),"")</f>
        <v>ฉากตัวZ รับแผ่นกั้น50x34x29</v>
      </c>
      <c r="N897" s="7">
        <f>INSTOCK!$I897*INSTOCK!$K897</f>
        <v>0</v>
      </c>
      <c r="O897" s="2"/>
      <c r="P897" s="2"/>
    </row>
    <row r="898" ht="18.0" hidden="1" customHeight="1">
      <c r="A898" s="1"/>
      <c r="B898" s="3">
        <v>897.0</v>
      </c>
      <c r="C898" s="4">
        <v>43395.0</v>
      </c>
      <c r="D898" s="2" t="s">
        <v>1055</v>
      </c>
      <c r="E898" s="2">
        <v>6.1110001302E10</v>
      </c>
      <c r="F898" s="3" t="s">
        <v>161</v>
      </c>
      <c r="G898" s="2" t="s">
        <v>171</v>
      </c>
      <c r="H898" s="2" t="s">
        <v>46</v>
      </c>
      <c r="I898" s="3">
        <v>7.0</v>
      </c>
      <c r="J898" s="3"/>
      <c r="K898" s="5">
        <v>2205.0</v>
      </c>
      <c r="L898" s="6" t="s">
        <v>1056</v>
      </c>
      <c r="M898" s="6" t="s">
        <v>1057</v>
      </c>
      <c r="N898" s="7">
        <f>INSTOCK!$I898*INSTOCK!$K898</f>
        <v>15435</v>
      </c>
      <c r="O898" s="2"/>
      <c r="P898" s="2"/>
    </row>
    <row r="899" ht="18.0" hidden="1" customHeight="1">
      <c r="A899" s="1"/>
      <c r="B899" s="3">
        <v>898.0</v>
      </c>
      <c r="C899" s="4">
        <v>43374.0</v>
      </c>
      <c r="D899" s="2" t="s">
        <v>1058</v>
      </c>
      <c r="E899" s="2" t="s">
        <v>1059</v>
      </c>
      <c r="F899" s="3" t="s">
        <v>161</v>
      </c>
      <c r="G899" s="2" t="s">
        <v>146</v>
      </c>
      <c r="H899" s="2" t="s">
        <v>21</v>
      </c>
      <c r="I899" s="3">
        <v>7.0</v>
      </c>
      <c r="J899" s="3"/>
      <c r="K899" s="5">
        <v>1139.97</v>
      </c>
      <c r="L899" s="6" t="s">
        <v>1056</v>
      </c>
      <c r="M899" s="6" t="s">
        <v>1060</v>
      </c>
      <c r="N899" s="7">
        <f>INSTOCK!$I899*INSTOCK!$K899</f>
        <v>7979.79</v>
      </c>
      <c r="O899" s="2"/>
      <c r="P899" s="2"/>
    </row>
    <row r="900" ht="18.0" hidden="1" customHeight="1">
      <c r="A900" s="1"/>
      <c r="B900" s="3">
        <v>899.0</v>
      </c>
      <c r="C900" s="4">
        <v>43397.0</v>
      </c>
      <c r="D900" s="2" t="s">
        <v>1061</v>
      </c>
      <c r="E900" s="2">
        <v>6.110001308E9</v>
      </c>
      <c r="F900" s="3" t="s">
        <v>789</v>
      </c>
      <c r="G900" s="2" t="s">
        <v>146</v>
      </c>
      <c r="H900" s="2" t="s">
        <v>97</v>
      </c>
      <c r="I900" s="3">
        <v>90.0</v>
      </c>
      <c r="J900" s="3" t="s">
        <v>78</v>
      </c>
      <c r="K900" s="5">
        <v>75.0</v>
      </c>
      <c r="L900" s="6" t="s">
        <v>1056</v>
      </c>
      <c r="M900" s="6" t="s">
        <v>1062</v>
      </c>
      <c r="N900" s="7">
        <f>INSTOCK!$I900*INSTOCK!$K900</f>
        <v>6750</v>
      </c>
      <c r="O900" s="2" t="s">
        <v>1063</v>
      </c>
      <c r="P900" s="2"/>
    </row>
    <row r="901" ht="18.0" hidden="1" customHeight="1">
      <c r="A901" s="1"/>
      <c r="B901" s="3">
        <v>900.0</v>
      </c>
      <c r="C901" s="4">
        <v>43397.0</v>
      </c>
      <c r="D901" s="2" t="s">
        <v>1061</v>
      </c>
      <c r="E901" s="2">
        <v>6.110001308E9</v>
      </c>
      <c r="F901" s="3" t="s">
        <v>789</v>
      </c>
      <c r="G901" s="2" t="s">
        <v>146</v>
      </c>
      <c r="H901" s="2" t="s">
        <v>1064</v>
      </c>
      <c r="I901" s="3">
        <v>12.0</v>
      </c>
      <c r="J901" s="3" t="s">
        <v>78</v>
      </c>
      <c r="K901" s="5">
        <v>215.8333</v>
      </c>
      <c r="L901" s="6" t="s">
        <v>1056</v>
      </c>
      <c r="M901" s="6" t="s">
        <v>1065</v>
      </c>
      <c r="N901" s="7">
        <f>INSTOCK!$I901*INSTOCK!$K901</f>
        <v>2589.9996</v>
      </c>
      <c r="O901" s="2" t="s">
        <v>1066</v>
      </c>
      <c r="P901" s="2"/>
    </row>
    <row r="902" ht="18.0" hidden="1" customHeight="1">
      <c r="A902" s="1"/>
      <c r="B902" s="3">
        <v>901.0</v>
      </c>
      <c r="C902" s="4">
        <v>43397.0</v>
      </c>
      <c r="D902" s="2" t="s">
        <v>1061</v>
      </c>
      <c r="E902" s="2">
        <v>6.110001308E9</v>
      </c>
      <c r="F902" s="3" t="s">
        <v>789</v>
      </c>
      <c r="G902" s="2" t="s">
        <v>146</v>
      </c>
      <c r="H902" s="2" t="s">
        <v>1067</v>
      </c>
      <c r="I902" s="3">
        <v>78.0</v>
      </c>
      <c r="J902" s="3" t="s">
        <v>78</v>
      </c>
      <c r="K902" s="5">
        <v>37.6666</v>
      </c>
      <c r="L902" s="6" t="s">
        <v>1056</v>
      </c>
      <c r="M902" s="6" t="s">
        <v>1068</v>
      </c>
      <c r="N902" s="7">
        <f>INSTOCK!$I902*INSTOCK!$K902</f>
        <v>2937.9948</v>
      </c>
      <c r="O902" s="2" t="s">
        <v>1069</v>
      </c>
      <c r="P902" s="2"/>
    </row>
    <row r="903" ht="18.0" hidden="1" customHeight="1">
      <c r="A903" s="1"/>
      <c r="B903" s="3">
        <v>902.0</v>
      </c>
      <c r="C903" s="4">
        <v>43397.0</v>
      </c>
      <c r="D903" s="2" t="s">
        <v>1061</v>
      </c>
      <c r="E903" s="2">
        <v>6.110001308E9</v>
      </c>
      <c r="F903" s="3" t="s">
        <v>789</v>
      </c>
      <c r="G903" s="2" t="s">
        <v>146</v>
      </c>
      <c r="H903" s="2" t="s">
        <v>1070</v>
      </c>
      <c r="I903" s="3">
        <v>120.0</v>
      </c>
      <c r="J903" s="3" t="s">
        <v>78</v>
      </c>
      <c r="K903" s="5">
        <v>51.666</v>
      </c>
      <c r="L903" s="6" t="s">
        <v>1056</v>
      </c>
      <c r="M903" s="6" t="s">
        <v>1071</v>
      </c>
      <c r="N903" s="7">
        <f>INSTOCK!$I903*INSTOCK!$K903</f>
        <v>6199.92</v>
      </c>
      <c r="O903" s="2" t="s">
        <v>1072</v>
      </c>
      <c r="P903" s="2"/>
    </row>
    <row r="904" ht="18.0" hidden="1" customHeight="1">
      <c r="A904" s="1"/>
      <c r="B904" s="3">
        <v>903.0</v>
      </c>
      <c r="C904" s="4">
        <v>43389.0</v>
      </c>
      <c r="D904" s="2" t="s">
        <v>1073</v>
      </c>
      <c r="E904" s="2">
        <v>6.110001322E9</v>
      </c>
      <c r="F904" s="3" t="s">
        <v>1074</v>
      </c>
      <c r="G904" s="2" t="s">
        <v>733</v>
      </c>
      <c r="H904" s="2" t="s">
        <v>1075</v>
      </c>
      <c r="I904" s="3">
        <v>1.0</v>
      </c>
      <c r="J904" s="3"/>
      <c r="K904" s="5">
        <v>115.0</v>
      </c>
      <c r="L904" s="6" t="s">
        <v>1076</v>
      </c>
      <c r="M904" s="41" t="s">
        <v>1076</v>
      </c>
      <c r="N904" s="7">
        <f>INSTOCK!$I904*INSTOCK!$K904</f>
        <v>115</v>
      </c>
      <c r="O904" s="2"/>
      <c r="P904" s="2"/>
    </row>
    <row r="905" ht="18.0" hidden="1" customHeight="1">
      <c r="A905" s="1"/>
      <c r="B905" s="3">
        <v>904.0</v>
      </c>
      <c r="C905" s="4">
        <v>43390.0</v>
      </c>
      <c r="D905" s="2" t="s">
        <v>1077</v>
      </c>
      <c r="E905" s="2">
        <v>6.110001322E9</v>
      </c>
      <c r="F905" s="3" t="s">
        <v>1078</v>
      </c>
      <c r="G905" s="2" t="s">
        <v>733</v>
      </c>
      <c r="H905" s="2" t="s">
        <v>1079</v>
      </c>
      <c r="I905" s="3">
        <v>2.0</v>
      </c>
      <c r="J905" s="3"/>
      <c r="K905" s="5">
        <v>187.0</v>
      </c>
      <c r="L905" s="6" t="str">
        <f>IF(D905&lt;&gt;"",VLOOKUP(H905,TABLEITEM,2,FALSE),"")</f>
        <v>MAT GL</v>
      </c>
      <c r="M905" s="6" t="str">
        <f>IF(D905&lt;&gt;"",VLOOKUP(H905,TABLEITEM,3,FALSE),"")</f>
        <v>กระจก 612x712 T5.0</v>
      </c>
      <c r="N905" s="7">
        <f>INSTOCK!$I905*INSTOCK!$K905</f>
        <v>374</v>
      </c>
      <c r="O905" s="2"/>
      <c r="P905" s="2"/>
    </row>
    <row r="906" ht="18.0" hidden="1" customHeight="1">
      <c r="A906" s="1"/>
      <c r="B906" s="3">
        <v>905.0</v>
      </c>
      <c r="C906" s="4">
        <v>43395.0</v>
      </c>
      <c r="D906" s="2" t="s">
        <v>1080</v>
      </c>
      <c r="E906" s="2">
        <v>6.109001134E9</v>
      </c>
      <c r="F906" s="3"/>
      <c r="G906" s="2" t="s">
        <v>733</v>
      </c>
      <c r="H906" s="2" t="s">
        <v>1081</v>
      </c>
      <c r="I906" s="3">
        <v>12.0</v>
      </c>
      <c r="J906" s="3"/>
      <c r="K906" s="5">
        <v>150.0</v>
      </c>
      <c r="L906" s="6" t="str">
        <f>IF(D906&lt;&gt;"",VLOOKUP(H906,TABLEITEM,2,FALSE),"")</f>
        <v>MAT GL</v>
      </c>
      <c r="M906" s="6" t="str">
        <f>IF(D906&lt;&gt;"",VLOOKUP(H906,TABLEITEM,3,FALSE),"")</f>
        <v>กระจก458X733T5.0</v>
      </c>
      <c r="N906" s="7">
        <f>INSTOCK!$I906*INSTOCK!$K906</f>
        <v>1800</v>
      </c>
      <c r="O906" s="2"/>
      <c r="P906" s="2"/>
    </row>
    <row r="907" ht="18.0" hidden="1" customHeight="1">
      <c r="A907" s="1"/>
      <c r="B907" s="3">
        <v>906.0</v>
      </c>
      <c r="C907" s="4">
        <v>43395.0</v>
      </c>
      <c r="D907" s="2" t="s">
        <v>1080</v>
      </c>
      <c r="E907" s="2">
        <v>6.109001134E9</v>
      </c>
      <c r="F907" s="3"/>
      <c r="G907" s="2" t="s">
        <v>733</v>
      </c>
      <c r="H907" s="2" t="s">
        <v>1082</v>
      </c>
      <c r="I907" s="3">
        <v>1.0</v>
      </c>
      <c r="J907" s="3"/>
      <c r="K907" s="5">
        <v>120.0</v>
      </c>
      <c r="L907" s="6" t="str">
        <f>IF(D907&lt;&gt;"",VLOOKUP(H907,TABLEITEM,2,FALSE),"")</f>
        <v>MAT GL</v>
      </c>
      <c r="M907" s="6" t="str">
        <f>IF(D907&lt;&gt;"",VLOOKUP(H907,TABLEITEM,3,FALSE),"")</f>
        <v>กระจก512X512T5.0</v>
      </c>
      <c r="N907" s="7">
        <f>INSTOCK!$I907*INSTOCK!$K907</f>
        <v>120</v>
      </c>
      <c r="O907" s="2"/>
      <c r="P907" s="2"/>
    </row>
    <row r="908" ht="18.0" hidden="1" customHeight="1">
      <c r="A908" s="1"/>
      <c r="B908" s="3">
        <v>907.0</v>
      </c>
      <c r="C908" s="4">
        <v>43395.0</v>
      </c>
      <c r="D908" s="2" t="s">
        <v>1080</v>
      </c>
      <c r="E908" s="2">
        <v>6.109001134E9</v>
      </c>
      <c r="F908" s="3"/>
      <c r="G908" s="2" t="s">
        <v>733</v>
      </c>
      <c r="H908" s="2" t="s">
        <v>949</v>
      </c>
      <c r="I908" s="3">
        <v>2.0</v>
      </c>
      <c r="J908" s="3"/>
      <c r="K908" s="5">
        <v>225.0</v>
      </c>
      <c r="L908" s="6" t="str">
        <f>IF(D908&lt;&gt;"",VLOOKUP(H908,TABLEITEM,2,FALSE),"")</f>
        <v>MAT GL</v>
      </c>
      <c r="M908" s="6" t="str">
        <f>IF(D908&lt;&gt;"",VLOOKUP(H908,TABLEITEM,3,FALSE),"")</f>
        <v>กระจก612x912T5.0</v>
      </c>
      <c r="N908" s="7">
        <f>INSTOCK!$I908*INSTOCK!$K908</f>
        <v>450</v>
      </c>
      <c r="O908" s="2"/>
      <c r="P908" s="2"/>
    </row>
    <row r="909" ht="18.0" hidden="1" customHeight="1">
      <c r="A909" s="1"/>
      <c r="B909" s="3">
        <v>908.0</v>
      </c>
      <c r="C909" s="4">
        <v>43395.0</v>
      </c>
      <c r="D909" s="2" t="s">
        <v>1083</v>
      </c>
      <c r="E909" s="2">
        <v>6.109001134E9</v>
      </c>
      <c r="F909" s="3"/>
      <c r="G909" s="2" t="s">
        <v>733</v>
      </c>
      <c r="H909" s="2" t="s">
        <v>1084</v>
      </c>
      <c r="I909" s="3">
        <v>5.0</v>
      </c>
      <c r="J909" s="3"/>
      <c r="K909" s="5">
        <v>90.0</v>
      </c>
      <c r="L909" s="6" t="str">
        <f>IF(D909&lt;&gt;"",VLOOKUP(H909,TABLEITEM,2,FALSE),"")</f>
        <v>MAT GL</v>
      </c>
      <c r="M909" s="6" t="str">
        <f>IF(D909&lt;&gt;"",VLOOKUP(H909,TABLEITEM,3,FALSE),"")</f>
        <v>กระจก 372x582 T5.0</v>
      </c>
      <c r="N909" s="7">
        <f>INSTOCK!$I909*INSTOCK!$K909</f>
        <v>450</v>
      </c>
      <c r="O909" s="2"/>
      <c r="P909" s="2"/>
    </row>
    <row r="910" ht="18.0" hidden="1" customHeight="1">
      <c r="A910" s="1"/>
      <c r="B910" s="3">
        <v>909.0</v>
      </c>
      <c r="C910" s="4">
        <v>43395.0</v>
      </c>
      <c r="D910" s="2" t="s">
        <v>1083</v>
      </c>
      <c r="E910" s="2">
        <v>6.109001134E9</v>
      </c>
      <c r="F910" s="3"/>
      <c r="G910" s="2" t="s">
        <v>733</v>
      </c>
      <c r="H910" s="2" t="s">
        <v>1085</v>
      </c>
      <c r="I910" s="3">
        <v>1.0</v>
      </c>
      <c r="J910" s="3"/>
      <c r="K910" s="5">
        <v>225.0</v>
      </c>
      <c r="L910" s="6" t="str">
        <f>IF(D910&lt;&gt;"",VLOOKUP(H910,TABLEITEM,2,FALSE),"")</f>
        <v>MAT GL</v>
      </c>
      <c r="M910" s="6" t="str">
        <f>IF(D910&lt;&gt;"",VLOOKUP(H910,TABLEITEM,3,FALSE),"")</f>
        <v>กระจก612X892T5.0</v>
      </c>
      <c r="N910" s="7">
        <f>INSTOCK!$I910*INSTOCK!$K910</f>
        <v>225</v>
      </c>
      <c r="O910" s="2"/>
      <c r="P910" s="2"/>
    </row>
    <row r="911" ht="18.0" hidden="1" customHeight="1">
      <c r="A911" s="1"/>
      <c r="B911" s="3">
        <v>910.0</v>
      </c>
      <c r="C911" s="4">
        <v>43395.0</v>
      </c>
      <c r="D911" s="2" t="s">
        <v>1083</v>
      </c>
      <c r="E911" s="2">
        <v>6.109001134E9</v>
      </c>
      <c r="F911" s="3"/>
      <c r="G911" s="2" t="s">
        <v>733</v>
      </c>
      <c r="H911" s="2" t="s">
        <v>1086</v>
      </c>
      <c r="I911" s="3">
        <v>1.0</v>
      </c>
      <c r="J911" s="3"/>
      <c r="K911" s="5">
        <v>25.0</v>
      </c>
      <c r="L911" s="6" t="str">
        <f>IF(D911&lt;&gt;"",VLOOKUP(H911,TABLEITEM,2,FALSE),"")</f>
        <v>MAT GL</v>
      </c>
      <c r="M911" s="6" t="str">
        <f>IF(D911&lt;&gt;"",VLOOKUP(H911,TABLEITEM,3,FALSE),"")</f>
        <v>กระจก128X258T3.0</v>
      </c>
      <c r="N911" s="7">
        <f>INSTOCK!$I911*INSTOCK!$K911</f>
        <v>25</v>
      </c>
      <c r="O911" s="2"/>
      <c r="P911" s="2"/>
    </row>
    <row r="912" ht="18.0" hidden="1" customHeight="1">
      <c r="A912" s="1"/>
      <c r="B912" s="3">
        <v>911.0</v>
      </c>
      <c r="C912" s="4">
        <v>43402.0</v>
      </c>
      <c r="D912" s="2" t="s">
        <v>726</v>
      </c>
      <c r="E912" s="2"/>
      <c r="F912" s="3" t="s">
        <v>161</v>
      </c>
      <c r="G912" s="2" t="s">
        <v>456</v>
      </c>
      <c r="H912" s="2" t="s">
        <v>513</v>
      </c>
      <c r="I912" s="3">
        <v>216.0</v>
      </c>
      <c r="J912" s="3"/>
      <c r="K912" s="5"/>
      <c r="L912" s="6" t="str">
        <f>IF(D912&lt;&gt;"",VLOOKUP(H912,TABLEITEM,2,FALSE),"")</f>
        <v>PART</v>
      </c>
      <c r="M912" s="6" t="str">
        <f>IF(D912&lt;&gt;"",VLOOKUP(H912,TABLEITEM,3,FALSE),"")</f>
        <v>เสาเชื่อม1925x40x50</v>
      </c>
      <c r="N912" s="7">
        <f>INSTOCK!$I912*INSTOCK!$K912</f>
        <v>0</v>
      </c>
      <c r="O912" s="2"/>
      <c r="P912" s="2"/>
    </row>
    <row r="913" ht="18.0" hidden="1" customHeight="1">
      <c r="A913" s="1"/>
      <c r="B913" s="3">
        <v>912.0</v>
      </c>
      <c r="C913" s="4">
        <v>43402.0</v>
      </c>
      <c r="D913" s="2" t="s">
        <v>587</v>
      </c>
      <c r="E913" s="2"/>
      <c r="F913" s="3" t="s">
        <v>161</v>
      </c>
      <c r="G913" s="2" t="s">
        <v>456</v>
      </c>
      <c r="H913" s="2" t="s">
        <v>1087</v>
      </c>
      <c r="I913" s="3">
        <v>20.0</v>
      </c>
      <c r="J913" s="3"/>
      <c r="K913" s="5"/>
      <c r="L913" s="6" t="str">
        <f>IF(D913&lt;&gt;"",VLOOKUP(H913,TABLEITEM,2,FALSE),"")</f>
        <v>PART</v>
      </c>
      <c r="M913" s="6" t="str">
        <f>IF(D913&lt;&gt;"",VLOOKUP(H913,TABLEITEM,3,FALSE),"")</f>
        <v>หมวกตู้ 60x1175</v>
      </c>
      <c r="N913" s="7">
        <f>INSTOCK!$I913*INSTOCK!$K913</f>
        <v>0</v>
      </c>
      <c r="O913" s="2"/>
      <c r="P913" s="2"/>
    </row>
    <row r="914" ht="18.0" hidden="1" customHeight="1">
      <c r="A914" s="1"/>
      <c r="B914" s="3">
        <v>913.0</v>
      </c>
      <c r="C914" s="4">
        <v>43402.0</v>
      </c>
      <c r="D914" s="2" t="s">
        <v>633</v>
      </c>
      <c r="E914" s="2"/>
      <c r="F914" s="3" t="s">
        <v>161</v>
      </c>
      <c r="G914" s="2" t="s">
        <v>456</v>
      </c>
      <c r="H914" s="2" t="s">
        <v>588</v>
      </c>
      <c r="I914" s="3">
        <v>20.0</v>
      </c>
      <c r="J914" s="3"/>
      <c r="K914" s="5"/>
      <c r="L914" s="6" t="str">
        <f>IF(D914&lt;&gt;"",VLOOKUP(H914,TABLEITEM,2,FALSE),"")</f>
        <v>PART</v>
      </c>
      <c r="M914" s="6" t="str">
        <f>IF(D914&lt;&gt;"",VLOOKUP(H914,TABLEITEM,3,FALSE),"")</f>
        <v>หมวกตู้ 60x575</v>
      </c>
      <c r="N914" s="7">
        <f>INSTOCK!$I914*INSTOCK!$K914</f>
        <v>0</v>
      </c>
      <c r="O914" s="2"/>
      <c r="P914" s="2"/>
    </row>
    <row r="915" ht="18.0" hidden="1" customHeight="1">
      <c r="A915" s="1"/>
      <c r="B915" s="3">
        <v>914.0</v>
      </c>
      <c r="C915" s="4">
        <v>43402.0</v>
      </c>
      <c r="D915" s="2" t="s">
        <v>1088</v>
      </c>
      <c r="E915" s="2"/>
      <c r="F915" s="3" t="s">
        <v>161</v>
      </c>
      <c r="G915" s="2" t="s">
        <v>456</v>
      </c>
      <c r="H915" s="2" t="s">
        <v>472</v>
      </c>
      <c r="I915" s="3">
        <v>109.0</v>
      </c>
      <c r="J915" s="3"/>
      <c r="K915" s="5"/>
      <c r="L915" s="6" t="str">
        <f>IF(D915&lt;&gt;"",VLOOKUP(H915,TABLEITEM,2,FALSE),"")</f>
        <v>PART</v>
      </c>
      <c r="M915" s="6" t="str">
        <f>IF(D915&lt;&gt;"",VLOOKUP(H915,TABLEITEM,3,FALSE),"")</f>
        <v>คานต่อโครง3mm 68x45x420</v>
      </c>
      <c r="N915" s="7">
        <f>INSTOCK!$I915*INSTOCK!$K915</f>
        <v>0</v>
      </c>
      <c r="O915" s="2"/>
      <c r="P915" s="2"/>
    </row>
    <row r="916" ht="18.0" hidden="1" customHeight="1">
      <c r="A916" s="1"/>
      <c r="B916" s="3">
        <v>915.0</v>
      </c>
      <c r="C916" s="4">
        <v>43402.0</v>
      </c>
      <c r="D916" s="2" t="s">
        <v>697</v>
      </c>
      <c r="E916" s="2"/>
      <c r="F916" s="3" t="s">
        <v>161</v>
      </c>
      <c r="G916" s="2" t="s">
        <v>456</v>
      </c>
      <c r="H916" s="2" t="s">
        <v>698</v>
      </c>
      <c r="I916" s="3">
        <v>26.0</v>
      </c>
      <c r="J916" s="3"/>
      <c r="K916" s="5"/>
      <c r="L916" s="6" t="str">
        <f>IF(D916&lt;&gt;"",VLOOKUP(H916,TABLEITEM,2,FALSE),"")</f>
        <v>PART</v>
      </c>
      <c r="M916" s="6" t="str">
        <f>IF(D916&lt;&gt;"",VLOOKUP(H916,TABLEITEM,3,FALSE),"")</f>
        <v>หมวกตู้ 40x975</v>
      </c>
      <c r="N916" s="7">
        <f>INSTOCK!$I916*INSTOCK!$K916</f>
        <v>0</v>
      </c>
      <c r="O916" s="2"/>
      <c r="P916" s="2"/>
    </row>
    <row r="917" ht="18.0" hidden="1" customHeight="1">
      <c r="A917" s="1"/>
      <c r="B917" s="3">
        <v>916.0</v>
      </c>
      <c r="C917" s="4">
        <v>43402.0</v>
      </c>
      <c r="D917" s="2" t="s">
        <v>1089</v>
      </c>
      <c r="E917" s="2">
        <v>6.110001245E9</v>
      </c>
      <c r="F917" s="3" t="s">
        <v>161</v>
      </c>
      <c r="G917" s="2" t="s">
        <v>171</v>
      </c>
      <c r="H917" s="2" t="s">
        <v>40</v>
      </c>
      <c r="I917" s="3">
        <v>100.0</v>
      </c>
      <c r="J917" s="3"/>
      <c r="K917" s="5">
        <v>1020.26</v>
      </c>
      <c r="L917" s="6" t="str">
        <f>IF(D917&lt;&gt;"",VLOOKUP(H917,TABLEITEM,2,FALSE),"")</f>
        <v>MAT ST</v>
      </c>
      <c r="M917" s="6" t="str">
        <f>IF(D917&lt;&gt;"",VLOOKUP(H917,TABLEITEM,3,FALSE),"")</f>
        <v>เหล็กแผ่นEG4'x8'T1.6</v>
      </c>
      <c r="N917" s="7">
        <f>INSTOCK!$I917*INSTOCK!$K917</f>
        <v>102026</v>
      </c>
      <c r="O917" s="2" t="s">
        <v>1090</v>
      </c>
      <c r="P917" s="2"/>
    </row>
    <row r="918" ht="18.0" hidden="1" customHeight="1">
      <c r="A918" s="1"/>
      <c r="B918" s="3">
        <v>917.0</v>
      </c>
      <c r="C918" s="4">
        <v>43402.0</v>
      </c>
      <c r="D918" s="2" t="s">
        <v>1091</v>
      </c>
      <c r="E918" s="2">
        <v>6.110001316E9</v>
      </c>
      <c r="F918" s="3" t="s">
        <v>161</v>
      </c>
      <c r="G918" s="2" t="s">
        <v>171</v>
      </c>
      <c r="H918" s="2" t="s">
        <v>23</v>
      </c>
      <c r="I918" s="3">
        <v>100.0</v>
      </c>
      <c r="J918" s="3"/>
      <c r="K918" s="5">
        <v>1306.96</v>
      </c>
      <c r="L918" s="6" t="str">
        <f>IF(D918&lt;&gt;"",VLOOKUP(H918,TABLEITEM,2,FALSE),"")</f>
        <v>MAT ST</v>
      </c>
      <c r="M918" s="6" t="str">
        <f>IF(D918&lt;&gt;"",VLOOKUP(H918,TABLEITEM,3,FALSE),"")</f>
        <v>เหล็กแผ่นขาว4'x8'T2.3</v>
      </c>
      <c r="N918" s="7">
        <f>INSTOCK!$I918*INSTOCK!$K918</f>
        <v>130696</v>
      </c>
      <c r="O918" s="2" t="s">
        <v>1092</v>
      </c>
      <c r="P918" s="2"/>
    </row>
    <row r="919" ht="18.0" hidden="1" customHeight="1">
      <c r="A919" s="1"/>
      <c r="B919" s="3">
        <v>918.0</v>
      </c>
      <c r="C919" s="4">
        <v>43402.0</v>
      </c>
      <c r="D919" s="2" t="s">
        <v>1093</v>
      </c>
      <c r="E919" s="2">
        <v>6.110001316E9</v>
      </c>
      <c r="F919" s="3" t="s">
        <v>161</v>
      </c>
      <c r="G919" s="2" t="s">
        <v>171</v>
      </c>
      <c r="H919" s="2" t="s">
        <v>19</v>
      </c>
      <c r="I919" s="3">
        <v>100.0</v>
      </c>
      <c r="J919" s="3"/>
      <c r="K919" s="5">
        <v>912.38</v>
      </c>
      <c r="L919" s="6" t="str">
        <f>IF(D919&lt;&gt;"",VLOOKUP(H919,TABLEITEM,2,FALSE),"")</f>
        <v>MAT ST</v>
      </c>
      <c r="M919" s="6" t="str">
        <f>IF(D919&lt;&gt;"",VLOOKUP(H919,TABLEITEM,3,FALSE),"")</f>
        <v>เหล็กแผ่นขาว4'x8'T1.6</v>
      </c>
      <c r="N919" s="7">
        <f>INSTOCK!$I919*INSTOCK!$K919</f>
        <v>91238</v>
      </c>
      <c r="O919" s="2" t="s">
        <v>1094</v>
      </c>
      <c r="P919" s="2"/>
    </row>
    <row r="920" ht="18.0" hidden="1" customHeight="1">
      <c r="A920" s="1"/>
      <c r="B920" s="3"/>
      <c r="C920" s="4">
        <v>43405.0</v>
      </c>
      <c r="D920" s="2" t="s">
        <v>1095</v>
      </c>
      <c r="E920" s="2">
        <v>6.111001336E9</v>
      </c>
      <c r="F920" s="3" t="s">
        <v>1096</v>
      </c>
      <c r="G920" s="2" t="s">
        <v>240</v>
      </c>
      <c r="H920" s="2" t="s">
        <v>1097</v>
      </c>
      <c r="I920" s="3">
        <v>3.0</v>
      </c>
      <c r="J920" s="3"/>
      <c r="K920" s="5">
        <v>1100.0</v>
      </c>
      <c r="L920" s="6" t="str">
        <f>IF(D920&lt;&gt;"",VLOOKUP(H920,TABLEITEM,2,FALSE),"")</f>
        <v>MAT ST</v>
      </c>
      <c r="M920" s="6" t="str">
        <f>IF(D920&lt;&gt;"",VLOOKUP(H920,TABLEITEM,3,FALSE),"")</f>
        <v>สแตนเลสแผ่น4'x8'T0.5</v>
      </c>
      <c r="N920" s="7">
        <f>INSTOCK!$I920*INSTOCK!$K920</f>
        <v>3300</v>
      </c>
      <c r="O920" s="2"/>
      <c r="P920" s="2"/>
    </row>
    <row r="921" ht="18.0" hidden="1" customHeight="1">
      <c r="A921" s="1"/>
      <c r="B921" s="3"/>
      <c r="C921" s="4">
        <v>43405.0</v>
      </c>
      <c r="D921" s="2" t="s">
        <v>1098</v>
      </c>
      <c r="E921" s="2">
        <v>6.110001316E9</v>
      </c>
      <c r="F921" s="3" t="s">
        <v>161</v>
      </c>
      <c r="G921" s="2" t="s">
        <v>171</v>
      </c>
      <c r="H921" s="2" t="s">
        <v>21</v>
      </c>
      <c r="I921" s="3">
        <v>200.0</v>
      </c>
      <c r="J921" s="3"/>
      <c r="K921" s="5">
        <v>1146.36</v>
      </c>
      <c r="L921" s="6" t="str">
        <f>IF(D921&lt;&gt;"",VLOOKUP(H921,TABLEITEM,2,FALSE),"")</f>
        <v>MAT ST</v>
      </c>
      <c r="M921" s="6" t="str">
        <f>IF(D921&lt;&gt;"",VLOOKUP(H921,TABLEITEM,3,FALSE),"")</f>
        <v>เหล็กแผ่นขาว4'x8'T2.0</v>
      </c>
      <c r="N921" s="7">
        <f>INSTOCK!$I921*INSTOCK!$K921</f>
        <v>229272</v>
      </c>
      <c r="O921" s="2" t="s">
        <v>1099</v>
      </c>
      <c r="P921" s="2"/>
    </row>
    <row r="922" ht="18.0" hidden="1" customHeight="1">
      <c r="A922" s="1"/>
      <c r="B922" s="3"/>
      <c r="C922" s="4">
        <v>43405.0</v>
      </c>
      <c r="D922" s="2" t="s">
        <v>1098</v>
      </c>
      <c r="E922" s="2">
        <v>6.110001316E9</v>
      </c>
      <c r="F922" s="3" t="s">
        <v>161</v>
      </c>
      <c r="G922" s="2" t="s">
        <v>171</v>
      </c>
      <c r="H922" s="2" t="s">
        <v>19</v>
      </c>
      <c r="I922" s="3">
        <v>50.0</v>
      </c>
      <c r="J922" s="3"/>
      <c r="K922" s="5">
        <v>912.38</v>
      </c>
      <c r="L922" s="6" t="str">
        <f>IF(D922&lt;&gt;"",VLOOKUP(H922,TABLEITEM,2,FALSE),"")</f>
        <v>MAT ST</v>
      </c>
      <c r="M922" s="6" t="str">
        <f>IF(D922&lt;&gt;"",VLOOKUP(H922,TABLEITEM,3,FALSE),"")</f>
        <v>เหล็กแผ่นขาว4'x8'T1.6</v>
      </c>
      <c r="N922" s="7">
        <f>INSTOCK!$I922*INSTOCK!$K922</f>
        <v>45619</v>
      </c>
      <c r="O922" s="2" t="s">
        <v>1100</v>
      </c>
      <c r="P922" s="2"/>
    </row>
    <row r="923" ht="18.0" hidden="1" customHeight="1">
      <c r="A923" s="1"/>
      <c r="B923" s="3"/>
      <c r="C923" s="4">
        <v>43405.0</v>
      </c>
      <c r="D923" s="2" t="s">
        <v>1101</v>
      </c>
      <c r="E923" s="2">
        <v>6.110001316E9</v>
      </c>
      <c r="F923" s="3" t="s">
        <v>161</v>
      </c>
      <c r="G923" s="2" t="s">
        <v>171</v>
      </c>
      <c r="H923" s="2" t="s">
        <v>25</v>
      </c>
      <c r="I923" s="3">
        <v>150.0</v>
      </c>
      <c r="J923" s="3"/>
      <c r="K923" s="5">
        <v>1786.7</v>
      </c>
      <c r="L923" s="6" t="str">
        <f>IF(D923&lt;&gt;"",VLOOKUP(H923,TABLEITEM,2,FALSE),"")</f>
        <v>MAT ST</v>
      </c>
      <c r="M923" s="6" t="str">
        <f>IF(D923&lt;&gt;"",VLOOKUP(H923,TABLEITEM,3,FALSE),"")</f>
        <v>เหล็กแผ่นขาว4'x8'T3.0</v>
      </c>
      <c r="N923" s="7">
        <f>INSTOCK!$I923*INSTOCK!$K923</f>
        <v>268005</v>
      </c>
      <c r="O923" s="2" t="s">
        <v>1102</v>
      </c>
      <c r="P923" s="2"/>
    </row>
    <row r="924" ht="18.0" hidden="1" customHeight="1">
      <c r="A924" s="1"/>
      <c r="B924" s="3"/>
      <c r="C924" s="4">
        <v>43405.0</v>
      </c>
      <c r="D924" s="2" t="s">
        <v>1103</v>
      </c>
      <c r="E924" s="2">
        <v>6.110001317E9</v>
      </c>
      <c r="F924" s="3" t="s">
        <v>161</v>
      </c>
      <c r="G924" s="2" t="s">
        <v>171</v>
      </c>
      <c r="H924" s="2" t="s">
        <v>19</v>
      </c>
      <c r="I924" s="3">
        <v>50.0</v>
      </c>
      <c r="J924" s="3"/>
      <c r="K924" s="5">
        <v>912.38</v>
      </c>
      <c r="L924" s="6" t="str">
        <f>IF(D924&lt;&gt;"",VLOOKUP(H924,TABLEITEM,2,FALSE),"")</f>
        <v>MAT ST</v>
      </c>
      <c r="M924" s="6" t="str">
        <f>IF(D924&lt;&gt;"",VLOOKUP(H924,TABLEITEM,3,FALSE),"")</f>
        <v>เหล็กแผ่นขาว4'x8'T1.6</v>
      </c>
      <c r="N924" s="7">
        <f>INSTOCK!$I924*INSTOCK!$K924</f>
        <v>45619</v>
      </c>
      <c r="O924" s="2" t="s">
        <v>1100</v>
      </c>
      <c r="P924" s="2"/>
    </row>
    <row r="925" ht="18.0" hidden="1" customHeight="1">
      <c r="A925" s="1"/>
      <c r="B925" s="3"/>
      <c r="C925" s="4">
        <v>43406.0</v>
      </c>
      <c r="D925" s="2" t="s">
        <v>1104</v>
      </c>
      <c r="E925" s="2">
        <v>6.110001314E9</v>
      </c>
      <c r="F925" s="3" t="s">
        <v>161</v>
      </c>
      <c r="G925" s="2" t="s">
        <v>202</v>
      </c>
      <c r="H925" s="2" t="s">
        <v>52</v>
      </c>
      <c r="I925" s="3">
        <v>50.0</v>
      </c>
      <c r="J925" s="3"/>
      <c r="K925" s="5">
        <v>1810.0</v>
      </c>
      <c r="L925" s="6" t="str">
        <f>IF(D925&lt;&gt;"",VLOOKUP(H925,TABLEITEM,2,FALSE),"")</f>
        <v>MAT ST</v>
      </c>
      <c r="M925" s="6" t="str">
        <f>IF(D925&lt;&gt;"",VLOOKUP(H925,TABLEITEM,3,FALSE),"")</f>
        <v>เหล็กแผ่นดำ5'x10'T2.0</v>
      </c>
      <c r="N925" s="7">
        <f>INSTOCK!$I925*INSTOCK!$K925</f>
        <v>90500</v>
      </c>
      <c r="O925" s="2"/>
      <c r="P925" s="27" t="s">
        <v>1105</v>
      </c>
    </row>
    <row r="926" ht="18.0" hidden="1" customHeight="1">
      <c r="A926" s="1"/>
      <c r="B926" s="3"/>
      <c r="C926" s="4">
        <v>43406.0</v>
      </c>
      <c r="D926" s="2" t="s">
        <v>1104</v>
      </c>
      <c r="E926" s="2">
        <v>6.110001314E9</v>
      </c>
      <c r="F926" s="3" t="s">
        <v>161</v>
      </c>
      <c r="G926" s="2" t="s">
        <v>202</v>
      </c>
      <c r="H926" s="2" t="s">
        <v>54</v>
      </c>
      <c r="I926" s="3">
        <v>100.0</v>
      </c>
      <c r="J926" s="3"/>
      <c r="K926" s="5">
        <v>2695.0</v>
      </c>
      <c r="L926" s="6" t="str">
        <f>IF(D926&lt;&gt;"",VLOOKUP(H926,TABLEITEM,2,FALSE),"")</f>
        <v>MAT ST</v>
      </c>
      <c r="M926" s="6" t="str">
        <f>IF(D926&lt;&gt;"",VLOOKUP(H926,TABLEITEM,3,FALSE),"")</f>
        <v>เหล็กแผ่นดำ5'x10'T3.0</v>
      </c>
      <c r="N926" s="7">
        <f>INSTOCK!$I926*INSTOCK!$K926</f>
        <v>269500</v>
      </c>
      <c r="O926" s="2"/>
      <c r="P926" s="2"/>
    </row>
    <row r="927" ht="18.0" hidden="1" customHeight="1">
      <c r="A927" s="1"/>
      <c r="B927" s="3"/>
      <c r="C927" s="4">
        <v>43406.0</v>
      </c>
      <c r="D927" s="2" t="s">
        <v>1104</v>
      </c>
      <c r="E927" s="2">
        <v>6.110001314E9</v>
      </c>
      <c r="F927" s="3" t="s">
        <v>161</v>
      </c>
      <c r="G927" s="2" t="s">
        <v>202</v>
      </c>
      <c r="H927" s="2" t="s">
        <v>79</v>
      </c>
      <c r="I927" s="3">
        <v>600.0</v>
      </c>
      <c r="J927" s="3" t="s">
        <v>78</v>
      </c>
      <c r="K927" s="5">
        <v>156.666</v>
      </c>
      <c r="L927" s="6" t="str">
        <f>IF(D927&lt;&gt;"",VLOOKUP(H927,TABLEITEM,2,FALSE),"")</f>
        <v>MAT ST</v>
      </c>
      <c r="M927" s="6" t="str">
        <f>IF(D927&lt;&gt;"",VLOOKUP(H927,TABLEITEM,3,FALSE),"")</f>
        <v>เหล็กรางน้ำ U' 3</v>
      </c>
      <c r="N927" s="7">
        <f>INSTOCK!$I927*INSTOCK!$K927</f>
        <v>93999.6</v>
      </c>
      <c r="O927" s="2" t="s">
        <v>1106</v>
      </c>
      <c r="P927" s="2"/>
    </row>
    <row r="928" ht="18.0" hidden="1" customHeight="1">
      <c r="A928" s="1"/>
      <c r="B928" s="3"/>
      <c r="C928" s="4">
        <v>43406.0</v>
      </c>
      <c r="D928" s="2" t="s">
        <v>1104</v>
      </c>
      <c r="E928" s="2">
        <v>6.110001314E9</v>
      </c>
      <c r="F928" s="3" t="s">
        <v>161</v>
      </c>
      <c r="G928" s="2" t="s">
        <v>202</v>
      </c>
      <c r="H928" s="2" t="s">
        <v>80</v>
      </c>
      <c r="I928" s="3">
        <v>300.0</v>
      </c>
      <c r="J928" s="3" t="s">
        <v>78</v>
      </c>
      <c r="K928" s="5">
        <v>210.0</v>
      </c>
      <c r="L928" s="6" t="str">
        <f>IF(D928&lt;&gt;"",VLOOKUP(H928,TABLEITEM,2,FALSE),"")</f>
        <v>MAT ST</v>
      </c>
      <c r="M928" s="6" t="str">
        <f>IF(D928&lt;&gt;"",VLOOKUP(H928,TABLEITEM,3,FALSE),"")</f>
        <v>เหล็กรางน้ำ U' 4</v>
      </c>
      <c r="N928" s="7">
        <f>INSTOCK!$I928*INSTOCK!$K928</f>
        <v>63000</v>
      </c>
      <c r="O928" s="2" t="s">
        <v>1107</v>
      </c>
      <c r="P928" s="2"/>
    </row>
    <row r="929" ht="18.0" hidden="1" customHeight="1">
      <c r="A929" s="1"/>
      <c r="B929" s="3"/>
      <c r="C929" s="4">
        <v>43406.0</v>
      </c>
      <c r="D929" s="2" t="s">
        <v>1104</v>
      </c>
      <c r="E929" s="2">
        <v>6.110001314E9</v>
      </c>
      <c r="F929" s="3" t="s">
        <v>161</v>
      </c>
      <c r="G929" s="2" t="s">
        <v>202</v>
      </c>
      <c r="H929" s="2" t="s">
        <v>85</v>
      </c>
      <c r="I929" s="3">
        <v>300.0</v>
      </c>
      <c r="J929" s="3" t="s">
        <v>78</v>
      </c>
      <c r="K929" s="5">
        <v>45.9</v>
      </c>
      <c r="L929" s="6" t="str">
        <f>IF(D929&lt;&gt;"",VLOOKUP(H929,TABLEITEM,2,FALSE),"")</f>
        <v>MAT ST</v>
      </c>
      <c r="M929" s="6" t="str">
        <f>IF(D929&lt;&gt;"",VLOOKUP(H929,TABLEITEM,3,FALSE),"")</f>
        <v>เหล็กฉาก 1''1/2'หนา3 มิล</v>
      </c>
      <c r="N929" s="7">
        <f>INSTOCK!$I929*INSTOCK!$K929</f>
        <v>13770</v>
      </c>
      <c r="O929" s="2" t="s">
        <v>1108</v>
      </c>
      <c r="P929" s="2"/>
    </row>
    <row r="930" ht="18.0" hidden="1" customHeight="1">
      <c r="A930" s="1"/>
      <c r="B930" s="3"/>
      <c r="C930" s="4">
        <v>43406.0</v>
      </c>
      <c r="D930" s="2" t="s">
        <v>1104</v>
      </c>
      <c r="E930" s="2">
        <v>6.110001314E9</v>
      </c>
      <c r="F930" s="3" t="s">
        <v>161</v>
      </c>
      <c r="G930" s="2" t="s">
        <v>202</v>
      </c>
      <c r="H930" s="2" t="s">
        <v>89</v>
      </c>
      <c r="I930" s="3">
        <v>300.0</v>
      </c>
      <c r="J930" s="3" t="s">
        <v>78</v>
      </c>
      <c r="K930" s="5">
        <v>87.5</v>
      </c>
      <c r="L930" s="6" t="str">
        <f>IF(D930&lt;&gt;"",VLOOKUP(H930,TABLEITEM,2,FALSE),"")</f>
        <v>MAT ST</v>
      </c>
      <c r="M930" s="6" t="str">
        <f>IF(D930&lt;&gt;"",VLOOKUP(H930,TABLEITEM,3,FALSE),"")</f>
        <v>เหล็กฉาก 2''หนา5 มิล</v>
      </c>
      <c r="N930" s="7">
        <f>INSTOCK!$I930*INSTOCK!$K930</f>
        <v>26250</v>
      </c>
      <c r="O930" s="2" t="s">
        <v>1109</v>
      </c>
      <c r="P930" s="2"/>
    </row>
    <row r="931" ht="18.0" hidden="1" customHeight="1">
      <c r="A931" s="1"/>
      <c r="B931" s="3"/>
      <c r="C931" s="4">
        <v>43405.0</v>
      </c>
      <c r="D931" s="2" t="s">
        <v>1110</v>
      </c>
      <c r="E931" s="2">
        <v>6.111001352E9</v>
      </c>
      <c r="F931" s="3" t="s">
        <v>1111</v>
      </c>
      <c r="G931" s="2" t="s">
        <v>733</v>
      </c>
      <c r="H931" s="2" t="s">
        <v>1112</v>
      </c>
      <c r="I931" s="3">
        <v>1.0</v>
      </c>
      <c r="J931" s="3"/>
      <c r="K931" s="5">
        <v>60.0</v>
      </c>
      <c r="L931" s="6" t="str">
        <f>IF(D931&lt;&gt;"",VLOOKUP(H931,TABLEITEM,2,FALSE),"")</f>
        <v>MAT GL</v>
      </c>
      <c r="M931" s="6" t="str">
        <f>IF(D931&lt;&gt;"",VLOOKUP(H931,TABLEITEM,3,FALSE),"")</f>
        <v>กระจก262x512T5.0</v>
      </c>
      <c r="N931" s="7">
        <f>INSTOCK!$I931*INSTOCK!$K931</f>
        <v>60</v>
      </c>
      <c r="O931" s="2" t="s">
        <v>700</v>
      </c>
      <c r="P931" s="27" t="s">
        <v>1113</v>
      </c>
    </row>
    <row r="932" ht="18.0" hidden="1" customHeight="1">
      <c r="A932" s="1"/>
      <c r="B932" s="3"/>
      <c r="C932" s="4">
        <v>43402.0</v>
      </c>
      <c r="D932" s="2" t="s">
        <v>1114</v>
      </c>
      <c r="E932" s="2">
        <v>6.111001352E9</v>
      </c>
      <c r="F932" s="3" t="s">
        <v>1115</v>
      </c>
      <c r="G932" s="2" t="s">
        <v>733</v>
      </c>
      <c r="H932" s="2" t="s">
        <v>1116</v>
      </c>
      <c r="I932" s="3">
        <v>7.0</v>
      </c>
      <c r="J932" s="3"/>
      <c r="K932" s="5">
        <v>105.0</v>
      </c>
      <c r="L932" s="6" t="str">
        <f>IF(D932&lt;&gt;"",VLOOKUP(H932,TABLEITEM,2,FALSE),"")</f>
        <v>MAT GL</v>
      </c>
      <c r="M932" s="6" t="str">
        <f>IF(D932&lt;&gt;"",VLOOKUP(H932,TABLEITEM,3,FALSE),"")</f>
        <v>กระจก 412x562 T5.0</v>
      </c>
      <c r="N932" s="7">
        <f>INSTOCK!$I932*INSTOCK!$K932</f>
        <v>735</v>
      </c>
      <c r="O932" s="2" t="s">
        <v>700</v>
      </c>
      <c r="P932" s="2"/>
    </row>
    <row r="933" ht="18.0" hidden="1" customHeight="1">
      <c r="A933" s="1"/>
      <c r="B933" s="3"/>
      <c r="C933" s="4">
        <v>43402.0</v>
      </c>
      <c r="D933" s="2" t="s">
        <v>1117</v>
      </c>
      <c r="E933" s="2">
        <v>6.111001352E9</v>
      </c>
      <c r="F933" s="3" t="s">
        <v>1118</v>
      </c>
      <c r="G933" s="2" t="s">
        <v>733</v>
      </c>
      <c r="H933" s="2" t="s">
        <v>1119</v>
      </c>
      <c r="I933" s="3">
        <v>1.0</v>
      </c>
      <c r="J933" s="3"/>
      <c r="K933" s="5">
        <v>140.0</v>
      </c>
      <c r="L933" s="6" t="str">
        <f>IF(D933&lt;&gt;"",VLOOKUP(H933,TABLEITEM,2,FALSE),"")</f>
        <v>MAT GL</v>
      </c>
      <c r="M933" s="6" t="str">
        <f>IF(D933&lt;&gt;"",VLOOKUP(H933,TABLEITEM,3,FALSE),"")</f>
        <v>กระจก 392x712 T5.0</v>
      </c>
      <c r="N933" s="7">
        <f>INSTOCK!$I933*INSTOCK!$K933</f>
        <v>140</v>
      </c>
      <c r="O933" s="2" t="s">
        <v>700</v>
      </c>
      <c r="P933" s="2"/>
    </row>
    <row r="934" ht="18.0" hidden="1" customHeight="1">
      <c r="A934" s="1"/>
      <c r="B934" s="3"/>
      <c r="C934" s="4">
        <v>43398.0</v>
      </c>
      <c r="D934" s="2" t="s">
        <v>1120</v>
      </c>
      <c r="E934" s="2">
        <v>6.111001352E9</v>
      </c>
      <c r="F934" s="3" t="s">
        <v>1121</v>
      </c>
      <c r="G934" s="2" t="s">
        <v>733</v>
      </c>
      <c r="H934" s="2" t="s">
        <v>1122</v>
      </c>
      <c r="I934" s="3">
        <v>1.0</v>
      </c>
      <c r="J934" s="3"/>
      <c r="K934" s="5">
        <v>38.0</v>
      </c>
      <c r="L934" s="6" t="str">
        <f>IF(D934&lt;&gt;"",VLOOKUP(H934,TABLEITEM,2,FALSE),"")</f>
        <v>MAT GL</v>
      </c>
      <c r="M934" s="6" t="str">
        <f>IF(D934&lt;&gt;"",VLOOKUP(H934,TABLEITEM,3,FALSE),"")</f>
        <v>กระจก128x308T3.0</v>
      </c>
      <c r="N934" s="7">
        <f>INSTOCK!$I934*INSTOCK!$K934</f>
        <v>38</v>
      </c>
      <c r="O934" s="2" t="s">
        <v>700</v>
      </c>
      <c r="P934" s="2"/>
    </row>
    <row r="935" ht="18.0" hidden="1" customHeight="1">
      <c r="A935" s="1"/>
      <c r="B935" s="3"/>
      <c r="C935" s="4">
        <v>43411.0</v>
      </c>
      <c r="D935" s="2" t="s">
        <v>1123</v>
      </c>
      <c r="E935" s="2"/>
      <c r="F935" s="3" t="s">
        <v>161</v>
      </c>
      <c r="G935" s="2" t="s">
        <v>456</v>
      </c>
      <c r="H935" s="2" t="s">
        <v>1124</v>
      </c>
      <c r="I935" s="3">
        <v>20.0</v>
      </c>
      <c r="J935" s="3"/>
      <c r="K935" s="5"/>
      <c r="L935" s="6" t="str">
        <f>IF(D935&lt;&gt;"",VLOOKUP(H935,TABLEITEM,2,FALSE),"")</f>
        <v>PART</v>
      </c>
      <c r="M935" s="6" t="str">
        <f>IF(D935&lt;&gt;"",VLOOKUP(H935,TABLEITEM,3,FALSE),"")</f>
        <v>ฝารูเปเปอร์1901x797เกล็ด</v>
      </c>
      <c r="N935" s="7">
        <f>INSTOCK!$I935*INSTOCK!$K935</f>
        <v>0</v>
      </c>
      <c r="O935" s="2"/>
      <c r="P935" s="2"/>
    </row>
    <row r="936" ht="18.0" hidden="1" customHeight="1">
      <c r="A936" s="1"/>
      <c r="B936" s="3"/>
      <c r="C936" s="4">
        <v>43411.0</v>
      </c>
      <c r="D936" s="2" t="s">
        <v>1123</v>
      </c>
      <c r="E936" s="2"/>
      <c r="F936" s="3" t="s">
        <v>161</v>
      </c>
      <c r="G936" s="2" t="s">
        <v>456</v>
      </c>
      <c r="H936" s="2" t="s">
        <v>1125</v>
      </c>
      <c r="I936" s="3">
        <v>2.0</v>
      </c>
      <c r="J936" s="3"/>
      <c r="K936" s="5"/>
      <c r="L936" s="6" t="str">
        <f>IF(D936&lt;&gt;"",VLOOKUP(H936,TABLEITEM,2,FALSE),"")</f>
        <v>PART</v>
      </c>
      <c r="M936" s="6" t="str">
        <f>IF(D936&lt;&gt;"",VLOOKUP(H936,TABLEITEM,3,FALSE),"")</f>
        <v>ฝารูเปเปอร์1901x797เรียบ</v>
      </c>
      <c r="N936" s="7">
        <f>INSTOCK!$I936*INSTOCK!$K936</f>
        <v>0</v>
      </c>
      <c r="O936" s="2"/>
      <c r="P936" s="2"/>
    </row>
    <row r="937" ht="18.0" hidden="1" customHeight="1">
      <c r="A937" s="1"/>
      <c r="B937" s="3"/>
      <c r="C937" s="4">
        <v>43411.0</v>
      </c>
      <c r="D937" s="2" t="s">
        <v>1088</v>
      </c>
      <c r="E937" s="2"/>
      <c r="F937" s="3" t="s">
        <v>161</v>
      </c>
      <c r="G937" s="2" t="s">
        <v>456</v>
      </c>
      <c r="H937" s="2" t="s">
        <v>605</v>
      </c>
      <c r="I937" s="3">
        <v>243.0</v>
      </c>
      <c r="J937" s="3"/>
      <c r="K937" s="5"/>
      <c r="L937" s="6" t="str">
        <f>IF(D937&lt;&gt;"",VLOOKUP(H937,TABLEITEM,2,FALSE),"")</f>
        <v>PART</v>
      </c>
      <c r="M937" s="6" t="str">
        <f>IF(D937&lt;&gt;"",VLOOKUP(H937,TABLEITEM,3,FALSE),"")</f>
        <v>คานต่อโครง 80x45x3mmx260</v>
      </c>
      <c r="N937" s="7">
        <f>INSTOCK!$I937*INSTOCK!$K937</f>
        <v>0</v>
      </c>
      <c r="O937" s="2"/>
      <c r="P937" s="2"/>
    </row>
    <row r="938" ht="18.0" hidden="1" customHeight="1">
      <c r="A938" s="1"/>
      <c r="B938" s="3"/>
      <c r="C938" s="4">
        <v>43411.0</v>
      </c>
      <c r="D938" s="2" t="s">
        <v>1088</v>
      </c>
      <c r="E938" s="2"/>
      <c r="F938" s="3" t="s">
        <v>161</v>
      </c>
      <c r="G938" s="2" t="s">
        <v>456</v>
      </c>
      <c r="H938" s="2" t="s">
        <v>603</v>
      </c>
      <c r="I938" s="3">
        <v>90.0</v>
      </c>
      <c r="J938" s="3"/>
      <c r="K938" s="5"/>
      <c r="L938" s="6" t="str">
        <f>IF(D938&lt;&gt;"",VLOOKUP(H938,TABLEITEM,2,FALSE),"")</f>
        <v>PART</v>
      </c>
      <c r="M938" s="6" t="str">
        <f>IF(D938&lt;&gt;"",VLOOKUP(H938,TABLEITEM,3,FALSE),"")</f>
        <v>คานต่อโครง3mm 68x45x260</v>
      </c>
      <c r="N938" s="7">
        <f>INSTOCK!$I938*INSTOCK!$K938</f>
        <v>0</v>
      </c>
      <c r="O938" s="2"/>
      <c r="P938" s="2"/>
    </row>
    <row r="939" ht="18.0" hidden="1" customHeight="1">
      <c r="A939" s="1"/>
      <c r="B939" s="3"/>
      <c r="C939" s="4">
        <v>43411.0</v>
      </c>
      <c r="D939" s="2" t="s">
        <v>658</v>
      </c>
      <c r="E939" s="2"/>
      <c r="F939" s="3" t="s">
        <v>161</v>
      </c>
      <c r="G939" s="2" t="s">
        <v>456</v>
      </c>
      <c r="H939" s="2" t="s">
        <v>659</v>
      </c>
      <c r="I939" s="3">
        <v>20.0</v>
      </c>
      <c r="J939" s="3"/>
      <c r="K939" s="5"/>
      <c r="L939" s="6" t="str">
        <f>IF(D939&lt;&gt;"",VLOOKUP(H939,TABLEITEM,2,FALSE),"")</f>
        <v>PART</v>
      </c>
      <c r="M939" s="6" t="str">
        <f>IF(D939&lt;&gt;"",VLOOKUP(H939,TABLEITEM,3,FALSE),"")</f>
        <v>คานรับลูกถ้วย 50x40x420</v>
      </c>
      <c r="N939" s="7">
        <f>INSTOCK!$I939*INSTOCK!$K939</f>
        <v>0</v>
      </c>
      <c r="O939" s="2"/>
      <c r="P939" s="2"/>
    </row>
    <row r="940" ht="18.0" hidden="1" customHeight="1">
      <c r="A940" s="1"/>
      <c r="B940" s="3"/>
      <c r="C940" s="4">
        <v>43411.0</v>
      </c>
      <c r="D940" s="2" t="s">
        <v>658</v>
      </c>
      <c r="E940" s="2"/>
      <c r="F940" s="3" t="s">
        <v>161</v>
      </c>
      <c r="G940" s="2" t="s">
        <v>456</v>
      </c>
      <c r="H940" s="2" t="s">
        <v>1126</v>
      </c>
      <c r="I940" s="3">
        <v>41.0</v>
      </c>
      <c r="J940" s="3"/>
      <c r="K940" s="5"/>
      <c r="L940" s="6" t="str">
        <f>IF(D940&lt;&gt;"",VLOOKUP(H940,TABLEITEM,2,FALSE),"")</f>
        <v>PART</v>
      </c>
      <c r="M940" s="6" t="str">
        <f>IF(D940&lt;&gt;"",VLOOKUP(H940,TABLEITEM,3,FALSE),"")</f>
        <v>คานรับลูกถ้วย 50x40x520</v>
      </c>
      <c r="N940" s="7">
        <f>INSTOCK!$I940*INSTOCK!$K940</f>
        <v>0</v>
      </c>
      <c r="O940" s="2"/>
      <c r="P940" s="2"/>
    </row>
    <row r="941" ht="18.0" hidden="1" customHeight="1">
      <c r="A941" s="1"/>
      <c r="B941" s="3"/>
      <c r="C941" s="4">
        <v>43411.0</v>
      </c>
      <c r="D941" s="2" t="s">
        <v>581</v>
      </c>
      <c r="E941" s="2"/>
      <c r="F941" s="3" t="s">
        <v>161</v>
      </c>
      <c r="G941" s="2" t="s">
        <v>456</v>
      </c>
      <c r="H941" s="2" t="s">
        <v>1127</v>
      </c>
      <c r="I941" s="3">
        <v>14.0</v>
      </c>
      <c r="J941" s="3"/>
      <c r="K941" s="5"/>
      <c r="L941" s="6" t="str">
        <f>IF(D941&lt;&gt;"",VLOOKUP(H941,TABLEITEM,2,FALSE),"")</f>
        <v>PART</v>
      </c>
      <c r="M941" s="6" t="str">
        <f>IF(D941&lt;&gt;"",VLOOKUP(H941,TABLEITEM,3,FALSE),"")</f>
        <v>คานรับลูกถ้วย 50x40x620</v>
      </c>
      <c r="N941" s="7">
        <f>INSTOCK!$I941*INSTOCK!$K941</f>
        <v>0</v>
      </c>
      <c r="O941" s="2"/>
      <c r="P941" s="2"/>
    </row>
    <row r="942" ht="18.0" hidden="1" customHeight="1">
      <c r="A942" s="1"/>
      <c r="B942" s="3"/>
      <c r="C942" s="4">
        <v>43411.0</v>
      </c>
      <c r="D942" s="2" t="s">
        <v>1054</v>
      </c>
      <c r="E942" s="2"/>
      <c r="F942" s="3" t="s">
        <v>161</v>
      </c>
      <c r="G942" s="2" t="s">
        <v>456</v>
      </c>
      <c r="H942" s="2" t="s">
        <v>550</v>
      </c>
      <c r="I942" s="3">
        <v>111.0</v>
      </c>
      <c r="J942" s="3"/>
      <c r="K942" s="5"/>
      <c r="L942" s="6" t="str">
        <f>IF(D942&lt;&gt;"",VLOOKUP(H942,TABLEITEM,2,FALSE),"")</f>
        <v>PART</v>
      </c>
      <c r="M942" s="6" t="str">
        <f>IF(D942&lt;&gt;"",VLOOKUP(H942,TABLEITEM,3,FALSE),"")</f>
        <v>ฉากตัวZ รับแผ่นกั้น50x34x29</v>
      </c>
      <c r="N942" s="7">
        <f>INSTOCK!$I942*INSTOCK!$K942</f>
        <v>0</v>
      </c>
      <c r="O942" s="2"/>
      <c r="P942" s="2"/>
    </row>
    <row r="943" ht="18.0" hidden="1" customHeight="1">
      <c r="A943" s="1"/>
      <c r="B943" s="3"/>
      <c r="C943" s="4">
        <v>43411.0</v>
      </c>
      <c r="D943" s="2" t="s">
        <v>722</v>
      </c>
      <c r="E943" s="2"/>
      <c r="F943" s="3" t="s">
        <v>161</v>
      </c>
      <c r="G943" s="2" t="s">
        <v>456</v>
      </c>
      <c r="H943" s="2" t="s">
        <v>495</v>
      </c>
      <c r="I943" s="3">
        <v>295.0</v>
      </c>
      <c r="J943" s="3"/>
      <c r="K943" s="5"/>
      <c r="L943" s="6" t="str">
        <f>IF(D943&lt;&gt;"",VLOOKUP(H943,TABLEITEM,2,FALSE),"")</f>
        <v>PART</v>
      </c>
      <c r="M943" s="6" t="str">
        <f>IF(D943&lt;&gt;"",VLOOKUP(H943,TABLEITEM,3,FALSE),"")</f>
        <v>คานเชื่อม800</v>
      </c>
      <c r="N943" s="7">
        <f>INSTOCK!$I943*INSTOCK!$K943</f>
        <v>0</v>
      </c>
      <c r="O943" s="2"/>
      <c r="P943" s="2"/>
    </row>
    <row r="944" ht="18.0" hidden="1" customHeight="1">
      <c r="A944" s="1"/>
      <c r="B944" s="3"/>
      <c r="C944" s="4">
        <v>43411.0</v>
      </c>
      <c r="D944" s="2" t="s">
        <v>583</v>
      </c>
      <c r="E944" s="2"/>
      <c r="F944" s="3" t="s">
        <v>161</v>
      </c>
      <c r="G944" s="2" t="s">
        <v>456</v>
      </c>
      <c r="H944" s="2" t="s">
        <v>1128</v>
      </c>
      <c r="I944" s="3">
        <v>32.0</v>
      </c>
      <c r="J944" s="3"/>
      <c r="K944" s="5"/>
      <c r="L944" s="6" t="str">
        <f>IF(D944&lt;&gt;"",VLOOKUP(H944,TABLEITEM,2,FALSE),"")</f>
        <v>PART</v>
      </c>
      <c r="M944" s="6" t="str">
        <f>IF(D944&lt;&gt;"",VLOOKUP(H944,TABLEITEM,3,FALSE),"")</f>
        <v>ฉากรับเพลท3mm 40x1788</v>
      </c>
      <c r="N944" s="7">
        <f>INSTOCK!$I944*INSTOCK!$K944</f>
        <v>0</v>
      </c>
      <c r="O944" s="2"/>
      <c r="P944" s="2"/>
    </row>
    <row r="945" ht="18.0" hidden="1" customHeight="1">
      <c r="A945" s="1"/>
      <c r="B945" s="3"/>
      <c r="C945" s="4">
        <v>43411.0</v>
      </c>
      <c r="D945" s="2" t="s">
        <v>726</v>
      </c>
      <c r="E945" s="2"/>
      <c r="F945" s="3" t="s">
        <v>161</v>
      </c>
      <c r="G945" s="2" t="s">
        <v>456</v>
      </c>
      <c r="H945" s="2" t="s">
        <v>513</v>
      </c>
      <c r="I945" s="3">
        <v>180.0</v>
      </c>
      <c r="J945" s="3"/>
      <c r="K945" s="5"/>
      <c r="L945" s="6" t="str">
        <f>IF(D945&lt;&gt;"",VLOOKUP(H945,TABLEITEM,2,FALSE),"")</f>
        <v>PART</v>
      </c>
      <c r="M945" s="6" t="str">
        <f>IF(D945&lt;&gt;"",VLOOKUP(H945,TABLEITEM,3,FALSE),"")</f>
        <v>เสาเชื่อม1925x40x50</v>
      </c>
      <c r="N945" s="7">
        <f>INSTOCK!$I945*INSTOCK!$K945</f>
        <v>0</v>
      </c>
      <c r="O945" s="2"/>
      <c r="P945" s="2"/>
    </row>
    <row r="946" ht="18.0" hidden="1" customHeight="1">
      <c r="A946" s="1"/>
      <c r="B946" s="3"/>
      <c r="C946" s="4">
        <v>43411.0</v>
      </c>
      <c r="D946" s="2" t="s">
        <v>726</v>
      </c>
      <c r="E946" s="2"/>
      <c r="F946" s="3" t="s">
        <v>161</v>
      </c>
      <c r="G946" s="2" t="s">
        <v>456</v>
      </c>
      <c r="H946" s="2" t="s">
        <v>493</v>
      </c>
      <c r="I946" s="3">
        <v>180.0</v>
      </c>
      <c r="J946" s="3"/>
      <c r="K946" s="5"/>
      <c r="L946" s="6" t="str">
        <f>IF(D946&lt;&gt;"",VLOOKUP(H946,TABLEITEM,2,FALSE),"")</f>
        <v>PART</v>
      </c>
      <c r="M946" s="6" t="str">
        <f>IF(D946&lt;&gt;"",VLOOKUP(H946,TABLEITEM,3,FALSE),"")</f>
        <v>เสาเชื่อม2125x40x50</v>
      </c>
      <c r="N946" s="7">
        <f>INSTOCK!$I946*INSTOCK!$K946</f>
        <v>0</v>
      </c>
      <c r="O946" s="2"/>
      <c r="P946" s="2"/>
    </row>
    <row r="947" ht="18.0" hidden="1" customHeight="1">
      <c r="A947" s="1"/>
      <c r="B947" s="3"/>
      <c r="C947" s="4">
        <v>43411.0</v>
      </c>
      <c r="D947" s="2" t="s">
        <v>645</v>
      </c>
      <c r="E947" s="2"/>
      <c r="F947" s="3" t="s">
        <v>161</v>
      </c>
      <c r="G947" s="2" t="s">
        <v>456</v>
      </c>
      <c r="H947" s="2" t="s">
        <v>1129</v>
      </c>
      <c r="I947" s="3">
        <v>3.0</v>
      </c>
      <c r="J947" s="3"/>
      <c r="K947" s="5"/>
      <c r="L947" s="6" t="str">
        <f>IF(D947&lt;&gt;"",VLOOKUP(H947,TABLEITEM,2,FALSE),"")</f>
        <v>PART</v>
      </c>
      <c r="M947" s="6" t="str">
        <f>IF(D947&lt;&gt;"",VLOOKUP(H947,TABLEITEM,3,FALSE),"")</f>
        <v>แพลทยึดอุปกรณ์795x400</v>
      </c>
      <c r="N947" s="7">
        <f>INSTOCK!$I947*INSTOCK!$K947</f>
        <v>0</v>
      </c>
      <c r="O947" s="2"/>
      <c r="P947" s="2"/>
    </row>
    <row r="948" ht="18.0" hidden="1" customHeight="1">
      <c r="A948" s="1"/>
      <c r="B948" s="3"/>
      <c r="C948" s="4">
        <v>43411.0</v>
      </c>
      <c r="D948" s="2" t="s">
        <v>1130</v>
      </c>
      <c r="E948" s="2">
        <v>6.111001363E9</v>
      </c>
      <c r="F948" s="3" t="s">
        <v>1131</v>
      </c>
      <c r="G948" s="2" t="s">
        <v>240</v>
      </c>
      <c r="H948" s="2" t="s">
        <v>66</v>
      </c>
      <c r="I948" s="3">
        <v>4.0</v>
      </c>
      <c r="J948" s="3"/>
      <c r="K948" s="5">
        <v>5450.0</v>
      </c>
      <c r="L948" s="6" t="str">
        <f>IF(D948&lt;&gt;"",VLOOKUP(H948,TABLEITEM,2,FALSE),"")</f>
        <v>MAT ST</v>
      </c>
      <c r="M948" s="6" t="str">
        <f>IF(D948&lt;&gt;"",VLOOKUP(H948,TABLEITEM,3,FALSE),"")</f>
        <v>สแตนเลสแผ่น4'x8'T3.0</v>
      </c>
      <c r="N948" s="7">
        <f>INSTOCK!$I948*INSTOCK!$K948</f>
        <v>21800</v>
      </c>
      <c r="O948" s="2" t="s">
        <v>1132</v>
      </c>
      <c r="P948" s="27" t="s">
        <v>1133</v>
      </c>
    </row>
    <row r="949" ht="18.0" hidden="1" customHeight="1">
      <c r="A949" s="1"/>
      <c r="B949" s="3"/>
      <c r="C949" s="4">
        <v>43400.0</v>
      </c>
      <c r="D949" s="2" t="s">
        <v>1134</v>
      </c>
      <c r="E949" s="2">
        <v>6.111001378E9</v>
      </c>
      <c r="F949" s="3" t="s">
        <v>897</v>
      </c>
      <c r="G949" s="2" t="s">
        <v>733</v>
      </c>
      <c r="H949" s="2" t="s">
        <v>1135</v>
      </c>
      <c r="I949" s="3">
        <v>1.0</v>
      </c>
      <c r="J949" s="3"/>
      <c r="K949" s="5">
        <v>160.0</v>
      </c>
      <c r="L949" s="6" t="str">
        <f>IF(D949&lt;&gt;"",VLOOKUP(H949,TABLEITEM,2,FALSE),"")</f>
        <v>MAT GL</v>
      </c>
      <c r="M949" s="6" t="str">
        <f>IF(D949&lt;&gt;"",VLOOKUP(H949,TABLEITEM,3,FALSE),"")</f>
        <v>กระจก342X1062T5.0</v>
      </c>
      <c r="N949" s="7">
        <f>INSTOCK!$I949*INSTOCK!$K949</f>
        <v>160</v>
      </c>
      <c r="O949" s="2" t="s">
        <v>700</v>
      </c>
      <c r="P949" s="2"/>
    </row>
    <row r="950" ht="18.0" hidden="1" customHeight="1">
      <c r="A950" s="1"/>
      <c r="B950" s="3"/>
      <c r="C950" s="4">
        <v>43400.0</v>
      </c>
      <c r="D950" s="2" t="s">
        <v>1134</v>
      </c>
      <c r="E950" s="2">
        <v>6.111001378E9</v>
      </c>
      <c r="F950" s="3" t="s">
        <v>1136</v>
      </c>
      <c r="G950" s="2" t="s">
        <v>733</v>
      </c>
      <c r="H950" s="2" t="s">
        <v>1137</v>
      </c>
      <c r="I950" s="3">
        <v>1.0</v>
      </c>
      <c r="J950" s="3"/>
      <c r="K950" s="5">
        <v>150.0</v>
      </c>
      <c r="L950" s="6" t="str">
        <f>IF(D950&lt;&gt;"",VLOOKUP(H950,TABLEITEM,2,FALSE),"")</f>
        <v>MAT GL</v>
      </c>
      <c r="M950" s="6" t="str">
        <f>IF(D950&lt;&gt;"",VLOOKUP(H950,TABLEITEM,3,FALSE),"")</f>
        <v>กระจก 514x737 T5.0</v>
      </c>
      <c r="N950" s="7">
        <f>INSTOCK!$I950*INSTOCK!$K950</f>
        <v>150</v>
      </c>
      <c r="O950" s="2" t="s">
        <v>700</v>
      </c>
      <c r="P950" s="2"/>
    </row>
    <row r="951" ht="18.0" hidden="1" customHeight="1">
      <c r="A951" s="1"/>
      <c r="B951" s="3"/>
      <c r="C951" s="4">
        <v>43402.0</v>
      </c>
      <c r="D951" s="2" t="s">
        <v>1138</v>
      </c>
      <c r="E951" s="2">
        <v>6.111001378E9</v>
      </c>
      <c r="F951" s="3" t="s">
        <v>1139</v>
      </c>
      <c r="G951" s="2" t="s">
        <v>733</v>
      </c>
      <c r="H951" s="2" t="s">
        <v>1140</v>
      </c>
      <c r="I951" s="3">
        <v>1.0</v>
      </c>
      <c r="J951" s="3"/>
      <c r="K951" s="5">
        <v>500.0</v>
      </c>
      <c r="L951" s="6" t="str">
        <f>IF(D951&lt;&gt;"",VLOOKUP(H951,TABLEITEM,2,FALSE),"")</f>
        <v>MAT GL</v>
      </c>
      <c r="M951" s="6" t="str">
        <f>IF(D951&lt;&gt;"",VLOOKUP(H951,TABLEITEM,3,FALSE),"")</f>
        <v>กระจก 507x1952 T5.0</v>
      </c>
      <c r="N951" s="7">
        <f>INSTOCK!$I951*INSTOCK!$K951</f>
        <v>500</v>
      </c>
      <c r="O951" s="2" t="s">
        <v>700</v>
      </c>
      <c r="P951" s="2"/>
    </row>
    <row r="952" ht="18.0" hidden="1" customHeight="1">
      <c r="A952" s="1"/>
      <c r="B952" s="3"/>
      <c r="C952" s="4">
        <v>43407.0</v>
      </c>
      <c r="D952" s="2" t="s">
        <v>1141</v>
      </c>
      <c r="E952" s="2">
        <v>6.111001378E9</v>
      </c>
      <c r="F952" s="3" t="s">
        <v>1142</v>
      </c>
      <c r="G952" s="2" t="s">
        <v>733</v>
      </c>
      <c r="H952" s="2" t="s">
        <v>1143</v>
      </c>
      <c r="I952" s="3">
        <v>2.0</v>
      </c>
      <c r="J952" s="3"/>
      <c r="K952" s="5">
        <v>135.0</v>
      </c>
      <c r="L952" s="6" t="str">
        <f>IF(D952&lt;&gt;"",VLOOKUP(H952,TABLEITEM,2,FALSE),"")</f>
        <v>MAT GL</v>
      </c>
      <c r="M952" s="6" t="str">
        <f>IF(D952&lt;&gt;"",VLOOKUP(H952,TABLEITEM,3,FALSE),"")</f>
        <v>กระจก 422x912 T5.0</v>
      </c>
      <c r="N952" s="7">
        <f>INSTOCK!$I952*INSTOCK!$K952</f>
        <v>270</v>
      </c>
      <c r="O952" s="2" t="s">
        <v>700</v>
      </c>
      <c r="P952" s="2"/>
    </row>
    <row r="953" ht="18.0" hidden="1" customHeight="1">
      <c r="A953" s="1"/>
      <c r="B953" s="3"/>
      <c r="C953" s="4">
        <v>43410.0</v>
      </c>
      <c r="D953" s="2" t="s">
        <v>1144</v>
      </c>
      <c r="E953" s="2">
        <v>6.111001378E9</v>
      </c>
      <c r="F953" s="3" t="s">
        <v>1145</v>
      </c>
      <c r="G953" s="2" t="s">
        <v>733</v>
      </c>
      <c r="H953" s="2" t="s">
        <v>1146</v>
      </c>
      <c r="I953" s="3">
        <v>3.0</v>
      </c>
      <c r="J953" s="3"/>
      <c r="K953" s="5">
        <v>45.0</v>
      </c>
      <c r="L953" s="6" t="str">
        <f>IF(D953&lt;&gt;"",VLOOKUP(H953,TABLEITEM,2,FALSE),"")</f>
        <v>MAT GL</v>
      </c>
      <c r="M953" s="6" t="str">
        <f>IF(D953&lt;&gt;"",VLOOKUP(H953,TABLEITEM,3,FALSE),"")</f>
        <v>กระจก262x382T5.0</v>
      </c>
      <c r="N953" s="7">
        <f>INSTOCK!$I953*INSTOCK!$K953</f>
        <v>135</v>
      </c>
      <c r="O953" s="2" t="s">
        <v>700</v>
      </c>
      <c r="P953" s="2"/>
    </row>
    <row r="954" ht="18.0" hidden="1" customHeight="1">
      <c r="A954" s="1"/>
      <c r="B954" s="3"/>
      <c r="C954" s="4">
        <v>43409.0</v>
      </c>
      <c r="D954" s="2" t="s">
        <v>1147</v>
      </c>
      <c r="E954" s="2">
        <v>6.111001378E9</v>
      </c>
      <c r="F954" s="3" t="s">
        <v>1148</v>
      </c>
      <c r="G954" s="2" t="s">
        <v>733</v>
      </c>
      <c r="H954" s="2" t="s">
        <v>1149</v>
      </c>
      <c r="I954" s="3">
        <v>2.0</v>
      </c>
      <c r="J954" s="3"/>
      <c r="K954" s="5">
        <v>150.0</v>
      </c>
      <c r="L954" s="6" t="str">
        <f>IF(D954&lt;&gt;"",VLOOKUP(H954,TABLEITEM,2,FALSE),"")</f>
        <v>MAT GL</v>
      </c>
      <c r="M954" s="6" t="str">
        <f>IF(D954&lt;&gt;"",VLOOKUP(H954,TABLEITEM,3,FALSE),"")</f>
        <v>กระจก 512x737 T5.0</v>
      </c>
      <c r="N954" s="7">
        <f>INSTOCK!$I954*INSTOCK!$K954</f>
        <v>300</v>
      </c>
      <c r="O954" s="2" t="s">
        <v>700</v>
      </c>
      <c r="P954" s="2"/>
    </row>
    <row r="955" ht="18.0" hidden="1" customHeight="1">
      <c r="A955" s="1"/>
      <c r="B955" s="3"/>
      <c r="C955" s="4">
        <v>43413.0</v>
      </c>
      <c r="D955" s="2" t="s">
        <v>1088</v>
      </c>
      <c r="E955" s="2"/>
      <c r="F955" s="3" t="s">
        <v>161</v>
      </c>
      <c r="G955" s="2" t="s">
        <v>456</v>
      </c>
      <c r="H955" s="2" t="s">
        <v>548</v>
      </c>
      <c r="I955" s="3">
        <v>246.0</v>
      </c>
      <c r="J955" s="3"/>
      <c r="K955" s="5"/>
      <c r="L955" s="6" t="str">
        <f>IF(D955&lt;&gt;"",VLOOKUP(H955,TABLEITEM,2,FALSE),"")</f>
        <v>PART</v>
      </c>
      <c r="M955" s="6" t="str">
        <f>IF(D955&lt;&gt;"",VLOOKUP(H955,TABLEITEM,3,FALSE),"")</f>
        <v>คานต่อโครง 80x45x3mmx520</v>
      </c>
      <c r="N955" s="7">
        <f>INSTOCK!$I955*INSTOCK!$K955</f>
        <v>0</v>
      </c>
      <c r="O955" s="2"/>
      <c r="P955" s="2"/>
    </row>
    <row r="956" ht="18.0" hidden="1" customHeight="1">
      <c r="A956" s="1"/>
      <c r="B956" s="3"/>
      <c r="C956" s="4">
        <v>43413.0</v>
      </c>
      <c r="D956" s="2" t="s">
        <v>628</v>
      </c>
      <c r="E956" s="2"/>
      <c r="F956" s="3" t="s">
        <v>161</v>
      </c>
      <c r="G956" s="2" t="s">
        <v>456</v>
      </c>
      <c r="H956" s="2" t="s">
        <v>534</v>
      </c>
      <c r="I956" s="3">
        <v>293.0</v>
      </c>
      <c r="J956" s="3"/>
      <c r="K956" s="5"/>
      <c r="L956" s="6" t="str">
        <f>IF(D956&lt;&gt;"",VLOOKUP(H956,TABLEITEM,2,FALSE),"")</f>
        <v>PART</v>
      </c>
      <c r="M956" s="6" t="str">
        <f>IF(D956&lt;&gt;"",VLOOKUP(H956,TABLEITEM,3,FALSE),"")</f>
        <v>ตัวแซดยึดแผ่นพื้น 60x695</v>
      </c>
      <c r="N956" s="7">
        <f>INSTOCK!$I956*INSTOCK!$K956</f>
        <v>0</v>
      </c>
      <c r="O956" s="2"/>
      <c r="P956" s="2"/>
    </row>
    <row r="957" ht="18.0" hidden="1" customHeight="1">
      <c r="A957" s="1"/>
      <c r="B957" s="3"/>
      <c r="C957" s="4">
        <v>43413.0</v>
      </c>
      <c r="D957" s="2" t="s">
        <v>642</v>
      </c>
      <c r="E957" s="2"/>
      <c r="F957" s="3" t="s">
        <v>161</v>
      </c>
      <c r="G957" s="2" t="s">
        <v>456</v>
      </c>
      <c r="H957" s="2" t="s">
        <v>652</v>
      </c>
      <c r="I957" s="3">
        <v>619.0</v>
      </c>
      <c r="J957" s="3"/>
      <c r="K957" s="5"/>
      <c r="L957" s="6" t="str">
        <f>IF(D957&lt;&gt;"",VLOOKUP(H957,TABLEITEM,2,FALSE),"")</f>
        <v>PART</v>
      </c>
      <c r="M957" s="6" t="str">
        <f>IF(D957&lt;&gt;"",VLOOKUP(H957,TABLEITEM,3,FALSE),"")</f>
        <v>ขายึดเทอมีนอล146x136</v>
      </c>
      <c r="N957" s="7">
        <f>INSTOCK!$I957*INSTOCK!$K957</f>
        <v>0</v>
      </c>
      <c r="O957" s="2"/>
      <c r="P957" s="2"/>
    </row>
    <row r="958" ht="18.0" hidden="1" customHeight="1">
      <c r="A958" s="1"/>
      <c r="B958" s="3"/>
      <c r="C958" s="4">
        <v>43413.0</v>
      </c>
      <c r="D958" s="2" t="s">
        <v>583</v>
      </c>
      <c r="E958" s="2"/>
      <c r="F958" s="3" t="s">
        <v>161</v>
      </c>
      <c r="G958" s="2" t="s">
        <v>456</v>
      </c>
      <c r="H958" s="2" t="s">
        <v>1128</v>
      </c>
      <c r="I958" s="3">
        <v>93.0</v>
      </c>
      <c r="J958" s="3"/>
      <c r="K958" s="5"/>
      <c r="L958" s="6" t="str">
        <f>IF(D958&lt;&gt;"",VLOOKUP(H958,TABLEITEM,2,FALSE),"")</f>
        <v>PART</v>
      </c>
      <c r="M958" s="6" t="str">
        <f>IF(D958&lt;&gt;"",VLOOKUP(H958,TABLEITEM,3,FALSE),"")</f>
        <v>ฉากรับเพลท3mm 40x1788</v>
      </c>
      <c r="N958" s="7">
        <f>INSTOCK!$I958*INSTOCK!$K958</f>
        <v>0</v>
      </c>
      <c r="O958" s="2"/>
      <c r="P958" s="2"/>
    </row>
    <row r="959" ht="18.0" hidden="1" customHeight="1">
      <c r="A959" s="1"/>
      <c r="B959" s="3"/>
      <c r="C959" s="4">
        <v>43413.0</v>
      </c>
      <c r="D959" s="2" t="s">
        <v>1150</v>
      </c>
      <c r="E959" s="2"/>
      <c r="F959" s="3" t="s">
        <v>161</v>
      </c>
      <c r="G959" s="2" t="s">
        <v>456</v>
      </c>
      <c r="H959" s="2" t="s">
        <v>530</v>
      </c>
      <c r="I959" s="3">
        <v>66.0</v>
      </c>
      <c r="J959" s="3"/>
      <c r="K959" s="5"/>
      <c r="L959" s="6" t="str">
        <f>IF(D959&lt;&gt;"",VLOOKUP(H959,TABLEITEM,2,FALSE),"")</f>
        <v>PART</v>
      </c>
      <c r="M959" s="6" t="str">
        <f>IF(D959&lt;&gt;"",VLOOKUP(H959,TABLEITEM,3,FALSE),"")</f>
        <v>ฉากสามเหลี่ยม70x70x45</v>
      </c>
      <c r="N959" s="7">
        <f>INSTOCK!$I959*INSTOCK!$K959</f>
        <v>0</v>
      </c>
      <c r="O959" s="2"/>
      <c r="P959" s="2"/>
    </row>
    <row r="960" ht="18.0" hidden="1" customHeight="1">
      <c r="A960" s="1"/>
      <c r="B960" s="3"/>
      <c r="C960" s="4">
        <v>43413.0</v>
      </c>
      <c r="D960" s="2" t="s">
        <v>639</v>
      </c>
      <c r="E960" s="2"/>
      <c r="F960" s="3" t="s">
        <v>161</v>
      </c>
      <c r="G960" s="2" t="s">
        <v>456</v>
      </c>
      <c r="H960" s="2" t="s">
        <v>511</v>
      </c>
      <c r="I960" s="3">
        <v>90.0</v>
      </c>
      <c r="J960" s="3"/>
      <c r="K960" s="5"/>
      <c r="L960" s="6" t="str">
        <f>IF(D960&lt;&gt;"",VLOOKUP(H960,TABLEITEM,2,FALSE),"")</f>
        <v>PART</v>
      </c>
      <c r="M960" s="6" t="str">
        <f>IF(D960&lt;&gt;"",VLOOKUP(H960,TABLEITEM,3,FALSE),"")</f>
        <v>เสาเสริม 40x50x1788</v>
      </c>
      <c r="N960" s="7">
        <f>INSTOCK!$I960*INSTOCK!$K960</f>
        <v>0</v>
      </c>
      <c r="O960" s="2"/>
      <c r="P960" s="2"/>
    </row>
    <row r="961" ht="18.0" hidden="1" customHeight="1">
      <c r="A961" s="1"/>
      <c r="B961" s="3"/>
      <c r="C961" s="4">
        <v>43412.0</v>
      </c>
      <c r="D961" s="2" t="s">
        <v>1151</v>
      </c>
      <c r="E961" s="2">
        <v>6.111001375E9</v>
      </c>
      <c r="F961" s="3" t="s">
        <v>1131</v>
      </c>
      <c r="G961" s="2" t="s">
        <v>240</v>
      </c>
      <c r="H961" s="2" t="s">
        <v>1152</v>
      </c>
      <c r="I961" s="3">
        <v>6.0</v>
      </c>
      <c r="J961" s="3" t="s">
        <v>78</v>
      </c>
      <c r="K961" s="5">
        <v>50.0</v>
      </c>
      <c r="L961" s="6" t="str">
        <f>IF(D961&lt;&gt;"",VLOOKUP(H961,TABLEITEM,2,FALSE),"")</f>
        <v>MAT ST</v>
      </c>
      <c r="M961" s="6" t="str">
        <f>IF(D961&lt;&gt;"",VLOOKUP(H961,TABLEITEM,3,FALSE),"")</f>
        <v>กล่องแสตนเลส 1/2"x1/2" T1.0</v>
      </c>
      <c r="N961" s="7">
        <f>INSTOCK!$I961*INSTOCK!$K961</f>
        <v>300</v>
      </c>
      <c r="O961" s="2"/>
      <c r="P961" s="2"/>
    </row>
    <row r="962" ht="18.0" hidden="1" customHeight="1">
      <c r="A962" s="1"/>
      <c r="B962" s="3"/>
      <c r="C962" s="4">
        <v>43416.0</v>
      </c>
      <c r="D962" s="2" t="s">
        <v>1153</v>
      </c>
      <c r="E962" s="2"/>
      <c r="F962" s="3" t="s">
        <v>161</v>
      </c>
      <c r="G962" s="2" t="s">
        <v>456</v>
      </c>
      <c r="H962" s="2" t="s">
        <v>537</v>
      </c>
      <c r="I962" s="3">
        <v>50.0</v>
      </c>
      <c r="J962" s="3"/>
      <c r="K962" s="5"/>
      <c r="L962" s="6" t="str">
        <f>IF(D962&lt;&gt;"",VLOOKUP(H962,TABLEITEM,2,FALSE),"")</f>
        <v>PART</v>
      </c>
      <c r="M962" s="6" t="str">
        <f>IF(D962&lt;&gt;"",VLOOKUP(H962,TABLEITEM,3,FALSE),"")</f>
        <v>หมวกตู้ 60x975</v>
      </c>
      <c r="N962" s="7">
        <f>INSTOCK!$I962*INSTOCK!$K962</f>
        <v>0</v>
      </c>
      <c r="O962" s="2"/>
      <c r="P962" s="2"/>
    </row>
    <row r="963" ht="18.0" hidden="1" customHeight="1">
      <c r="A963" s="1"/>
      <c r="B963" s="3"/>
      <c r="C963" s="4">
        <v>43416.0</v>
      </c>
      <c r="D963" s="2" t="s">
        <v>1054</v>
      </c>
      <c r="E963" s="2"/>
      <c r="F963" s="3" t="s">
        <v>161</v>
      </c>
      <c r="G963" s="2" t="s">
        <v>456</v>
      </c>
      <c r="H963" s="2" t="s">
        <v>550</v>
      </c>
      <c r="I963" s="3">
        <v>286.0</v>
      </c>
      <c r="J963" s="3"/>
      <c r="K963" s="5"/>
      <c r="L963" s="6" t="str">
        <f>IF(D963&lt;&gt;"",VLOOKUP(H963,TABLEITEM,2,FALSE),"")</f>
        <v>PART</v>
      </c>
      <c r="M963" s="6" t="str">
        <f>IF(D963&lt;&gt;"",VLOOKUP(H963,TABLEITEM,3,FALSE),"")</f>
        <v>ฉากตัวZ รับแผ่นกั้น50x34x29</v>
      </c>
      <c r="N963" s="7">
        <f>INSTOCK!$I963*INSTOCK!$K963</f>
        <v>0</v>
      </c>
      <c r="O963" s="2"/>
      <c r="P963" s="2"/>
    </row>
    <row r="964" ht="18.0" hidden="1" customHeight="1">
      <c r="A964" s="1"/>
      <c r="B964" s="3"/>
      <c r="C964" s="4">
        <v>43416.0</v>
      </c>
      <c r="D964" s="2" t="s">
        <v>1088</v>
      </c>
      <c r="E964" s="2"/>
      <c r="F964" s="3" t="s">
        <v>161</v>
      </c>
      <c r="G964" s="2" t="s">
        <v>456</v>
      </c>
      <c r="H964" s="2" t="s">
        <v>605</v>
      </c>
      <c r="I964" s="3">
        <v>187.0</v>
      </c>
      <c r="J964" s="3"/>
      <c r="K964" s="5"/>
      <c r="L964" s="6" t="str">
        <f>IF(D964&lt;&gt;"",VLOOKUP(H964,TABLEITEM,2,FALSE),"")</f>
        <v>PART</v>
      </c>
      <c r="M964" s="6" t="str">
        <f>IF(D964&lt;&gt;"",VLOOKUP(H964,TABLEITEM,3,FALSE),"")</f>
        <v>คานต่อโครง 80x45x3mmx260</v>
      </c>
      <c r="N964" s="7">
        <f>INSTOCK!$I964*INSTOCK!$K964</f>
        <v>0</v>
      </c>
      <c r="O964" s="2"/>
      <c r="P964" s="2"/>
    </row>
    <row r="965" ht="18.0" hidden="1" customHeight="1">
      <c r="A965" s="1"/>
      <c r="B965" s="3"/>
      <c r="C965" s="4">
        <v>43416.0</v>
      </c>
      <c r="D965" s="2" t="s">
        <v>1088</v>
      </c>
      <c r="E965" s="2"/>
      <c r="F965" s="3" t="s">
        <v>161</v>
      </c>
      <c r="G965" s="2" t="s">
        <v>456</v>
      </c>
      <c r="H965" s="2" t="s">
        <v>621</v>
      </c>
      <c r="I965" s="3">
        <v>91.0</v>
      </c>
      <c r="J965" s="3"/>
      <c r="K965" s="5"/>
      <c r="L965" s="6" t="str">
        <f>IF(D965&lt;&gt;"",VLOOKUP(H965,TABLEITEM,2,FALSE),"")</f>
        <v>PART</v>
      </c>
      <c r="M965" s="6" t="str">
        <f>IF(D965&lt;&gt;"",VLOOKUP(H965,TABLEITEM,3,FALSE),"")</f>
        <v>คานต่อโครง 80x45x3mmx620</v>
      </c>
      <c r="N965" s="7">
        <f>INSTOCK!$I965*INSTOCK!$K965</f>
        <v>0</v>
      </c>
      <c r="O965" s="2"/>
      <c r="P965" s="2"/>
    </row>
    <row r="966" ht="18.0" hidden="1" customHeight="1">
      <c r="A966" s="1"/>
      <c r="B966" s="3"/>
      <c r="C966" s="4">
        <v>43416.0</v>
      </c>
      <c r="D966" s="2" t="s">
        <v>1154</v>
      </c>
      <c r="E966" s="2">
        <v>6.110001317E9</v>
      </c>
      <c r="F966" s="3" t="s">
        <v>161</v>
      </c>
      <c r="G966" s="2" t="s">
        <v>171</v>
      </c>
      <c r="H966" s="2" t="s">
        <v>19</v>
      </c>
      <c r="I966" s="3">
        <v>100.0</v>
      </c>
      <c r="J966" s="3"/>
      <c r="K966" s="5">
        <v>912.38</v>
      </c>
      <c r="L966" s="6" t="str">
        <f>IF(D966&lt;&gt;"",VLOOKUP(H966,TABLEITEM,2,FALSE),"")</f>
        <v>MAT ST</v>
      </c>
      <c r="M966" s="6" t="str">
        <f>IF(D966&lt;&gt;"",VLOOKUP(H966,TABLEITEM,3,FALSE),"")</f>
        <v>เหล็กแผ่นขาว4'x8'T1.6</v>
      </c>
      <c r="N966" s="7">
        <f>INSTOCK!$I966*INSTOCK!$K966</f>
        <v>91238</v>
      </c>
      <c r="O966" s="2" t="s">
        <v>1155</v>
      </c>
      <c r="P966" s="27" t="s">
        <v>1156</v>
      </c>
    </row>
    <row r="967" ht="18.0" hidden="1" customHeight="1">
      <c r="A967" s="1"/>
      <c r="B967" s="3"/>
      <c r="C967" s="4">
        <v>43416.0</v>
      </c>
      <c r="D967" s="2" t="s">
        <v>1154</v>
      </c>
      <c r="E967" s="2">
        <v>6.110001317E9</v>
      </c>
      <c r="F967" s="3" t="s">
        <v>161</v>
      </c>
      <c r="G967" s="2" t="s">
        <v>171</v>
      </c>
      <c r="H967" s="2" t="s">
        <v>25</v>
      </c>
      <c r="I967" s="3">
        <v>150.0</v>
      </c>
      <c r="J967" s="3"/>
      <c r="K967" s="5">
        <v>1806.25</v>
      </c>
      <c r="L967" s="6" t="str">
        <f>IF(D967&lt;&gt;"",VLOOKUP(H967,TABLEITEM,2,FALSE),"")</f>
        <v>MAT ST</v>
      </c>
      <c r="M967" s="6" t="str">
        <f>IF(D967&lt;&gt;"",VLOOKUP(H967,TABLEITEM,3,FALSE),"")</f>
        <v>เหล็กแผ่นขาว4'x8'T3.0</v>
      </c>
      <c r="N967" s="7">
        <f>INSTOCK!$I967*INSTOCK!$K967</f>
        <v>270937.5</v>
      </c>
      <c r="O967" s="2" t="s">
        <v>1157</v>
      </c>
      <c r="P967" s="2"/>
    </row>
    <row r="968" ht="18.0" hidden="1" customHeight="1">
      <c r="A968" s="1"/>
      <c r="B968" s="3"/>
      <c r="C968" s="4">
        <v>43420.0</v>
      </c>
      <c r="D968" s="2" t="s">
        <v>1153</v>
      </c>
      <c r="E968" s="2"/>
      <c r="F968" s="3" t="s">
        <v>161</v>
      </c>
      <c r="G968" s="2" t="s">
        <v>456</v>
      </c>
      <c r="H968" s="2" t="s">
        <v>589</v>
      </c>
      <c r="I968" s="3">
        <v>66.0</v>
      </c>
      <c r="J968" s="3"/>
      <c r="K968" s="5"/>
      <c r="L968" s="6" t="str">
        <f>IF(D968&lt;&gt;"",VLOOKUP(H968,TABLEITEM,2,FALSE),"")</f>
        <v>PART</v>
      </c>
      <c r="M968" s="6" t="str">
        <f>IF(D968&lt;&gt;"",VLOOKUP(H968,TABLEITEM,3,FALSE),"")</f>
        <v>หมวกตู้ 60x875</v>
      </c>
      <c r="N968" s="7">
        <f>INSTOCK!$I968*INSTOCK!$K968</f>
        <v>0</v>
      </c>
      <c r="O968" s="2"/>
      <c r="P968" s="2"/>
    </row>
    <row r="969" ht="18.0" hidden="1" customHeight="1">
      <c r="A969" s="1"/>
      <c r="B969" s="3"/>
      <c r="C969" s="4">
        <v>43420.0</v>
      </c>
      <c r="D969" s="2" t="s">
        <v>709</v>
      </c>
      <c r="E969" s="2"/>
      <c r="F969" s="3" t="s">
        <v>161</v>
      </c>
      <c r="G969" s="2" t="s">
        <v>456</v>
      </c>
      <c r="H969" s="2" t="s">
        <v>710</v>
      </c>
      <c r="I969" s="3">
        <v>121.0</v>
      </c>
      <c r="J969" s="3"/>
      <c r="K969" s="5"/>
      <c r="L969" s="6" t="str">
        <f>IF(D969&lt;&gt;"",VLOOKUP(H969,TABLEITEM,2,FALSE),"")</f>
        <v>PART</v>
      </c>
      <c r="M969" s="6" t="str">
        <f>IF(D969&lt;&gt;"",VLOOKUP(H969,TABLEITEM,3,FALSE),"")</f>
        <v>คานฝาหน้า 50x22x720</v>
      </c>
      <c r="N969" s="7">
        <f>INSTOCK!$I969*INSTOCK!$K969</f>
        <v>0</v>
      </c>
      <c r="O969" s="2"/>
      <c r="P969" s="2"/>
    </row>
    <row r="970" ht="18.0" hidden="1" customHeight="1">
      <c r="A970" s="1"/>
      <c r="B970" s="3"/>
      <c r="C970" s="4">
        <v>43420.0</v>
      </c>
      <c r="D970" s="2" t="s">
        <v>1158</v>
      </c>
      <c r="E970" s="2"/>
      <c r="F970" s="3" t="s">
        <v>161</v>
      </c>
      <c r="G970" s="2" t="s">
        <v>456</v>
      </c>
      <c r="H970" s="2" t="s">
        <v>575</v>
      </c>
      <c r="I970" s="3">
        <v>48.0</v>
      </c>
      <c r="J970" s="3"/>
      <c r="K970" s="5"/>
      <c r="L970" s="6" t="str">
        <f>IF(D970&lt;&gt;"",VLOOKUP(H970,TABLEITEM,2,FALSE),"")</f>
        <v>PART</v>
      </c>
      <c r="M970" s="6" t="str">
        <f>IF(D970&lt;&gt;"",VLOOKUP(H970,TABLEITEM,3,FALSE),"")</f>
        <v>คานตัวC 70x25T2.0x995</v>
      </c>
      <c r="N970" s="7">
        <f>INSTOCK!$I970*INSTOCK!$K970</f>
        <v>0</v>
      </c>
      <c r="O970" s="2"/>
      <c r="P970" s="2"/>
    </row>
    <row r="971" ht="18.0" hidden="1" customHeight="1">
      <c r="A971" s="1"/>
      <c r="B971" s="3"/>
      <c r="C971" s="4">
        <v>43423.0</v>
      </c>
      <c r="D971" s="2" t="s">
        <v>1153</v>
      </c>
      <c r="E971" s="2"/>
      <c r="F971" s="3" t="s">
        <v>161</v>
      </c>
      <c r="G971" s="2" t="s">
        <v>456</v>
      </c>
      <c r="H971" s="2" t="s">
        <v>537</v>
      </c>
      <c r="I971" s="3">
        <v>33.0</v>
      </c>
      <c r="J971" s="3"/>
      <c r="K971" s="5"/>
      <c r="L971" s="6" t="str">
        <f>IF(D971&lt;&gt;"",VLOOKUP(H971,TABLEITEM,2,FALSE),"")</f>
        <v>PART</v>
      </c>
      <c r="M971" s="6" t="str">
        <f>IF(D971&lt;&gt;"",VLOOKUP(H971,TABLEITEM,3,FALSE),"")</f>
        <v>หมวกตู้ 60x975</v>
      </c>
      <c r="N971" s="7">
        <f>INSTOCK!$I971*INSTOCK!$K971</f>
        <v>0</v>
      </c>
      <c r="O971" s="2"/>
      <c r="P971" s="2"/>
    </row>
    <row r="972" ht="18.0" hidden="1" customHeight="1">
      <c r="A972" s="1"/>
      <c r="B972" s="3"/>
      <c r="C972" s="4">
        <v>43423.0</v>
      </c>
      <c r="D972" s="2" t="s">
        <v>642</v>
      </c>
      <c r="E972" s="2"/>
      <c r="F972" s="3" t="s">
        <v>161</v>
      </c>
      <c r="G972" s="2" t="s">
        <v>456</v>
      </c>
      <c r="H972" s="2" t="s">
        <v>486</v>
      </c>
      <c r="I972" s="3">
        <v>44.0</v>
      </c>
      <c r="J972" s="3"/>
      <c r="K972" s="5"/>
      <c r="L972" s="6" t="str">
        <f>IF(D972&lt;&gt;"",VLOOKUP(H972,TABLEITEM,2,FALSE),"")</f>
        <v>PART</v>
      </c>
      <c r="M972" s="6" t="str">
        <f>IF(D972&lt;&gt;"",VLOOKUP(H972,TABLEITEM,3,FALSE),"")</f>
        <v>กระเป๋าเอกสารรุ่น 316x45</v>
      </c>
      <c r="N972" s="7">
        <f>INSTOCK!$I972*INSTOCK!$K972</f>
        <v>0</v>
      </c>
      <c r="O972" s="2"/>
      <c r="P972" s="2"/>
    </row>
    <row r="973" ht="18.0" hidden="1" customHeight="1">
      <c r="A973" s="1"/>
      <c r="B973" s="3"/>
      <c r="C973" s="4">
        <v>43423.0</v>
      </c>
      <c r="D973" s="2" t="s">
        <v>628</v>
      </c>
      <c r="E973" s="2"/>
      <c r="F973" s="3" t="s">
        <v>161</v>
      </c>
      <c r="G973" s="2" t="s">
        <v>456</v>
      </c>
      <c r="H973" s="2" t="s">
        <v>534</v>
      </c>
      <c r="I973" s="3">
        <v>113.0</v>
      </c>
      <c r="J973" s="3"/>
      <c r="K973" s="5"/>
      <c r="L973" s="6" t="str">
        <f>IF(D973&lt;&gt;"",VLOOKUP(H973,TABLEITEM,2,FALSE),"")</f>
        <v>PART</v>
      </c>
      <c r="M973" s="6" t="str">
        <f>IF(D973&lt;&gt;"",VLOOKUP(H973,TABLEITEM,3,FALSE),"")</f>
        <v>ตัวแซดยึดแผ่นพื้น 60x695</v>
      </c>
      <c r="N973" s="7">
        <f>INSTOCK!$I973*INSTOCK!$K973</f>
        <v>0</v>
      </c>
      <c r="O973" s="2"/>
      <c r="P973" s="2"/>
    </row>
    <row r="974" ht="18.0" hidden="1" customHeight="1">
      <c r="A974" s="1"/>
      <c r="B974" s="3"/>
      <c r="C974" s="4">
        <v>43423.0</v>
      </c>
      <c r="D974" s="2" t="s">
        <v>628</v>
      </c>
      <c r="E974" s="2"/>
      <c r="F974" s="3" t="s">
        <v>161</v>
      </c>
      <c r="G974" s="2" t="s">
        <v>456</v>
      </c>
      <c r="H974" s="2" t="s">
        <v>629</v>
      </c>
      <c r="I974" s="3">
        <v>76.0</v>
      </c>
      <c r="J974" s="3"/>
      <c r="K974" s="5"/>
      <c r="L974" s="6" t="str">
        <f>IF(D974&lt;&gt;"",VLOOKUP(H974,TABLEITEM,2,FALSE),"")</f>
        <v>PART</v>
      </c>
      <c r="M974" s="6" t="str">
        <f>IF(D974&lt;&gt;"",VLOOKUP(H974,TABLEITEM,3,FALSE),"")</f>
        <v>ตัวแซดยึดแผ่นพื้น 60x895</v>
      </c>
      <c r="N974" s="7">
        <f>INSTOCK!$I974*INSTOCK!$K974</f>
        <v>0</v>
      </c>
      <c r="O974" s="2"/>
      <c r="P974" s="2"/>
    </row>
    <row r="975" ht="18.0" hidden="1" customHeight="1">
      <c r="A975" s="1"/>
      <c r="B975" s="3"/>
      <c r="C975" s="4">
        <v>43423.0</v>
      </c>
      <c r="D975" s="2" t="s">
        <v>625</v>
      </c>
      <c r="E975" s="2"/>
      <c r="F975" s="3" t="s">
        <v>161</v>
      </c>
      <c r="G975" s="2" t="s">
        <v>456</v>
      </c>
      <c r="H975" s="2" t="s">
        <v>626</v>
      </c>
      <c r="I975" s="3">
        <v>208.0</v>
      </c>
      <c r="J975" s="3"/>
      <c r="K975" s="5"/>
      <c r="L975" s="6" t="str">
        <f>IF(D975&lt;&gt;"",VLOOKUP(H975,TABLEITEM,2,FALSE),"")</f>
        <v>PART</v>
      </c>
      <c r="M975" s="6" t="str">
        <f>IF(D975&lt;&gt;"",VLOOKUP(H975,TABLEITEM,3,FALSE),"")</f>
        <v>คานเจ 2รู 65x32x454</v>
      </c>
      <c r="N975" s="7">
        <f>INSTOCK!$I975*INSTOCK!$K975</f>
        <v>0</v>
      </c>
      <c r="O975" s="2"/>
      <c r="P975" s="2"/>
    </row>
    <row r="976" ht="18.0" hidden="1" customHeight="1">
      <c r="A976" s="1"/>
      <c r="B976" s="3"/>
      <c r="C976" s="4">
        <v>43412.0</v>
      </c>
      <c r="D976" s="2" t="s">
        <v>1159</v>
      </c>
      <c r="E976" s="2">
        <v>6.111001451E9</v>
      </c>
      <c r="F976" s="3" t="s">
        <v>1160</v>
      </c>
      <c r="G976" s="2" t="s">
        <v>733</v>
      </c>
      <c r="H976" s="2" t="s">
        <v>1034</v>
      </c>
      <c r="I976" s="3">
        <v>1.0</v>
      </c>
      <c r="J976" s="3"/>
      <c r="K976" s="5">
        <v>150.0</v>
      </c>
      <c r="L976" s="6" t="str">
        <f>IF(D976&lt;&gt;"",VLOOKUP(H976,TABLEITEM,2,FALSE),"")</f>
        <v>MAT GL</v>
      </c>
      <c r="M976" s="6" t="str">
        <f>IF(D976&lt;&gt;"",VLOOKUP(H976,TABLEITEM,3,FALSE),"")</f>
        <v>กระจก 512x712 T5.0</v>
      </c>
      <c r="N976" s="7">
        <f>INSTOCK!$I976*INSTOCK!$K976</f>
        <v>150</v>
      </c>
      <c r="O976" s="2"/>
      <c r="P976" s="2"/>
    </row>
    <row r="977" ht="18.0" hidden="1" customHeight="1">
      <c r="A977" s="1"/>
      <c r="B977" s="3"/>
      <c r="C977" s="4">
        <v>43418.0</v>
      </c>
      <c r="D977" s="2" t="s">
        <v>1161</v>
      </c>
      <c r="E977" s="2">
        <v>6.111001451E9</v>
      </c>
      <c r="F977" s="3" t="s">
        <v>1162</v>
      </c>
      <c r="G977" s="2" t="s">
        <v>733</v>
      </c>
      <c r="H977" s="2" t="s">
        <v>1163</v>
      </c>
      <c r="I977" s="3">
        <v>1.0</v>
      </c>
      <c r="J977" s="3"/>
      <c r="K977" s="5">
        <v>180.0</v>
      </c>
      <c r="L977" s="6" t="str">
        <f>IF(D977&lt;&gt;"",VLOOKUP(H977,TABLEITEM,2,FALSE),"")</f>
        <v>MAT GL</v>
      </c>
      <c r="M977" s="6" t="str">
        <f>IF(D977&lt;&gt;"",VLOOKUP(H977,TABLEITEM,3,FALSE),"")</f>
        <v>กระจก 472x812 T5.0</v>
      </c>
      <c r="N977" s="7">
        <f>INSTOCK!$I977*INSTOCK!$K977</f>
        <v>180</v>
      </c>
      <c r="O977" s="2"/>
      <c r="P977" s="2"/>
    </row>
    <row r="978" ht="18.0" hidden="1" customHeight="1">
      <c r="A978" s="1"/>
      <c r="B978" s="3"/>
      <c r="C978" s="4">
        <v>43419.0</v>
      </c>
      <c r="D978" s="2" t="s">
        <v>1164</v>
      </c>
      <c r="E978" s="2">
        <v>6.111001451E9</v>
      </c>
      <c r="F978" s="3" t="s">
        <v>1165</v>
      </c>
      <c r="G978" s="2" t="s">
        <v>733</v>
      </c>
      <c r="H978" s="2" t="s">
        <v>1166</v>
      </c>
      <c r="I978" s="3">
        <v>1.0</v>
      </c>
      <c r="J978" s="3"/>
      <c r="K978" s="5">
        <v>180.0</v>
      </c>
      <c r="L978" s="6" t="str">
        <f>IF(D978&lt;&gt;"",VLOOKUP(H978,TABLEITEM,2,FALSE),"")</f>
        <v>MAT GL</v>
      </c>
      <c r="M978" s="6" t="str">
        <f>IF(D978&lt;&gt;"",VLOOKUP(H978,TABLEITEM,3,FALSE),"")</f>
        <v>กระจก 512x912 T5.0</v>
      </c>
      <c r="N978" s="7">
        <f>INSTOCK!$I978*INSTOCK!$K978</f>
        <v>180</v>
      </c>
      <c r="O978" s="2"/>
      <c r="P978" s="2"/>
    </row>
    <row r="979" ht="18.0" hidden="1" customHeight="1">
      <c r="A979" s="1"/>
      <c r="B979" s="3"/>
      <c r="C979" s="4">
        <v>43419.0</v>
      </c>
      <c r="D979" s="2" t="s">
        <v>1164</v>
      </c>
      <c r="E979" s="2">
        <v>6.111001451E9</v>
      </c>
      <c r="F979" s="3" t="s">
        <v>1165</v>
      </c>
      <c r="G979" s="2" t="s">
        <v>733</v>
      </c>
      <c r="H979" s="2" t="s">
        <v>795</v>
      </c>
      <c r="I979" s="3">
        <v>1.0</v>
      </c>
      <c r="J979" s="3"/>
      <c r="K979" s="5">
        <v>38.0</v>
      </c>
      <c r="L979" s="6" t="str">
        <f>IF(D979&lt;&gt;"",VLOOKUP(H979,TABLEITEM,2,FALSE),"")</f>
        <v>MAT GL</v>
      </c>
      <c r="M979" s="6" t="str">
        <f>IF(D979&lt;&gt;"",VLOOKUP(H979,TABLEITEM,3,FALSE),"")</f>
        <v>กระจก208X408T3.0</v>
      </c>
      <c r="N979" s="7">
        <f>INSTOCK!$I979*INSTOCK!$K979</f>
        <v>38</v>
      </c>
      <c r="O979" s="2"/>
      <c r="P979" s="2"/>
    </row>
    <row r="980" ht="18.0" hidden="1" customHeight="1">
      <c r="A980" s="1"/>
      <c r="B980" s="3"/>
      <c r="C980" s="4">
        <v>43413.0</v>
      </c>
      <c r="D980" s="2" t="s">
        <v>1167</v>
      </c>
      <c r="E980" s="2">
        <v>6.111001451E9</v>
      </c>
      <c r="F980" s="3" t="s">
        <v>1168</v>
      </c>
      <c r="G980" s="2" t="s">
        <v>733</v>
      </c>
      <c r="H980" s="2" t="s">
        <v>839</v>
      </c>
      <c r="I980" s="3">
        <v>40.0</v>
      </c>
      <c r="J980" s="3"/>
      <c r="K980" s="5">
        <v>38.0</v>
      </c>
      <c r="L980" s="6" t="str">
        <f>IF(D980&lt;&gt;"",VLOOKUP(H980,TABLEITEM,2,FALSE),"")</f>
        <v>MAT GL</v>
      </c>
      <c r="M980" s="6" t="str">
        <f>IF(D980&lt;&gt;"",VLOOKUP(H980,TABLEITEM,3,FALSE),"")</f>
        <v>กระจก40x80T3.0</v>
      </c>
      <c r="N980" s="7">
        <f>INSTOCK!$I980*INSTOCK!$K980</f>
        <v>1520</v>
      </c>
      <c r="O980" s="2"/>
      <c r="P980" s="2"/>
    </row>
    <row r="981" ht="18.0" hidden="1" customHeight="1">
      <c r="A981" s="1"/>
      <c r="B981" s="3"/>
      <c r="C981" s="4">
        <v>43417.0</v>
      </c>
      <c r="D981" s="2" t="s">
        <v>1169</v>
      </c>
      <c r="E981" s="2">
        <v>6.111001451E9</v>
      </c>
      <c r="F981" s="3" t="s">
        <v>1170</v>
      </c>
      <c r="G981" s="2" t="s">
        <v>733</v>
      </c>
      <c r="H981" s="2" t="s">
        <v>1171</v>
      </c>
      <c r="I981" s="3">
        <v>1.0</v>
      </c>
      <c r="J981" s="3"/>
      <c r="K981" s="5">
        <v>38.0</v>
      </c>
      <c r="L981" s="6" t="str">
        <f>IF(D981&lt;&gt;"",VLOOKUP(H981,TABLEITEM,2,FALSE),"")</f>
        <v>MAT GL</v>
      </c>
      <c r="M981" s="6" t="str">
        <f>IF(D981&lt;&gt;"",VLOOKUP(H981,TABLEITEM,3,FALSE),"")</f>
        <v>กระจก 132x312 T3.0</v>
      </c>
      <c r="N981" s="7">
        <f>INSTOCK!$I981*INSTOCK!$K981</f>
        <v>38</v>
      </c>
      <c r="O981" s="2"/>
      <c r="P981" s="2"/>
    </row>
    <row r="982" ht="18.0" hidden="1" customHeight="1">
      <c r="A982" s="1"/>
      <c r="B982" s="3"/>
      <c r="C982" s="4">
        <v>43407.0</v>
      </c>
      <c r="D982" s="2" t="s">
        <v>1172</v>
      </c>
      <c r="E982" s="2">
        <v>6.111001451E9</v>
      </c>
      <c r="F982" s="3" t="s">
        <v>1170</v>
      </c>
      <c r="G982" s="2" t="s">
        <v>733</v>
      </c>
      <c r="H982" s="2" t="s">
        <v>1171</v>
      </c>
      <c r="I982" s="3">
        <v>1.0</v>
      </c>
      <c r="J982" s="3"/>
      <c r="K982" s="5">
        <v>38.0</v>
      </c>
      <c r="L982" s="6" t="str">
        <f>IF(D982&lt;&gt;"",VLOOKUP(H982,TABLEITEM,2,FALSE),"")</f>
        <v>MAT GL</v>
      </c>
      <c r="M982" s="6" t="str">
        <f>IF(D982&lt;&gt;"",VLOOKUP(H982,TABLEITEM,3,FALSE),"")</f>
        <v>กระจก 132x312 T3.0</v>
      </c>
      <c r="N982" s="7">
        <f>INSTOCK!$I982*INSTOCK!$K982</f>
        <v>38</v>
      </c>
      <c r="O982" s="2"/>
      <c r="P982" s="2"/>
    </row>
    <row r="983" ht="18.0" hidden="1" customHeight="1">
      <c r="A983" s="1"/>
      <c r="B983" s="3"/>
      <c r="C983" s="4">
        <v>43410.0</v>
      </c>
      <c r="D983" s="2" t="s">
        <v>1173</v>
      </c>
      <c r="E983" s="2">
        <v>6.111001451E9</v>
      </c>
      <c r="F983" s="3" t="s">
        <v>1174</v>
      </c>
      <c r="G983" s="2" t="s">
        <v>733</v>
      </c>
      <c r="H983" s="2" t="s">
        <v>1171</v>
      </c>
      <c r="I983" s="3">
        <v>3.0</v>
      </c>
      <c r="J983" s="3"/>
      <c r="K983" s="5">
        <v>38.0</v>
      </c>
      <c r="L983" s="6" t="str">
        <f>IF(D983&lt;&gt;"",VLOOKUP(H983,TABLEITEM,2,FALSE),"")</f>
        <v>MAT GL</v>
      </c>
      <c r="M983" s="6" t="str">
        <f>IF(D983&lt;&gt;"",VLOOKUP(H983,TABLEITEM,3,FALSE),"")</f>
        <v>กระจก 132x312 T3.0</v>
      </c>
      <c r="N983" s="7">
        <f>INSTOCK!$I983*INSTOCK!$K983</f>
        <v>114</v>
      </c>
      <c r="O983" s="2"/>
      <c r="P983" s="2"/>
    </row>
    <row r="984" ht="18.0" hidden="1" customHeight="1">
      <c r="A984" s="1"/>
      <c r="B984" s="3"/>
      <c r="C984" s="4">
        <v>43410.0</v>
      </c>
      <c r="D984" s="2" t="s">
        <v>1173</v>
      </c>
      <c r="E984" s="2">
        <v>6.111001451E9</v>
      </c>
      <c r="F984" s="3" t="s">
        <v>1175</v>
      </c>
      <c r="G984" s="2" t="s">
        <v>733</v>
      </c>
      <c r="H984" s="2" t="s">
        <v>1176</v>
      </c>
      <c r="I984" s="3">
        <v>1.0</v>
      </c>
      <c r="J984" s="3"/>
      <c r="K984" s="5">
        <v>75.0</v>
      </c>
      <c r="L984" s="6" t="str">
        <f>IF(D984&lt;&gt;"",VLOOKUP(H984,TABLEITEM,2,FALSE),"")</f>
        <v>MAT GL</v>
      </c>
      <c r="M984" s="6" t="str">
        <f>IF(D984&lt;&gt;"",VLOOKUP(H984,TABLEITEM,3,FALSE),"")</f>
        <v>กระจก 298x908 T3.0</v>
      </c>
      <c r="N984" s="7">
        <f>INSTOCK!$I984*INSTOCK!$K984</f>
        <v>75</v>
      </c>
      <c r="O984" s="2"/>
      <c r="P984" s="2"/>
    </row>
    <row r="985" ht="18.0" hidden="1" customHeight="1">
      <c r="A985" s="1"/>
      <c r="B985" s="3"/>
      <c r="C985" s="4">
        <v>43418.0</v>
      </c>
      <c r="D985" s="2" t="s">
        <v>1177</v>
      </c>
      <c r="E985" s="2">
        <v>6.110001317E9</v>
      </c>
      <c r="F985" s="3" t="s">
        <v>161</v>
      </c>
      <c r="G985" s="2" t="s">
        <v>171</v>
      </c>
      <c r="H985" s="2" t="s">
        <v>21</v>
      </c>
      <c r="I985" s="3">
        <v>200.0</v>
      </c>
      <c r="J985" s="3"/>
      <c r="K985" s="5">
        <v>1143.408</v>
      </c>
      <c r="L985" s="6" t="str">
        <f>IF(D985&lt;&gt;"",VLOOKUP(H985,TABLEITEM,2,FALSE),"")</f>
        <v>MAT ST</v>
      </c>
      <c r="M985" s="6" t="str">
        <f>IF(D985&lt;&gt;"",VLOOKUP(H985,TABLEITEM,3,FALSE),"")</f>
        <v>เหล็กแผ่นขาว4'x8'T2.0</v>
      </c>
      <c r="N985" s="7">
        <f>INSTOCK!$I985*INSTOCK!$K985</f>
        <v>228681.6</v>
      </c>
      <c r="O985" s="2" t="s">
        <v>1178</v>
      </c>
      <c r="P985" s="27" t="s">
        <v>1179</v>
      </c>
    </row>
    <row r="986" ht="18.0" hidden="1" customHeight="1">
      <c r="A986" s="1"/>
      <c r="B986" s="3"/>
      <c r="C986" s="4">
        <v>43418.0</v>
      </c>
      <c r="D986" s="2" t="s">
        <v>1177</v>
      </c>
      <c r="E986" s="2">
        <v>6.110001317E9</v>
      </c>
      <c r="F986" s="3" t="s">
        <v>161</v>
      </c>
      <c r="G986" s="2" t="s">
        <v>171</v>
      </c>
      <c r="H986" s="2" t="s">
        <v>23</v>
      </c>
      <c r="I986" s="3">
        <v>100.0</v>
      </c>
      <c r="J986" s="3"/>
      <c r="K986" s="5">
        <v>1303.984</v>
      </c>
      <c r="L986" s="6" t="str">
        <f>IF(D986&lt;&gt;"",VLOOKUP(H986,TABLEITEM,2,FALSE),"")</f>
        <v>MAT ST</v>
      </c>
      <c r="M986" s="6" t="str">
        <f>IF(D986&lt;&gt;"",VLOOKUP(H986,TABLEITEM,3,FALSE),"")</f>
        <v>เหล็กแผ่นขาว4'x8'T2.3</v>
      </c>
      <c r="N986" s="7">
        <f>INSTOCK!$I986*INSTOCK!$K986</f>
        <v>130398.4</v>
      </c>
      <c r="O986" s="2" t="s">
        <v>1180</v>
      </c>
      <c r="P986" s="2"/>
    </row>
    <row r="987" ht="18.0" hidden="1" customHeight="1">
      <c r="A987" s="1"/>
      <c r="B987" s="3"/>
      <c r="C987" s="4">
        <v>43421.0</v>
      </c>
      <c r="D987" s="2" t="s">
        <v>1181</v>
      </c>
      <c r="E987" s="2">
        <v>6.11100145E9</v>
      </c>
      <c r="F987" s="3" t="s">
        <v>161</v>
      </c>
      <c r="G987" s="2" t="s">
        <v>171</v>
      </c>
      <c r="H987" s="2" t="s">
        <v>19</v>
      </c>
      <c r="I987" s="3">
        <v>200.0</v>
      </c>
      <c r="J987" s="3"/>
      <c r="K987" s="5">
        <v>912.625</v>
      </c>
      <c r="L987" s="6" t="str">
        <f>IF(D987&lt;&gt;"",VLOOKUP(H987,TABLEITEM,2,FALSE),"")</f>
        <v>MAT ST</v>
      </c>
      <c r="M987" s="6" t="str">
        <f>IF(D987&lt;&gt;"",VLOOKUP(H987,TABLEITEM,3,FALSE),"")</f>
        <v>เหล็กแผ่นขาว4'x8'T1.6</v>
      </c>
      <c r="N987" s="7">
        <f>INSTOCK!$I987*INSTOCK!$K987</f>
        <v>182525</v>
      </c>
      <c r="O987" s="2" t="s">
        <v>1182</v>
      </c>
      <c r="P987" s="2"/>
    </row>
    <row r="988" ht="18.0" hidden="1" customHeight="1">
      <c r="A988" s="1"/>
      <c r="B988" s="3"/>
      <c r="C988" s="4">
        <v>43420.0</v>
      </c>
      <c r="D988" s="2" t="s">
        <v>1183</v>
      </c>
      <c r="E988" s="2">
        <v>6.111001449E9</v>
      </c>
      <c r="F988" s="3" t="s">
        <v>1184</v>
      </c>
      <c r="G988" s="2" t="s">
        <v>240</v>
      </c>
      <c r="H988" s="2" t="s">
        <v>134</v>
      </c>
      <c r="I988" s="3">
        <v>30.0</v>
      </c>
      <c r="J988" s="3" t="s">
        <v>78</v>
      </c>
      <c r="K988" s="5">
        <v>95.0</v>
      </c>
      <c r="L988" s="6" t="str">
        <f>IF(D988&lt;&gt;"",VLOOKUP(H988,TABLEITEM,2,FALSE),"")</f>
        <v>MAT ST</v>
      </c>
      <c r="M988" s="6" t="str">
        <f>IF(D988&lt;&gt;"",VLOOKUP(H988,TABLEITEM,3,FALSE),"")</f>
        <v>ฉากสแตนเลส 2''หนา6.0</v>
      </c>
      <c r="N988" s="7">
        <f>INSTOCK!$I988*INSTOCK!$K988</f>
        <v>2850</v>
      </c>
      <c r="O988" s="2" t="s">
        <v>1185</v>
      </c>
      <c r="P988" s="2"/>
    </row>
    <row r="989" ht="18.0" hidden="1" customHeight="1">
      <c r="A989" s="1"/>
      <c r="B989" s="3"/>
      <c r="C989" s="4">
        <v>43420.0</v>
      </c>
      <c r="D989" s="2" t="s">
        <v>1183</v>
      </c>
      <c r="E989" s="2">
        <v>6.111001449E9</v>
      </c>
      <c r="F989" s="3" t="s">
        <v>1184</v>
      </c>
      <c r="G989" s="2" t="s">
        <v>240</v>
      </c>
      <c r="H989" s="2" t="s">
        <v>1186</v>
      </c>
      <c r="I989" s="3">
        <v>18.0</v>
      </c>
      <c r="J989" s="3" t="s">
        <v>78</v>
      </c>
      <c r="K989" s="5">
        <v>116.6666</v>
      </c>
      <c r="L989" s="6" t="str">
        <f>IF(D989&lt;&gt;"",VLOOKUP(H989,TABLEITEM,2,FALSE),"")</f>
        <v>MAT ST</v>
      </c>
      <c r="M989" s="6" t="str">
        <f>IF(D989&lt;&gt;"",VLOOKUP(H989,TABLEITEM,3,FALSE),"")</f>
        <v>เหล็กท่อกลม 3" หนา 2.3มิล</v>
      </c>
      <c r="N989" s="7">
        <f>INSTOCK!$I989*INSTOCK!$K989</f>
        <v>2099.9988</v>
      </c>
      <c r="O989" s="2" t="s">
        <v>1187</v>
      </c>
      <c r="P989" s="2"/>
    </row>
    <row r="990" ht="18.0" hidden="1" customHeight="1">
      <c r="A990" s="1"/>
      <c r="B990" s="3"/>
      <c r="C990" s="4">
        <v>43425.0</v>
      </c>
      <c r="D990" s="2" t="s">
        <v>1188</v>
      </c>
      <c r="E990" s="2"/>
      <c r="F990" s="3" t="s">
        <v>161</v>
      </c>
      <c r="G990" s="2" t="s">
        <v>456</v>
      </c>
      <c r="H990" s="2" t="s">
        <v>511</v>
      </c>
      <c r="I990" s="3">
        <v>90.0</v>
      </c>
      <c r="J990" s="3"/>
      <c r="K990" s="5"/>
      <c r="L990" s="6" t="str">
        <f>IF(D990&lt;&gt;"",VLOOKUP(H990,TABLEITEM,2,FALSE),"")</f>
        <v>PART</v>
      </c>
      <c r="M990" s="6" t="str">
        <f>IF(D990&lt;&gt;"",VLOOKUP(H990,TABLEITEM,3,FALSE),"")</f>
        <v>เสาเสริม 40x50x1788</v>
      </c>
      <c r="N990" s="7">
        <f>INSTOCK!$I990*INSTOCK!$K990</f>
        <v>0</v>
      </c>
      <c r="O990" s="2"/>
      <c r="P990" s="2"/>
    </row>
    <row r="991" ht="18.0" hidden="1" customHeight="1">
      <c r="A991" s="1"/>
      <c r="B991" s="3"/>
      <c r="C991" s="4">
        <v>43425.0</v>
      </c>
      <c r="D991" s="2" t="s">
        <v>669</v>
      </c>
      <c r="E991" s="2"/>
      <c r="F991" s="3" t="s">
        <v>161</v>
      </c>
      <c r="G991" s="2" t="s">
        <v>456</v>
      </c>
      <c r="H991" s="2" t="s">
        <v>670</v>
      </c>
      <c r="I991" s="3">
        <v>127.0</v>
      </c>
      <c r="J991" s="3"/>
      <c r="K991" s="5"/>
      <c r="L991" s="6" t="str">
        <f>IF(D991&lt;&gt;"",VLOOKUP(H991,TABLEITEM,2,FALSE),"")</f>
        <v>PART</v>
      </c>
      <c r="M991" s="6" t="str">
        <f>IF(D991&lt;&gt;"",VLOOKUP(H991,TABLEITEM,3,FALSE),"")</f>
        <v>ฉากรับเพลท 40x30x390</v>
      </c>
      <c r="N991" s="7">
        <f>INSTOCK!$I991*INSTOCK!$K991</f>
        <v>0</v>
      </c>
      <c r="O991" s="2"/>
      <c r="P991" s="2"/>
    </row>
    <row r="992" ht="18.0" hidden="1" customHeight="1">
      <c r="A992" s="1"/>
      <c r="B992" s="3"/>
      <c r="C992" s="4">
        <v>43425.0</v>
      </c>
      <c r="D992" s="2" t="s">
        <v>669</v>
      </c>
      <c r="E992" s="2"/>
      <c r="F992" s="3" t="s">
        <v>161</v>
      </c>
      <c r="G992" s="2" t="s">
        <v>456</v>
      </c>
      <c r="H992" s="2" t="s">
        <v>671</v>
      </c>
      <c r="I992" s="3">
        <v>22.0</v>
      </c>
      <c r="J992" s="3"/>
      <c r="K992" s="5"/>
      <c r="L992" s="6" t="str">
        <f>IF(D992&lt;&gt;"",VLOOKUP(H992,TABLEITEM,2,FALSE),"")</f>
        <v>PART</v>
      </c>
      <c r="M992" s="6" t="str">
        <f>IF(D992&lt;&gt;"",VLOOKUP(H992,TABLEITEM,3,FALSE),"")</f>
        <v>ฉากรับเพลท 40x30x790</v>
      </c>
      <c r="N992" s="7">
        <f>INSTOCK!$I992*INSTOCK!$K992</f>
        <v>0</v>
      </c>
      <c r="O992" s="2"/>
      <c r="P992" s="2"/>
    </row>
    <row r="993" ht="18.0" hidden="1" customHeight="1">
      <c r="A993" s="1"/>
      <c r="B993" s="3"/>
      <c r="C993" s="4">
        <v>43425.0</v>
      </c>
      <c r="D993" s="2" t="s">
        <v>636</v>
      </c>
      <c r="E993" s="2"/>
      <c r="F993" s="3" t="s">
        <v>161</v>
      </c>
      <c r="G993" s="2" t="s">
        <v>456</v>
      </c>
      <c r="H993" s="2" t="s">
        <v>1189</v>
      </c>
      <c r="I993" s="3">
        <v>50.0</v>
      </c>
      <c r="J993" s="3"/>
      <c r="K993" s="5"/>
      <c r="L993" s="6" t="str">
        <f>IF(D993&lt;&gt;"",VLOOKUP(H993,TABLEITEM,2,FALSE),"")</f>
        <v>PART</v>
      </c>
      <c r="M993" s="6" t="str">
        <f>IF(D993&lt;&gt;"",VLOOKUP(H993,TABLEITEM,3,FALSE),"")</f>
        <v>ฉากรับกุญ 40x1763</v>
      </c>
      <c r="N993" s="7">
        <f>INSTOCK!$I993*INSTOCK!$K993</f>
        <v>0</v>
      </c>
      <c r="O993" s="2"/>
      <c r="P993" s="2"/>
    </row>
    <row r="994" ht="18.0" hidden="1" customHeight="1">
      <c r="A994" s="1"/>
      <c r="B994" s="3"/>
      <c r="C994" s="4">
        <v>43425.0</v>
      </c>
      <c r="D994" s="2" t="s">
        <v>583</v>
      </c>
      <c r="E994" s="2"/>
      <c r="F994" s="3" t="s">
        <v>161</v>
      </c>
      <c r="G994" s="2" t="s">
        <v>456</v>
      </c>
      <c r="H994" s="2" t="s">
        <v>1128</v>
      </c>
      <c r="I994" s="3">
        <v>40.0</v>
      </c>
      <c r="J994" s="3"/>
      <c r="K994" s="5"/>
      <c r="L994" s="6" t="str">
        <f>IF(D994&lt;&gt;"",VLOOKUP(H994,TABLEITEM,2,FALSE),"")</f>
        <v>PART</v>
      </c>
      <c r="M994" s="6" t="str">
        <f>IF(D994&lt;&gt;"",VLOOKUP(H994,TABLEITEM,3,FALSE),"")</f>
        <v>ฉากรับเพลท3mm 40x1788</v>
      </c>
      <c r="N994" s="7">
        <f>INSTOCK!$I994*INSTOCK!$K994</f>
        <v>0</v>
      </c>
      <c r="O994" s="2"/>
      <c r="P994" s="2"/>
    </row>
    <row r="995" ht="18.0" hidden="1" customHeight="1">
      <c r="A995" s="1"/>
      <c r="B995" s="3"/>
      <c r="C995" s="4">
        <v>43430.0</v>
      </c>
      <c r="D995" s="2" t="s">
        <v>722</v>
      </c>
      <c r="E995" s="2"/>
      <c r="F995" s="3" t="s">
        <v>161</v>
      </c>
      <c r="G995" s="2" t="s">
        <v>456</v>
      </c>
      <c r="H995" s="2" t="s">
        <v>1190</v>
      </c>
      <c r="I995" s="3">
        <v>101.0</v>
      </c>
      <c r="J995" s="3"/>
      <c r="K995" s="5"/>
      <c r="L995" s="6" t="str">
        <f>IF(D995&lt;&gt;"",VLOOKUP(H995,TABLEITEM,2,FALSE),"")</f>
        <v>PART</v>
      </c>
      <c r="M995" s="6" t="str">
        <f>IF(D995&lt;&gt;"",VLOOKUP(H995,TABLEITEM,3,FALSE),"")</f>
        <v>คานเชื่อม500</v>
      </c>
      <c r="N995" s="7">
        <f>INSTOCK!$I995*INSTOCK!$K995</f>
        <v>0</v>
      </c>
      <c r="O995" s="2"/>
      <c r="P995" s="2"/>
    </row>
    <row r="996" ht="18.0" hidden="1" customHeight="1">
      <c r="A996" s="1"/>
      <c r="B996" s="3"/>
      <c r="C996" s="4">
        <v>43430.0</v>
      </c>
      <c r="D996" s="2" t="s">
        <v>722</v>
      </c>
      <c r="E996" s="2"/>
      <c r="F996" s="3" t="s">
        <v>161</v>
      </c>
      <c r="G996" s="2" t="s">
        <v>456</v>
      </c>
      <c r="H996" s="2" t="s">
        <v>723</v>
      </c>
      <c r="I996" s="3">
        <v>86.0</v>
      </c>
      <c r="J996" s="3"/>
      <c r="K996" s="5"/>
      <c r="L996" s="6" t="str">
        <f>IF(D996&lt;&gt;"",VLOOKUP(H996,TABLEITEM,2,FALSE),"")</f>
        <v>PART</v>
      </c>
      <c r="M996" s="6" t="str">
        <f>IF(D996&lt;&gt;"",VLOOKUP(H996,TABLEITEM,3,FALSE),"")</f>
        <v>คานเชื่อม600</v>
      </c>
      <c r="N996" s="7">
        <f>INSTOCK!$I996*INSTOCK!$K996</f>
        <v>0</v>
      </c>
      <c r="O996" s="2"/>
      <c r="P996" s="2"/>
    </row>
    <row r="997" ht="18.0" hidden="1" customHeight="1">
      <c r="A997" s="1"/>
      <c r="B997" s="3"/>
      <c r="C997" s="4">
        <v>43430.0</v>
      </c>
      <c r="D997" s="2" t="s">
        <v>1191</v>
      </c>
      <c r="E997" s="2"/>
      <c r="F997" s="3" t="s">
        <v>161</v>
      </c>
      <c r="G997" s="2" t="s">
        <v>456</v>
      </c>
      <c r="H997" s="2" t="s">
        <v>1192</v>
      </c>
      <c r="I997" s="3">
        <v>106.0</v>
      </c>
      <c r="J997" s="3"/>
      <c r="K997" s="5"/>
      <c r="L997" s="6" t="str">
        <f>IF(D997&lt;&gt;"",VLOOKUP(H997,TABLEITEM,2,FALSE),"")</f>
        <v>PART</v>
      </c>
      <c r="M997" s="6" t="str">
        <f>IF(D997&lt;&gt;"",VLOOKUP(H997,TABLEITEM,3,FALSE),"")</f>
        <v>คานเชื่อม700</v>
      </c>
      <c r="N997" s="7">
        <f>INSTOCK!$I997*INSTOCK!$K997</f>
        <v>0</v>
      </c>
      <c r="O997" s="2"/>
      <c r="P997" s="2"/>
    </row>
    <row r="998" ht="18.0" hidden="1" customHeight="1">
      <c r="A998" s="1"/>
      <c r="B998" s="3"/>
      <c r="C998" s="4">
        <v>43430.0</v>
      </c>
      <c r="D998" s="2" t="s">
        <v>726</v>
      </c>
      <c r="E998" s="2"/>
      <c r="F998" s="3" t="s">
        <v>161</v>
      </c>
      <c r="G998" s="2" t="s">
        <v>456</v>
      </c>
      <c r="H998" s="2" t="s">
        <v>525</v>
      </c>
      <c r="I998" s="3">
        <v>90.0</v>
      </c>
      <c r="J998" s="3"/>
      <c r="K998" s="5"/>
      <c r="L998" s="6" t="str">
        <f>IF(D998&lt;&gt;"",VLOOKUP(H998,TABLEITEM,2,FALSE),"")</f>
        <v>PART</v>
      </c>
      <c r="M998" s="6" t="str">
        <f>IF(D998&lt;&gt;"",VLOOKUP(H998,TABLEITEM,3,FALSE),"")</f>
        <v>เสาเชื่อม2275x40x50</v>
      </c>
      <c r="N998" s="7">
        <f>INSTOCK!$I998*INSTOCK!$K998</f>
        <v>0</v>
      </c>
      <c r="O998" s="2"/>
      <c r="P998" s="2"/>
    </row>
    <row r="999" ht="18.0" hidden="1" customHeight="1">
      <c r="A999" s="1"/>
      <c r="B999" s="3"/>
      <c r="C999" s="4">
        <v>43420.0</v>
      </c>
      <c r="D999" s="2" t="s">
        <v>1193</v>
      </c>
      <c r="E999" s="2">
        <v>6.111001453E9</v>
      </c>
      <c r="F999" s="3" t="s">
        <v>161</v>
      </c>
      <c r="G999" s="2" t="s">
        <v>158</v>
      </c>
      <c r="H999" s="2" t="s">
        <v>76</v>
      </c>
      <c r="I999" s="3">
        <v>30.0</v>
      </c>
      <c r="J999" s="3"/>
      <c r="K999" s="5">
        <v>490.0</v>
      </c>
      <c r="L999" s="6" t="str">
        <f>IF(D999&lt;&gt;"",VLOOKUP(H999,TABLEITEM,2,FALSE),"")</f>
        <v>MAT ST</v>
      </c>
      <c r="M999" s="6" t="str">
        <f>IF(D999&lt;&gt;"",VLOOKUP(H999,TABLEITEM,3,FALSE),"")</f>
        <v>แผ่นตระแกรงระบาย 4x8รู 3มิลT0.6</v>
      </c>
      <c r="N999" s="7">
        <f>INSTOCK!$I999*INSTOCK!$K999</f>
        <v>14700</v>
      </c>
      <c r="O999" s="42" t="s">
        <v>1194</v>
      </c>
      <c r="P999" s="2"/>
    </row>
    <row r="1000" ht="18.0" hidden="1" customHeight="1">
      <c r="A1000" s="1"/>
      <c r="B1000" s="3"/>
      <c r="C1000" s="4">
        <v>43413.0</v>
      </c>
      <c r="D1000" s="2" t="s">
        <v>1195</v>
      </c>
      <c r="E1000" s="2">
        <v>6.11100147E9</v>
      </c>
      <c r="F1000" s="3" t="s">
        <v>1196</v>
      </c>
      <c r="G1000" s="2" t="s">
        <v>733</v>
      </c>
      <c r="H1000" s="2" t="s">
        <v>1197</v>
      </c>
      <c r="I1000" s="3">
        <v>3.0</v>
      </c>
      <c r="J1000" s="3"/>
      <c r="K1000" s="5">
        <v>180.0</v>
      </c>
      <c r="L1000" s="6" t="str">
        <f>IF(D1000&lt;&gt;"",VLOOKUP(H1000,TABLEITEM,2,FALSE),"")</f>
        <v>MAT GL</v>
      </c>
      <c r="M1000" s="6" t="str">
        <f>IF(D1000&lt;&gt;"",VLOOKUP(H1000,TABLEITEM,3,FALSE),"")</f>
        <v>กระจก 512x872 T5.0</v>
      </c>
      <c r="N1000" s="7">
        <f>INSTOCK!$I1000*INSTOCK!$K1000</f>
        <v>540</v>
      </c>
      <c r="O1000" s="2"/>
      <c r="P1000" s="2"/>
    </row>
    <row r="1001" ht="18.0" hidden="1" customHeight="1">
      <c r="A1001" s="1"/>
      <c r="B1001" s="3"/>
      <c r="C1001" s="4">
        <v>43413.0</v>
      </c>
      <c r="D1001" s="2" t="s">
        <v>1195</v>
      </c>
      <c r="E1001" s="2">
        <v>6.11100147E9</v>
      </c>
      <c r="F1001" s="3" t="s">
        <v>1198</v>
      </c>
      <c r="G1001" s="2" t="s">
        <v>733</v>
      </c>
      <c r="H1001" s="2" t="s">
        <v>875</v>
      </c>
      <c r="I1001" s="3">
        <v>1.0</v>
      </c>
      <c r="J1001" s="3"/>
      <c r="K1001" s="5">
        <v>60.0</v>
      </c>
      <c r="L1001" s="6" t="str">
        <f>IF(D1001&lt;&gt;"",VLOOKUP(H1001,TABLEITEM,2,FALSE),"")</f>
        <v>MAT GL</v>
      </c>
      <c r="M1001" s="6" t="str">
        <f>IF(D1001&lt;&gt;"",VLOOKUP(H1001,TABLEITEM,3,FALSE),"")</f>
        <v>กระจก262x512T5.0</v>
      </c>
      <c r="N1001" s="7">
        <f>INSTOCK!$I1001*INSTOCK!$K1001</f>
        <v>60</v>
      </c>
      <c r="O1001" s="2" t="s">
        <v>700</v>
      </c>
      <c r="P1001" s="2"/>
    </row>
    <row r="1002" ht="18.0" hidden="1" customHeight="1">
      <c r="A1002" s="1"/>
      <c r="B1002" s="3"/>
      <c r="C1002" s="4">
        <v>43413.0</v>
      </c>
      <c r="D1002" s="2" t="s">
        <v>1199</v>
      </c>
      <c r="E1002" s="2">
        <v>6.11100147E9</v>
      </c>
      <c r="F1002" s="3" t="s">
        <v>1200</v>
      </c>
      <c r="G1002" s="2" t="s">
        <v>733</v>
      </c>
      <c r="H1002" s="2" t="s">
        <v>1201</v>
      </c>
      <c r="I1002" s="3">
        <v>1.0</v>
      </c>
      <c r="J1002" s="3"/>
      <c r="K1002" s="5">
        <v>90.0</v>
      </c>
      <c r="L1002" s="6" t="str">
        <f>IF(D1002&lt;&gt;"",VLOOKUP(H1002,TABLEITEM,2,FALSE),"")</f>
        <v>MAT GL</v>
      </c>
      <c r="M1002" s="6" t="str">
        <f>IF(D1002&lt;&gt;"",VLOOKUP(H1002,TABLEITEM,3,FALSE),"")</f>
        <v>กระจก312x512T5.0</v>
      </c>
      <c r="N1002" s="7">
        <f>INSTOCK!$I1002*INSTOCK!$K1002</f>
        <v>90</v>
      </c>
      <c r="O1002" s="2" t="s">
        <v>700</v>
      </c>
      <c r="P1002" s="2"/>
    </row>
    <row r="1003" ht="18.0" hidden="1" customHeight="1">
      <c r="A1003" s="1"/>
      <c r="B1003" s="3"/>
      <c r="C1003" s="4">
        <v>43413.0</v>
      </c>
      <c r="D1003" s="2" t="s">
        <v>1167</v>
      </c>
      <c r="E1003" s="2">
        <v>6.11100147E9</v>
      </c>
      <c r="F1003" s="3" t="s">
        <v>1200</v>
      </c>
      <c r="G1003" s="2" t="s">
        <v>733</v>
      </c>
      <c r="H1003" s="2" t="s">
        <v>1202</v>
      </c>
      <c r="I1003" s="3">
        <v>6.0</v>
      </c>
      <c r="J1003" s="3"/>
      <c r="K1003" s="5">
        <v>25.0</v>
      </c>
      <c r="L1003" s="6" t="str">
        <f>IF(D1003&lt;&gt;"",VLOOKUP(H1003,TABLEITEM,2,FALSE),"")</f>
        <v>MAT GL</v>
      </c>
      <c r="M1003" s="6" t="str">
        <f>IF(D1003&lt;&gt;"",VLOOKUP(H1003,TABLEITEM,3,FALSE),"")</f>
        <v>กระจก 126x141 T3.0</v>
      </c>
      <c r="N1003" s="7">
        <f>INSTOCK!$I1003*INSTOCK!$K1003</f>
        <v>150</v>
      </c>
      <c r="O1003" s="2" t="s">
        <v>700</v>
      </c>
      <c r="P1003" s="2"/>
    </row>
    <row r="1004" ht="18.0" hidden="1" customHeight="1">
      <c r="A1004" s="1"/>
      <c r="B1004" s="3"/>
      <c r="C1004" s="4">
        <v>43412.0</v>
      </c>
      <c r="D1004" s="2" t="s">
        <v>1203</v>
      </c>
      <c r="E1004" s="2">
        <v>6.11100147E9</v>
      </c>
      <c r="F1004" s="3" t="s">
        <v>1204</v>
      </c>
      <c r="G1004" s="2" t="s">
        <v>733</v>
      </c>
      <c r="H1004" s="2" t="s">
        <v>1201</v>
      </c>
      <c r="I1004" s="3">
        <v>1.0</v>
      </c>
      <c r="J1004" s="3"/>
      <c r="K1004" s="5">
        <v>90.0</v>
      </c>
      <c r="L1004" s="6" t="str">
        <f>IF(D1004&lt;&gt;"",VLOOKUP(H1004,TABLEITEM,2,FALSE),"")</f>
        <v>MAT GL</v>
      </c>
      <c r="M1004" s="6" t="str">
        <f>IF(D1004&lt;&gt;"",VLOOKUP(H1004,TABLEITEM,3,FALSE),"")</f>
        <v>กระจก312x512T5.0</v>
      </c>
      <c r="N1004" s="7">
        <f>INSTOCK!$I1004*INSTOCK!$K1004</f>
        <v>90</v>
      </c>
      <c r="O1004" s="2" t="s">
        <v>700</v>
      </c>
      <c r="P1004" s="2"/>
    </row>
    <row r="1005" ht="18.0" hidden="1" customHeight="1">
      <c r="A1005" s="1"/>
      <c r="B1005" s="3"/>
      <c r="C1005" s="4">
        <v>43412.0</v>
      </c>
      <c r="D1005" s="2" t="s">
        <v>1205</v>
      </c>
      <c r="E1005" s="2">
        <v>6.11100147E9</v>
      </c>
      <c r="F1005" s="3" t="s">
        <v>1204</v>
      </c>
      <c r="G1005" s="2" t="s">
        <v>733</v>
      </c>
      <c r="H1005" s="2" t="s">
        <v>1202</v>
      </c>
      <c r="I1005" s="3">
        <v>6.0</v>
      </c>
      <c r="J1005" s="3"/>
      <c r="K1005" s="5">
        <v>25.0</v>
      </c>
      <c r="L1005" s="6" t="str">
        <f>IF(D1005&lt;&gt;"",VLOOKUP(H1005,TABLEITEM,2,FALSE),"")</f>
        <v>MAT GL</v>
      </c>
      <c r="M1005" s="6" t="str">
        <f>IF(D1005&lt;&gt;"",VLOOKUP(H1005,TABLEITEM,3,FALSE),"")</f>
        <v>กระจก 126x141 T3.0</v>
      </c>
      <c r="N1005" s="7">
        <f>INSTOCK!$I1005*INSTOCK!$K1005</f>
        <v>150</v>
      </c>
      <c r="O1005" s="2" t="s">
        <v>700</v>
      </c>
      <c r="P1005" s="2"/>
    </row>
    <row r="1006" ht="18.0" hidden="1" customHeight="1">
      <c r="A1006" s="1"/>
      <c r="B1006" s="3"/>
      <c r="C1006" s="4">
        <v>43421.0</v>
      </c>
      <c r="D1006" s="2" t="s">
        <v>1206</v>
      </c>
      <c r="E1006" s="2">
        <v>6.11100147E9</v>
      </c>
      <c r="F1006" s="3" t="s">
        <v>1207</v>
      </c>
      <c r="G1006" s="2" t="s">
        <v>733</v>
      </c>
      <c r="H1006" s="2" t="s">
        <v>763</v>
      </c>
      <c r="I1006" s="3">
        <v>40.0</v>
      </c>
      <c r="J1006" s="3"/>
      <c r="K1006" s="5">
        <v>25.0</v>
      </c>
      <c r="L1006" s="6" t="str">
        <f>IF(D1006&lt;&gt;"",VLOOKUP(H1006,TABLEITEM,2,FALSE),"")</f>
        <v>MAT GL</v>
      </c>
      <c r="M1006" s="6" t="str">
        <f>IF(D1006&lt;&gt;"",VLOOKUP(H1006,TABLEITEM,3,FALSE),"")</f>
        <v>กระจก132X132T3.0</v>
      </c>
      <c r="N1006" s="7">
        <f>INSTOCK!$I1006*INSTOCK!$K1006</f>
        <v>1000</v>
      </c>
      <c r="O1006" s="2" t="s">
        <v>700</v>
      </c>
      <c r="P1006" s="2"/>
    </row>
    <row r="1007" ht="18.0" hidden="1" customHeight="1">
      <c r="A1007" s="1"/>
      <c r="B1007" s="3"/>
      <c r="C1007" s="4">
        <v>43421.0</v>
      </c>
      <c r="D1007" s="2" t="s">
        <v>1208</v>
      </c>
      <c r="E1007" s="2">
        <v>6.11100147E9</v>
      </c>
      <c r="F1007" s="3" t="s">
        <v>1209</v>
      </c>
      <c r="G1007" s="2" t="s">
        <v>733</v>
      </c>
      <c r="H1007" s="2" t="s">
        <v>1210</v>
      </c>
      <c r="I1007" s="3">
        <v>1.0</v>
      </c>
      <c r="J1007" s="3"/>
      <c r="K1007" s="5">
        <v>90.0</v>
      </c>
      <c r="L1007" s="6" t="str">
        <f>IF(D1007&lt;&gt;"",VLOOKUP(H1007,TABLEITEM,2,FALSE),"")</f>
        <v>MAT GL</v>
      </c>
      <c r="M1007" s="6" t="str">
        <f>IF(D1007&lt;&gt;"",VLOOKUP(H1007,TABLEITEM,3,FALSE),"")</f>
        <v>กระจก 332x572 T5.0</v>
      </c>
      <c r="N1007" s="7">
        <f>INSTOCK!$I1007*INSTOCK!$K1007</f>
        <v>90</v>
      </c>
      <c r="O1007" s="2" t="s">
        <v>700</v>
      </c>
      <c r="P1007" s="2"/>
    </row>
    <row r="1008" ht="18.0" hidden="1" customHeight="1">
      <c r="A1008" s="1"/>
      <c r="B1008" s="3"/>
      <c r="C1008" s="4">
        <v>43424.0</v>
      </c>
      <c r="D1008" s="2" t="s">
        <v>1211</v>
      </c>
      <c r="E1008" s="2">
        <v>6.111001517E9</v>
      </c>
      <c r="F1008" s="3" t="s">
        <v>1212</v>
      </c>
      <c r="G1008" s="2" t="s">
        <v>733</v>
      </c>
      <c r="H1008" s="2" t="s">
        <v>1213</v>
      </c>
      <c r="I1008" s="3">
        <v>2.0</v>
      </c>
      <c r="J1008" s="3"/>
      <c r="K1008" s="5">
        <v>300.0</v>
      </c>
      <c r="L1008" s="6" t="str">
        <f>IF(D1008&lt;&gt;"",VLOOKUP(H1008,TABLEITEM,2,FALSE),"")</f>
        <v>MAT GL</v>
      </c>
      <c r="M1008" s="6" t="str">
        <f>IF(D1008&lt;&gt;"",VLOOKUP(H1008,TABLEITEM,3,FALSE),"")</f>
        <v>กระจก 612x992 T5.0</v>
      </c>
      <c r="N1008" s="7">
        <f>INSTOCK!$I1008*INSTOCK!$K1008</f>
        <v>600</v>
      </c>
      <c r="O1008" s="2" t="s">
        <v>700</v>
      </c>
      <c r="P1008" s="2"/>
    </row>
    <row r="1009" ht="18.0" hidden="1" customHeight="1">
      <c r="A1009" s="1"/>
      <c r="B1009" s="3"/>
      <c r="C1009" s="4">
        <v>43416.0</v>
      </c>
      <c r="D1009" s="2" t="s">
        <v>1211</v>
      </c>
      <c r="E1009" s="2">
        <v>6.111001517E9</v>
      </c>
      <c r="F1009" s="3" t="s">
        <v>1214</v>
      </c>
      <c r="G1009" s="2" t="s">
        <v>733</v>
      </c>
      <c r="H1009" s="2" t="s">
        <v>940</v>
      </c>
      <c r="I1009" s="3">
        <v>9.0</v>
      </c>
      <c r="J1009" s="3"/>
      <c r="K1009" s="5">
        <v>240.0</v>
      </c>
      <c r="L1009" s="6" t="str">
        <f>IF(D1009&lt;&gt;"",VLOOKUP(H1009,TABLEITEM,2,FALSE),"")</f>
        <v>MAT GL</v>
      </c>
      <c r="M1009" s="6" t="str">
        <f>IF(D1009&lt;&gt;"",VLOOKUP(H1009,TABLEITEM,3,FALSE),"")</f>
        <v>กระจก512x972T5.0</v>
      </c>
      <c r="N1009" s="7">
        <f>INSTOCK!$I1009*INSTOCK!$K1009</f>
        <v>2160</v>
      </c>
      <c r="O1009" s="2" t="s">
        <v>700</v>
      </c>
      <c r="P1009" s="2"/>
    </row>
    <row r="1010" ht="18.0" hidden="1" customHeight="1">
      <c r="A1010" s="1"/>
      <c r="B1010" s="3"/>
      <c r="C1010" s="4">
        <v>43416.0</v>
      </c>
      <c r="D1010" s="2" t="s">
        <v>1211</v>
      </c>
      <c r="E1010" s="2">
        <v>6.111001517E9</v>
      </c>
      <c r="F1010" s="3" t="s">
        <v>1165</v>
      </c>
      <c r="G1010" s="2" t="s">
        <v>733</v>
      </c>
      <c r="H1010" s="2" t="s">
        <v>1166</v>
      </c>
      <c r="I1010" s="3">
        <v>1.0</v>
      </c>
      <c r="J1010" s="3"/>
      <c r="K1010" s="5">
        <v>240.0</v>
      </c>
      <c r="L1010" s="6" t="str">
        <f>IF(D1010&lt;&gt;"",VLOOKUP(H1010,TABLEITEM,2,FALSE),"")</f>
        <v>MAT GL</v>
      </c>
      <c r="M1010" s="6" t="str">
        <f>IF(D1010&lt;&gt;"",VLOOKUP(H1010,TABLEITEM,3,FALSE),"")</f>
        <v>กระจก 512x912 T5.0</v>
      </c>
      <c r="N1010" s="7">
        <f>INSTOCK!$I1010*INSTOCK!$K1010</f>
        <v>240</v>
      </c>
      <c r="O1010" s="2" t="s">
        <v>700</v>
      </c>
      <c r="P1010" s="2"/>
    </row>
    <row r="1011" ht="18.0" hidden="1" customHeight="1">
      <c r="A1011" s="1"/>
      <c r="B1011" s="3"/>
      <c r="C1011" s="4">
        <v>43416.0</v>
      </c>
      <c r="D1011" s="2" t="s">
        <v>1211</v>
      </c>
      <c r="E1011" s="2">
        <v>6.111001517E9</v>
      </c>
      <c r="F1011" s="3" t="s">
        <v>1215</v>
      </c>
      <c r="G1011" s="2" t="s">
        <v>733</v>
      </c>
      <c r="H1011" s="2" t="s">
        <v>1216</v>
      </c>
      <c r="I1011" s="3">
        <v>1.0</v>
      </c>
      <c r="J1011" s="3"/>
      <c r="K1011" s="5">
        <v>240.0</v>
      </c>
      <c r="L1011" s="6" t="str">
        <f>IF(D1011&lt;&gt;"",VLOOKUP(H1011,TABLEITEM,2,FALSE),"")</f>
        <v>MAT GL</v>
      </c>
      <c r="M1011" s="6" t="str">
        <f>IF(D1011&lt;&gt;"",VLOOKUP(H1011,TABLEITEM,3,FALSE),"")</f>
        <v>กระจก 570x1155 T5.0</v>
      </c>
      <c r="N1011" s="7">
        <f>INSTOCK!$I1011*INSTOCK!$K1011</f>
        <v>240</v>
      </c>
      <c r="O1011" s="2" t="s">
        <v>700</v>
      </c>
      <c r="P1011" s="2"/>
    </row>
    <row r="1012" ht="18.0" hidden="1" customHeight="1">
      <c r="A1012" s="1"/>
      <c r="B1012" s="3"/>
      <c r="C1012" s="4">
        <v>43418.0</v>
      </c>
      <c r="D1012" s="2" t="s">
        <v>1211</v>
      </c>
      <c r="E1012" s="2">
        <v>6.111001517E9</v>
      </c>
      <c r="F1012" s="3" t="s">
        <v>1217</v>
      </c>
      <c r="G1012" s="2" t="s">
        <v>733</v>
      </c>
      <c r="H1012" s="2" t="s">
        <v>1218</v>
      </c>
      <c r="I1012" s="3">
        <v>1.0</v>
      </c>
      <c r="J1012" s="3"/>
      <c r="K1012" s="5">
        <v>115.0</v>
      </c>
      <c r="L1012" s="6" t="str">
        <f>IF(D1012&lt;&gt;"",VLOOKUP(H1012,TABLEITEM,2,FALSE),"")</f>
        <v>MAT GL</v>
      </c>
      <c r="M1012" s="6" t="str">
        <f>IF(D1012&lt;&gt;"",VLOOKUP(H1012,TABLEITEM,3,FALSE),"")</f>
        <v>กระจก 402x712 T5.0</v>
      </c>
      <c r="N1012" s="7">
        <f>INSTOCK!$I1012*INSTOCK!$K1012</f>
        <v>115</v>
      </c>
      <c r="O1012" s="2" t="s">
        <v>700</v>
      </c>
      <c r="P1012" s="2"/>
    </row>
    <row r="1013" ht="18.0" hidden="1" customHeight="1">
      <c r="A1013" s="1"/>
      <c r="B1013" s="3"/>
      <c r="C1013" s="4">
        <v>43418.0</v>
      </c>
      <c r="D1013" s="2" t="s">
        <v>1211</v>
      </c>
      <c r="E1013" s="2">
        <v>6.111001517E9</v>
      </c>
      <c r="F1013" s="3" t="s">
        <v>1219</v>
      </c>
      <c r="G1013" s="2" t="s">
        <v>733</v>
      </c>
      <c r="H1013" s="2" t="s">
        <v>1220</v>
      </c>
      <c r="I1013" s="3">
        <v>2.0</v>
      </c>
      <c r="J1013" s="3"/>
      <c r="K1013" s="5">
        <v>56.0</v>
      </c>
      <c r="L1013" s="6" t="str">
        <f>IF(D1013&lt;&gt;"",VLOOKUP(H1013,TABLEITEM,2,FALSE),"")</f>
        <v>MAT GL</v>
      </c>
      <c r="M1013" s="6" t="str">
        <f>IF(D1013&lt;&gt;"",VLOOKUP(H1013,TABLEITEM,3,FALSE),"")</f>
        <v>กระจก 323x368 T3.0</v>
      </c>
      <c r="N1013" s="7">
        <f>INSTOCK!$I1013*INSTOCK!$K1013</f>
        <v>112</v>
      </c>
      <c r="O1013" s="2" t="s">
        <v>700</v>
      </c>
      <c r="P1013" s="2"/>
    </row>
    <row r="1014" ht="18.0" hidden="1" customHeight="1">
      <c r="A1014" s="1"/>
      <c r="B1014" s="3"/>
      <c r="C1014" s="4">
        <v>43418.0</v>
      </c>
      <c r="D1014" s="2" t="s">
        <v>1211</v>
      </c>
      <c r="E1014" s="2">
        <v>6.111001517E9</v>
      </c>
      <c r="F1014" s="3" t="s">
        <v>1221</v>
      </c>
      <c r="G1014" s="2" t="s">
        <v>733</v>
      </c>
      <c r="H1014" s="2" t="s">
        <v>1222</v>
      </c>
      <c r="I1014" s="3">
        <v>4.0</v>
      </c>
      <c r="J1014" s="3"/>
      <c r="K1014" s="5">
        <v>38.0</v>
      </c>
      <c r="L1014" s="6" t="str">
        <f>IF(D1014&lt;&gt;"",VLOOKUP(H1014,TABLEITEM,2,FALSE),"")</f>
        <v>MAT GL</v>
      </c>
      <c r="M1014" s="6" t="str">
        <f>IF(D1014&lt;&gt;"",VLOOKUP(H1014,TABLEITEM,3,FALSE),"")</f>
        <v>กระจก 233x358 T3.0</v>
      </c>
      <c r="N1014" s="7">
        <f>INSTOCK!$I1014*INSTOCK!$K1014</f>
        <v>152</v>
      </c>
      <c r="O1014" s="2" t="s">
        <v>700</v>
      </c>
      <c r="P1014" s="2"/>
    </row>
    <row r="1015" ht="18.0" hidden="1" customHeight="1">
      <c r="A1015" s="1"/>
      <c r="B1015" s="3"/>
      <c r="C1015" s="4">
        <v>43433.0</v>
      </c>
      <c r="D1015" s="2" t="s">
        <v>638</v>
      </c>
      <c r="E1015" s="2"/>
      <c r="F1015" s="3" t="s">
        <v>161</v>
      </c>
      <c r="G1015" s="2" t="s">
        <v>456</v>
      </c>
      <c r="H1015" s="2" t="s">
        <v>489</v>
      </c>
      <c r="I1015" s="3">
        <v>63.0</v>
      </c>
      <c r="J1015" s="3"/>
      <c r="K1015" s="5"/>
      <c r="L1015" s="6" t="str">
        <f>IF(D1015&lt;&gt;"",VLOOKUP(H1015,TABLEITEM,2,FALSE),"")</f>
        <v>PART</v>
      </c>
      <c r="M1015" s="6" t="str">
        <f>IF(D1015&lt;&gt;"",VLOOKUP(H1015,TABLEITEM,3,FALSE),"")</f>
        <v>คานตัวC 70x25T3.0x520</v>
      </c>
      <c r="N1015" s="7">
        <f>INSTOCK!$I1015*INSTOCK!$K1015</f>
        <v>0</v>
      </c>
      <c r="O1015" s="2"/>
      <c r="P1015" s="2"/>
    </row>
    <row r="1016" ht="18.0" hidden="1" customHeight="1">
      <c r="A1016" s="1"/>
      <c r="B1016" s="3"/>
      <c r="C1016" s="4">
        <v>43433.0</v>
      </c>
      <c r="D1016" s="2" t="s">
        <v>638</v>
      </c>
      <c r="E1016" s="2"/>
      <c r="F1016" s="3" t="s">
        <v>161</v>
      </c>
      <c r="G1016" s="2" t="s">
        <v>456</v>
      </c>
      <c r="H1016" s="2" t="s">
        <v>1223</v>
      </c>
      <c r="I1016" s="3">
        <v>41.0</v>
      </c>
      <c r="J1016" s="3"/>
      <c r="K1016" s="5"/>
      <c r="L1016" s="6" t="str">
        <f>IF(D1016&lt;&gt;"",VLOOKUP(H1016,TABLEITEM,2,FALSE),"")</f>
        <v>PART</v>
      </c>
      <c r="M1016" s="6" t="str">
        <f>IF(D1016&lt;&gt;"",VLOOKUP(H1016,TABLEITEM,3,FALSE),"")</f>
        <v>คานตัวC 70x25T3.0x720</v>
      </c>
      <c r="N1016" s="7">
        <f>INSTOCK!$I1016*INSTOCK!$K1016</f>
        <v>0</v>
      </c>
      <c r="O1016" s="2"/>
      <c r="P1016" s="2"/>
    </row>
    <row r="1017" ht="18.0" hidden="1" customHeight="1">
      <c r="A1017" s="1"/>
      <c r="B1017" s="3"/>
      <c r="C1017" s="4">
        <v>43433.0</v>
      </c>
      <c r="D1017" s="2" t="s">
        <v>725</v>
      </c>
      <c r="E1017" s="2"/>
      <c r="F1017" s="3" t="s">
        <v>161</v>
      </c>
      <c r="G1017" s="2" t="s">
        <v>456</v>
      </c>
      <c r="H1017" s="2" t="s">
        <v>653</v>
      </c>
      <c r="I1017" s="3">
        <v>20.0</v>
      </c>
      <c r="J1017" s="3"/>
      <c r="K1017" s="5"/>
      <c r="L1017" s="6" t="str">
        <f>IF(D1017&lt;&gt;"",VLOOKUP(H1017,TABLEITEM,2,FALSE),"")</f>
        <v>PART</v>
      </c>
      <c r="M1017" s="6" t="str">
        <f>IF(D1017&lt;&gt;"",VLOOKUP(H1017,TABLEITEM,3,FALSE),"")</f>
        <v>ฝาข้าง-ฝาหลัง 2075x970</v>
      </c>
      <c r="N1017" s="7">
        <f>INSTOCK!$I1017*INSTOCK!$K1017</f>
        <v>0</v>
      </c>
      <c r="O1017" s="2"/>
      <c r="P1017" s="2"/>
    </row>
    <row r="1018" ht="18.0" hidden="1" customHeight="1">
      <c r="A1018" s="1"/>
      <c r="B1018" s="3"/>
      <c r="C1018" s="4">
        <v>43433.0</v>
      </c>
      <c r="D1018" s="2" t="s">
        <v>581</v>
      </c>
      <c r="E1018" s="2"/>
      <c r="F1018" s="3" t="s">
        <v>161</v>
      </c>
      <c r="G1018" s="2" t="s">
        <v>456</v>
      </c>
      <c r="H1018" s="2" t="s">
        <v>1127</v>
      </c>
      <c r="I1018" s="3">
        <v>46.0</v>
      </c>
      <c r="J1018" s="3"/>
      <c r="K1018" s="5"/>
      <c r="L1018" s="6" t="str">
        <f>IF(D1018&lt;&gt;"",VLOOKUP(H1018,TABLEITEM,2,FALSE),"")</f>
        <v>PART</v>
      </c>
      <c r="M1018" s="6" t="str">
        <f>IF(D1018&lt;&gt;"",VLOOKUP(H1018,TABLEITEM,3,FALSE),"")</f>
        <v>คานรับลูกถ้วย 50x40x620</v>
      </c>
      <c r="N1018" s="7">
        <f>INSTOCK!$I1018*INSTOCK!$K1018</f>
        <v>0</v>
      </c>
      <c r="O1018" s="2"/>
      <c r="P1018" s="2"/>
    </row>
    <row r="1019" ht="18.0" hidden="1" customHeight="1">
      <c r="A1019" s="1"/>
      <c r="B1019" s="3"/>
      <c r="C1019" s="4">
        <v>43433.0</v>
      </c>
      <c r="D1019" s="2" t="s">
        <v>1088</v>
      </c>
      <c r="E1019" s="2"/>
      <c r="F1019" s="3" t="s">
        <v>161</v>
      </c>
      <c r="G1019" s="2" t="s">
        <v>456</v>
      </c>
      <c r="H1019" s="2" t="s">
        <v>621</v>
      </c>
      <c r="I1019" s="3">
        <v>109.0</v>
      </c>
      <c r="J1019" s="3"/>
      <c r="K1019" s="5"/>
      <c r="L1019" s="6" t="str">
        <f>IF(D1019&lt;&gt;"",VLOOKUP(H1019,TABLEITEM,2,FALSE),"")</f>
        <v>PART</v>
      </c>
      <c r="M1019" s="6" t="str">
        <f>IF(D1019&lt;&gt;"",VLOOKUP(H1019,TABLEITEM,3,FALSE),"")</f>
        <v>คานต่อโครง 80x45x3mmx620</v>
      </c>
      <c r="N1019" s="7">
        <f>INSTOCK!$I1019*INSTOCK!$K1019</f>
        <v>0</v>
      </c>
      <c r="O1019" s="2"/>
      <c r="P1019" s="2"/>
    </row>
    <row r="1020" ht="18.0" hidden="1" customHeight="1">
      <c r="A1020" s="1"/>
      <c r="B1020" s="3"/>
      <c r="C1020" s="4">
        <v>43433.0</v>
      </c>
      <c r="D1020" s="2" t="s">
        <v>1188</v>
      </c>
      <c r="E1020" s="2"/>
      <c r="F1020" s="3" t="s">
        <v>161</v>
      </c>
      <c r="G1020" s="2" t="s">
        <v>456</v>
      </c>
      <c r="H1020" s="2" t="s">
        <v>491</v>
      </c>
      <c r="I1020" s="3">
        <v>90.0</v>
      </c>
      <c r="J1020" s="3"/>
      <c r="K1020" s="5"/>
      <c r="L1020" s="6" t="str">
        <f>IF(D1020&lt;&gt;"",VLOOKUP(H1020,TABLEITEM,2,FALSE),"")</f>
        <v>PART</v>
      </c>
      <c r="M1020" s="6" t="str">
        <f>IF(D1020&lt;&gt;"",VLOOKUP(H1020,TABLEITEM,3,FALSE),"")</f>
        <v>เสาเสริม 40x50x1988</v>
      </c>
      <c r="N1020" s="7">
        <f>INSTOCK!$I1020*INSTOCK!$K1020</f>
        <v>0</v>
      </c>
      <c r="O1020" s="2"/>
      <c r="P1020" s="2"/>
    </row>
    <row r="1021" ht="18.0" hidden="1" customHeight="1">
      <c r="A1021" s="1"/>
      <c r="B1021" s="3"/>
      <c r="C1021" s="4">
        <v>43433.0</v>
      </c>
      <c r="D1021" s="2" t="s">
        <v>1224</v>
      </c>
      <c r="E1021" s="2"/>
      <c r="F1021" s="3" t="s">
        <v>161</v>
      </c>
      <c r="G1021" s="2" t="s">
        <v>456</v>
      </c>
      <c r="H1021" s="2" t="s">
        <v>495</v>
      </c>
      <c r="I1021" s="3">
        <v>216.0</v>
      </c>
      <c r="J1021" s="3"/>
      <c r="K1021" s="5"/>
      <c r="L1021" s="6" t="str">
        <f>IF(D1021&lt;&gt;"",VLOOKUP(H1021,TABLEITEM,2,FALSE),"")</f>
        <v>PART</v>
      </c>
      <c r="M1021" s="6" t="str">
        <f>IF(D1021&lt;&gt;"",VLOOKUP(H1021,TABLEITEM,3,FALSE),"")</f>
        <v>คานเชื่อม800</v>
      </c>
      <c r="N1021" s="7">
        <f>INSTOCK!$I1021*INSTOCK!$K1021</f>
        <v>0</v>
      </c>
      <c r="O1021" s="2"/>
      <c r="P1021" s="2"/>
    </row>
    <row r="1022" ht="18.0" hidden="1" customHeight="1">
      <c r="A1022" s="1"/>
      <c r="B1022" s="3"/>
      <c r="C1022" s="4">
        <v>43433.0</v>
      </c>
      <c r="D1022" s="2" t="s">
        <v>583</v>
      </c>
      <c r="E1022" s="2"/>
      <c r="F1022" s="3" t="s">
        <v>161</v>
      </c>
      <c r="G1022" s="2" t="s">
        <v>456</v>
      </c>
      <c r="H1022" s="2" t="s">
        <v>584</v>
      </c>
      <c r="I1022" s="3">
        <v>111.0</v>
      </c>
      <c r="J1022" s="3"/>
      <c r="K1022" s="5"/>
      <c r="L1022" s="6" t="str">
        <f>IF(D1022&lt;&gt;"",VLOOKUP(H1022,TABLEITEM,2,FALSE),"")</f>
        <v>PART</v>
      </c>
      <c r="M1022" s="6" t="str">
        <f>IF(D1022&lt;&gt;"",VLOOKUP(H1022,TABLEITEM,3,FALSE),"")</f>
        <v>ฉากรับเพลท 40x30x1988</v>
      </c>
      <c r="N1022" s="7">
        <f>INSTOCK!$I1022*INSTOCK!$K1022</f>
        <v>0</v>
      </c>
      <c r="O1022" s="2"/>
      <c r="P1022" s="2"/>
    </row>
    <row r="1023" ht="18.0" hidden="1" customHeight="1">
      <c r="A1023" s="1"/>
      <c r="B1023" s="3"/>
      <c r="C1023" s="4">
        <v>43434.0</v>
      </c>
      <c r="D1023" s="2" t="s">
        <v>1054</v>
      </c>
      <c r="E1023" s="2"/>
      <c r="F1023" s="3" t="s">
        <v>161</v>
      </c>
      <c r="G1023" s="2" t="s">
        <v>456</v>
      </c>
      <c r="H1023" s="2" t="s">
        <v>550</v>
      </c>
      <c r="I1023" s="3">
        <v>151.0</v>
      </c>
      <c r="J1023" s="3"/>
      <c r="K1023" s="5"/>
      <c r="L1023" s="6" t="str">
        <f>IF(D1023&lt;&gt;"",VLOOKUP(H1023,TABLEITEM,2,FALSE),"")</f>
        <v>PART</v>
      </c>
      <c r="M1023" s="6" t="str">
        <f>IF(D1023&lt;&gt;"",VLOOKUP(H1023,TABLEITEM,3,FALSE),"")</f>
        <v>ฉากตัวZ รับแผ่นกั้น50x34x29</v>
      </c>
      <c r="N1023" s="7">
        <f>INSTOCK!$I1023*INSTOCK!$K1023</f>
        <v>0</v>
      </c>
      <c r="O1023" s="2"/>
      <c r="P1023" s="2"/>
    </row>
    <row r="1024" ht="18.0" hidden="1" customHeight="1">
      <c r="A1024" s="1"/>
      <c r="B1024" s="3"/>
      <c r="C1024" s="4">
        <v>43434.0</v>
      </c>
      <c r="D1024" s="2" t="s">
        <v>633</v>
      </c>
      <c r="E1024" s="2"/>
      <c r="F1024" s="3" t="s">
        <v>161</v>
      </c>
      <c r="G1024" s="2" t="s">
        <v>456</v>
      </c>
      <c r="H1024" s="2" t="s">
        <v>699</v>
      </c>
      <c r="I1024" s="3">
        <v>28.0</v>
      </c>
      <c r="J1024" s="3"/>
      <c r="K1024" s="5"/>
      <c r="L1024" s="6" t="str">
        <f>IF(D1024&lt;&gt;"",VLOOKUP(H1024,TABLEITEM,2,FALSE),"")</f>
        <v>PART</v>
      </c>
      <c r="M1024" s="6" t="str">
        <f>IF(D1024&lt;&gt;"",VLOOKUP(H1024,TABLEITEM,3,FALSE),"")</f>
        <v>หมวกตู้ 60x475</v>
      </c>
      <c r="N1024" s="7">
        <f>INSTOCK!$I1024*INSTOCK!$K1024</f>
        <v>0</v>
      </c>
      <c r="O1024" s="2"/>
      <c r="P1024" s="2"/>
    </row>
    <row r="1025" ht="18.0" hidden="1" customHeight="1">
      <c r="A1025" s="1"/>
      <c r="B1025" s="3"/>
      <c r="C1025" s="4">
        <v>43434.0</v>
      </c>
      <c r="D1025" s="2" t="s">
        <v>633</v>
      </c>
      <c r="E1025" s="2"/>
      <c r="F1025" s="3" t="s">
        <v>161</v>
      </c>
      <c r="G1025" s="2" t="s">
        <v>456</v>
      </c>
      <c r="H1025" s="2" t="s">
        <v>537</v>
      </c>
      <c r="I1025" s="3">
        <v>11.0</v>
      </c>
      <c r="J1025" s="3"/>
      <c r="K1025" s="5"/>
      <c r="L1025" s="6" t="str">
        <f>IF(D1025&lt;&gt;"",VLOOKUP(H1025,TABLEITEM,2,FALSE),"")</f>
        <v>PART</v>
      </c>
      <c r="M1025" s="6" t="str">
        <f>IF(D1025&lt;&gt;"",VLOOKUP(H1025,TABLEITEM,3,FALSE),"")</f>
        <v>หมวกตู้ 60x975</v>
      </c>
      <c r="N1025" s="7">
        <f>INSTOCK!$I1025*INSTOCK!$K1025</f>
        <v>0</v>
      </c>
      <c r="O1025" s="2"/>
      <c r="P1025" s="2"/>
    </row>
    <row r="1026" ht="18.0" hidden="1" customHeight="1">
      <c r="A1026" s="1"/>
      <c r="B1026" s="3"/>
      <c r="C1026" s="4">
        <v>43434.0</v>
      </c>
      <c r="D1026" s="2" t="s">
        <v>1153</v>
      </c>
      <c r="E1026" s="2"/>
      <c r="F1026" s="3" t="s">
        <v>161</v>
      </c>
      <c r="G1026" s="2" t="s">
        <v>456</v>
      </c>
      <c r="H1026" s="2" t="s">
        <v>1225</v>
      </c>
      <c r="I1026" s="3">
        <v>32.0</v>
      </c>
      <c r="J1026" s="3"/>
      <c r="K1026" s="5"/>
      <c r="L1026" s="6" t="str">
        <f>IF(D1026&lt;&gt;"",VLOOKUP(H1026,TABLEITEM,2,FALSE),"")</f>
        <v>PART</v>
      </c>
      <c r="M1026" s="6" t="str">
        <f>IF(D1026&lt;&gt;"",VLOOKUP(H1026,TABLEITEM,3,FALSE),"")</f>
        <v>หมวกตู้ 60x375</v>
      </c>
      <c r="N1026" s="7">
        <f>INSTOCK!$I1026*INSTOCK!$K1026</f>
        <v>0</v>
      </c>
      <c r="O1026" s="2"/>
      <c r="P1026" s="2"/>
    </row>
    <row r="1027" ht="18.0" hidden="1" customHeight="1">
      <c r="A1027" s="1"/>
      <c r="B1027" s="3"/>
      <c r="C1027" s="4">
        <v>43434.0</v>
      </c>
      <c r="D1027" s="2" t="s">
        <v>1153</v>
      </c>
      <c r="E1027" s="2"/>
      <c r="F1027" s="3" t="s">
        <v>161</v>
      </c>
      <c r="G1027" s="2" t="s">
        <v>456</v>
      </c>
      <c r="H1027" s="2" t="s">
        <v>497</v>
      </c>
      <c r="I1027" s="3">
        <v>50.0</v>
      </c>
      <c r="J1027" s="3"/>
      <c r="K1027" s="5"/>
      <c r="L1027" s="6" t="str">
        <f>IF(D1027&lt;&gt;"",VLOOKUP(H1027,TABLEITEM,2,FALSE),"")</f>
        <v>PART</v>
      </c>
      <c r="M1027" s="6" t="str">
        <f>IF(D1027&lt;&gt;"",VLOOKUP(H1027,TABLEITEM,3,FALSE),"")</f>
        <v>หมวกตู้ 60x775</v>
      </c>
      <c r="N1027" s="7">
        <f>INSTOCK!$I1027*INSTOCK!$K1027</f>
        <v>0</v>
      </c>
      <c r="O1027" s="2"/>
      <c r="P1027" s="2"/>
    </row>
    <row r="1028" ht="18.0" hidden="1" customHeight="1">
      <c r="A1028" s="1"/>
      <c r="B1028" s="3"/>
      <c r="C1028" s="4">
        <v>43434.0</v>
      </c>
      <c r="D1028" s="2" t="s">
        <v>1153</v>
      </c>
      <c r="E1028" s="2"/>
      <c r="F1028" s="3" t="s">
        <v>161</v>
      </c>
      <c r="G1028" s="2" t="s">
        <v>456</v>
      </c>
      <c r="H1028" s="2" t="s">
        <v>589</v>
      </c>
      <c r="I1028" s="3">
        <v>26.0</v>
      </c>
      <c r="J1028" s="3"/>
      <c r="K1028" s="5"/>
      <c r="L1028" s="6" t="str">
        <f>IF(D1028&lt;&gt;"",VLOOKUP(H1028,TABLEITEM,2,FALSE),"")</f>
        <v>PART</v>
      </c>
      <c r="M1028" s="6" t="str">
        <f>IF(D1028&lt;&gt;"",VLOOKUP(H1028,TABLEITEM,3,FALSE),"")</f>
        <v>หมวกตู้ 60x875</v>
      </c>
      <c r="N1028" s="7">
        <f>INSTOCK!$I1028*INSTOCK!$K1028</f>
        <v>0</v>
      </c>
      <c r="O1028" s="2"/>
      <c r="P1028" s="2"/>
    </row>
    <row r="1029" ht="18.0" hidden="1" customHeight="1">
      <c r="A1029" s="1"/>
      <c r="B1029" s="3"/>
      <c r="C1029" s="4">
        <v>43434.0</v>
      </c>
      <c r="D1029" s="2" t="s">
        <v>711</v>
      </c>
      <c r="E1029" s="2"/>
      <c r="F1029" s="3" t="s">
        <v>161</v>
      </c>
      <c r="G1029" s="2" t="s">
        <v>456</v>
      </c>
      <c r="H1029" s="2" t="s">
        <v>1226</v>
      </c>
      <c r="I1029" s="3">
        <v>113.0</v>
      </c>
      <c r="J1029" s="3"/>
      <c r="K1029" s="5"/>
      <c r="L1029" s="6" t="str">
        <f>IF(D1029&lt;&gt;"",VLOOKUP(H1029,TABLEITEM,2,FALSE),"")</f>
        <v>PART</v>
      </c>
      <c r="M1029" s="6" t="str">
        <f>IF(D1029&lt;&gt;"",VLOOKUP(H1029,TABLEITEM,3,FALSE),"")</f>
        <v>คานฝาหน้า 50x22x520</v>
      </c>
      <c r="N1029" s="7">
        <f>INSTOCK!$I1029*INSTOCK!$K1029</f>
        <v>0</v>
      </c>
      <c r="O1029" s="2"/>
      <c r="P1029" s="2"/>
    </row>
    <row r="1030" ht="18.0" hidden="1" customHeight="1">
      <c r="A1030" s="1"/>
      <c r="B1030" s="3"/>
      <c r="C1030" s="4">
        <v>43434.0</v>
      </c>
      <c r="D1030" s="2" t="s">
        <v>1088</v>
      </c>
      <c r="E1030" s="2"/>
      <c r="F1030" s="3" t="s">
        <v>161</v>
      </c>
      <c r="G1030" s="2" t="s">
        <v>456</v>
      </c>
      <c r="H1030" s="2" t="s">
        <v>620</v>
      </c>
      <c r="I1030" s="3">
        <v>135.0</v>
      </c>
      <c r="J1030" s="3"/>
      <c r="K1030" s="5"/>
      <c r="L1030" s="6" t="str">
        <f>IF(D1030&lt;&gt;"",VLOOKUP(H1030,TABLEITEM,2,FALSE),"")</f>
        <v>PART</v>
      </c>
      <c r="M1030" s="6" t="str">
        <f>IF(D1030&lt;&gt;"",VLOOKUP(H1030,TABLEITEM,3,FALSE),"")</f>
        <v>คานต่อโครง3mm 68x45x620</v>
      </c>
      <c r="N1030" s="7">
        <f>INSTOCK!$I1030*INSTOCK!$K1030</f>
        <v>0</v>
      </c>
      <c r="O1030" s="2"/>
      <c r="P1030" s="2"/>
    </row>
    <row r="1031" ht="18.0" hidden="1" customHeight="1">
      <c r="A1031" s="1"/>
      <c r="B1031" s="3"/>
      <c r="C1031" s="4">
        <v>43435.0</v>
      </c>
      <c r="D1031" s="2" t="s">
        <v>625</v>
      </c>
      <c r="E1031" s="2"/>
      <c r="F1031" s="3" t="s">
        <v>161</v>
      </c>
      <c r="G1031" s="2" t="s">
        <v>456</v>
      </c>
      <c r="H1031" s="2" t="s">
        <v>477</v>
      </c>
      <c r="I1031" s="3">
        <v>132.0</v>
      </c>
      <c r="J1031" s="3"/>
      <c r="K1031" s="5"/>
      <c r="L1031" s="6" t="str">
        <f>IF(D1031&lt;&gt;"",VLOOKUP(H1031,TABLEITEM,2,FALSE),"")</f>
        <v>PART</v>
      </c>
      <c r="M1031" s="6" t="str">
        <f>IF(D1031&lt;&gt;"",VLOOKUP(H1031,TABLEITEM,3,FALSE),"")</f>
        <v>คานเจ 2รู 65x32x654</v>
      </c>
      <c r="N1031" s="7">
        <f>INSTOCK!$I1031*INSTOCK!$K1031</f>
        <v>0</v>
      </c>
      <c r="O1031" s="2"/>
      <c r="P1031" s="2"/>
    </row>
    <row r="1032" ht="18.0" hidden="1" customHeight="1">
      <c r="A1032" s="1"/>
      <c r="B1032" s="3"/>
      <c r="C1032" s="4">
        <v>43435.0</v>
      </c>
      <c r="D1032" s="2" t="s">
        <v>1088</v>
      </c>
      <c r="E1032" s="2"/>
      <c r="F1032" s="3" t="s">
        <v>161</v>
      </c>
      <c r="G1032" s="2" t="s">
        <v>456</v>
      </c>
      <c r="H1032" s="2" t="s">
        <v>459</v>
      </c>
      <c r="I1032" s="3">
        <v>200.0</v>
      </c>
      <c r="J1032" s="3"/>
      <c r="K1032" s="5"/>
      <c r="L1032" s="6" t="str">
        <f>IF(D1032&lt;&gt;"",VLOOKUP(H1032,TABLEITEM,2,FALSE),"")</f>
        <v>PART</v>
      </c>
      <c r="M1032" s="6" t="str">
        <f>IF(D1032&lt;&gt;"",VLOOKUP(H1032,TABLEITEM,3,FALSE),"")</f>
        <v>คานต่อโครง3mm 68x45x520</v>
      </c>
      <c r="N1032" s="7">
        <f>INSTOCK!$I1032*INSTOCK!$K1032</f>
        <v>0</v>
      </c>
      <c r="O1032" s="2"/>
      <c r="P1032" s="2"/>
    </row>
    <row r="1033" ht="18.0" hidden="1" customHeight="1">
      <c r="A1033" s="1"/>
      <c r="B1033" s="3"/>
      <c r="C1033" s="4">
        <v>43435.0</v>
      </c>
      <c r="D1033" s="2" t="s">
        <v>1088</v>
      </c>
      <c r="E1033" s="2"/>
      <c r="F1033" s="3" t="s">
        <v>161</v>
      </c>
      <c r="G1033" s="2" t="s">
        <v>456</v>
      </c>
      <c r="H1033" s="2" t="s">
        <v>620</v>
      </c>
      <c r="I1033" s="3">
        <v>66.0</v>
      </c>
      <c r="J1033" s="3"/>
      <c r="K1033" s="5"/>
      <c r="L1033" s="6" t="str">
        <f>IF(D1033&lt;&gt;"",VLOOKUP(H1033,TABLEITEM,2,FALSE),"")</f>
        <v>PART</v>
      </c>
      <c r="M1033" s="6" t="str">
        <f>IF(D1033&lt;&gt;"",VLOOKUP(H1033,TABLEITEM,3,FALSE),"")</f>
        <v>คานต่อโครง3mm 68x45x620</v>
      </c>
      <c r="N1033" s="7">
        <f>INSTOCK!$I1033*INSTOCK!$K1033</f>
        <v>0</v>
      </c>
      <c r="O1033" s="2"/>
      <c r="P1033" s="2"/>
    </row>
    <row r="1034" ht="18.0" hidden="1" customHeight="1">
      <c r="A1034" s="1"/>
      <c r="B1034" s="3"/>
      <c r="C1034" s="4">
        <v>43435.0</v>
      </c>
      <c r="D1034" s="2" t="s">
        <v>1053</v>
      </c>
      <c r="E1034" s="2"/>
      <c r="F1034" s="3" t="s">
        <v>161</v>
      </c>
      <c r="G1034" s="2" t="s">
        <v>456</v>
      </c>
      <c r="H1034" s="2" t="s">
        <v>483</v>
      </c>
      <c r="I1034" s="3">
        <v>95.0</v>
      </c>
      <c r="J1034" s="3"/>
      <c r="K1034" s="5"/>
      <c r="L1034" s="6" t="str">
        <f>IF(D1034&lt;&gt;"",VLOOKUP(H1034,TABLEITEM,2,FALSE),"")</f>
        <v>PART</v>
      </c>
      <c r="M1034" s="6" t="str">
        <f>IF(D1034&lt;&gt;"",VLOOKUP(H1034,TABLEITEM,3,FALSE),"")</f>
        <v>คานต่อโครง4รู 68x45x3mmx720</v>
      </c>
      <c r="N1034" s="7">
        <f>INSTOCK!$I1034*INSTOCK!$K1034</f>
        <v>0</v>
      </c>
      <c r="O1034" s="2"/>
      <c r="P1034" s="2"/>
    </row>
    <row r="1035" ht="18.0" hidden="1" customHeight="1">
      <c r="A1035" s="1"/>
      <c r="B1035" s="3"/>
      <c r="C1035" s="4">
        <v>43435.0</v>
      </c>
      <c r="D1035" s="2" t="s">
        <v>1227</v>
      </c>
      <c r="E1035" s="2"/>
      <c r="F1035" s="3" t="s">
        <v>161</v>
      </c>
      <c r="G1035" s="2" t="s">
        <v>456</v>
      </c>
      <c r="H1035" s="2" t="s">
        <v>547</v>
      </c>
      <c r="I1035" s="3">
        <v>272.0</v>
      </c>
      <c r="J1035" s="3"/>
      <c r="K1035" s="5"/>
      <c r="L1035" s="6" t="str">
        <f>IF(D1035&lt;&gt;"",VLOOKUP(H1035,TABLEITEM,2,FALSE),"")</f>
        <v>PART</v>
      </c>
      <c r="M1035" s="6" t="str">
        <f>IF(D1035&lt;&gt;"",VLOOKUP(H1035,TABLEITEM,3,FALSE),"")</f>
        <v>คานต่อโครง3mm 68x45x270</v>
      </c>
      <c r="N1035" s="7">
        <f>INSTOCK!$I1035*INSTOCK!$K1035</f>
        <v>0</v>
      </c>
      <c r="O1035" s="2"/>
      <c r="P1035" s="2"/>
    </row>
    <row r="1036" ht="18.0" hidden="1" customHeight="1">
      <c r="A1036" s="1"/>
      <c r="B1036" s="3"/>
      <c r="C1036" s="4">
        <v>43437.0</v>
      </c>
      <c r="D1036" s="2" t="s">
        <v>1228</v>
      </c>
      <c r="E1036" s="2"/>
      <c r="F1036" s="3" t="s">
        <v>161</v>
      </c>
      <c r="G1036" s="2" t="s">
        <v>456</v>
      </c>
      <c r="H1036" s="2" t="s">
        <v>1229</v>
      </c>
      <c r="I1036" s="3">
        <v>21.0</v>
      </c>
      <c r="J1036" s="3"/>
      <c r="K1036" s="5"/>
      <c r="L1036" s="6" t="str">
        <f>IF(D1036&lt;&gt;"",VLOOKUP(H1036,TABLEITEM,2,FALSE),"")</f>
        <v>PART</v>
      </c>
      <c r="M1036" s="6" t="str">
        <f>IF(D1036&lt;&gt;"",VLOOKUP(H1036,TABLEITEM,3,FALSE),"")</f>
        <v>คานยึดหลอดไฟ40X320</v>
      </c>
      <c r="N1036" s="7">
        <f>INSTOCK!$I1036*INSTOCK!$K1036</f>
        <v>0</v>
      </c>
      <c r="O1036" s="2"/>
      <c r="P1036" s="2"/>
    </row>
    <row r="1037" ht="18.0" hidden="1" customHeight="1">
      <c r="A1037" s="1"/>
      <c r="B1037" s="3"/>
      <c r="C1037" s="4">
        <v>43437.0</v>
      </c>
      <c r="D1037" s="2" t="s">
        <v>1228</v>
      </c>
      <c r="E1037" s="2"/>
      <c r="F1037" s="3" t="s">
        <v>161</v>
      </c>
      <c r="G1037" s="2" t="s">
        <v>456</v>
      </c>
      <c r="H1037" s="2" t="s">
        <v>1230</v>
      </c>
      <c r="I1037" s="3">
        <v>15.0</v>
      </c>
      <c r="J1037" s="3"/>
      <c r="K1037" s="5"/>
      <c r="L1037" s="6" t="str">
        <f>IF(D1037&lt;&gt;"",VLOOKUP(H1037,TABLEITEM,2,FALSE),"")</f>
        <v>PART</v>
      </c>
      <c r="M1037" s="6" t="str">
        <f>IF(D1037&lt;&gt;"",VLOOKUP(H1037,TABLEITEM,3,FALSE),"")</f>
        <v>คานยืดหลอดไฟ 40x420</v>
      </c>
      <c r="N1037" s="7">
        <f>INSTOCK!$I1037*INSTOCK!$K1037</f>
        <v>0</v>
      </c>
      <c r="O1037" s="2"/>
      <c r="P1037" s="2"/>
    </row>
    <row r="1038" ht="18.0" hidden="1" customHeight="1">
      <c r="A1038" s="1"/>
      <c r="B1038" s="3"/>
      <c r="C1038" s="4">
        <v>43437.0</v>
      </c>
      <c r="D1038" s="2" t="s">
        <v>730</v>
      </c>
      <c r="E1038" s="2"/>
      <c r="F1038" s="3" t="s">
        <v>161</v>
      </c>
      <c r="G1038" s="2" t="s">
        <v>456</v>
      </c>
      <c r="H1038" s="2" t="s">
        <v>561</v>
      </c>
      <c r="I1038" s="3">
        <v>41.0</v>
      </c>
      <c r="J1038" s="3"/>
      <c r="K1038" s="5"/>
      <c r="L1038" s="6" t="str">
        <f>IF(D1038&lt;&gt;"",VLOOKUP(H1038,TABLEITEM,2,FALSE),"")</f>
        <v>PART</v>
      </c>
      <c r="M1038" s="6" t="str">
        <f>IF(D1038&lt;&gt;"",VLOOKUP(H1038,TABLEITEM,3,FALSE),"")</f>
        <v>คานยืดหลอดไฟ 40x520</v>
      </c>
      <c r="N1038" s="7">
        <f>INSTOCK!$I1038*INSTOCK!$K1038</f>
        <v>0</v>
      </c>
      <c r="O1038" s="2"/>
      <c r="P1038" s="2"/>
    </row>
    <row r="1039" ht="18.0" hidden="1" customHeight="1">
      <c r="A1039" s="1"/>
      <c r="B1039" s="3"/>
      <c r="C1039" s="4">
        <v>43440.0</v>
      </c>
      <c r="D1039" s="2" t="s">
        <v>697</v>
      </c>
      <c r="E1039" s="2"/>
      <c r="F1039" s="3" t="s">
        <v>161</v>
      </c>
      <c r="G1039" s="2" t="s">
        <v>456</v>
      </c>
      <c r="H1039" s="2" t="s">
        <v>698</v>
      </c>
      <c r="I1039" s="3">
        <v>40.0</v>
      </c>
      <c r="J1039" s="3"/>
      <c r="K1039" s="5"/>
      <c r="L1039" s="6" t="str">
        <f>IF(D1039&lt;&gt;"",VLOOKUP(H1039,TABLEITEM,2,FALSE),"")</f>
        <v>PART</v>
      </c>
      <c r="M1039" s="6" t="str">
        <f>IF(D1039&lt;&gt;"",VLOOKUP(H1039,TABLEITEM,3,FALSE),"")</f>
        <v>หมวกตู้ 40x975</v>
      </c>
      <c r="N1039" s="7">
        <f>INSTOCK!$I1039*INSTOCK!$K1039</f>
        <v>0</v>
      </c>
      <c r="O1039" s="2"/>
      <c r="P1039" s="2"/>
    </row>
    <row r="1040" ht="18.0" hidden="1" customHeight="1">
      <c r="A1040" s="1"/>
      <c r="B1040" s="3"/>
      <c r="C1040" s="4">
        <v>43440.0</v>
      </c>
      <c r="D1040" s="2" t="s">
        <v>585</v>
      </c>
      <c r="E1040" s="2"/>
      <c r="F1040" s="3" t="s">
        <v>161</v>
      </c>
      <c r="G1040" s="2" t="s">
        <v>456</v>
      </c>
      <c r="H1040" s="2" t="s">
        <v>586</v>
      </c>
      <c r="I1040" s="3">
        <v>38.0</v>
      </c>
      <c r="J1040" s="3"/>
      <c r="K1040" s="5"/>
      <c r="L1040" s="6" t="str">
        <f>IF(D1040&lt;&gt;"",VLOOKUP(H1040,TABLEITEM,2,FALSE),"")</f>
        <v>PART</v>
      </c>
      <c r="M1040" s="6" t="str">
        <f>IF(D1040&lt;&gt;"",VLOOKUP(H1040,TABLEITEM,3,FALSE),"")</f>
        <v>หมวกตู้ 40x775</v>
      </c>
      <c r="N1040" s="7">
        <f>INSTOCK!$I1040*INSTOCK!$K1040</f>
        <v>0</v>
      </c>
      <c r="O1040" s="2"/>
      <c r="P1040" s="2"/>
    </row>
    <row r="1041" ht="18.0" hidden="1" customHeight="1">
      <c r="A1041" s="1"/>
      <c r="B1041" s="3"/>
      <c r="C1041" s="4">
        <v>43440.0</v>
      </c>
      <c r="D1041" s="2" t="s">
        <v>642</v>
      </c>
      <c r="E1041" s="2"/>
      <c r="F1041" s="3" t="s">
        <v>161</v>
      </c>
      <c r="G1041" s="2" t="s">
        <v>456</v>
      </c>
      <c r="H1041" s="2" t="s">
        <v>652</v>
      </c>
      <c r="I1041" s="3">
        <v>362.0</v>
      </c>
      <c r="J1041" s="3"/>
      <c r="K1041" s="5"/>
      <c r="L1041" s="6" t="str">
        <f>IF(D1041&lt;&gt;"",VLOOKUP(H1041,TABLEITEM,2,FALSE),"")</f>
        <v>PART</v>
      </c>
      <c r="M1041" s="6" t="str">
        <f>IF(D1041&lt;&gt;"",VLOOKUP(H1041,TABLEITEM,3,FALSE),"")</f>
        <v>ขายึดเทอมีนอล146x136</v>
      </c>
      <c r="N1041" s="7">
        <f>INSTOCK!$I1041*INSTOCK!$K1041</f>
        <v>0</v>
      </c>
      <c r="O1041" s="2"/>
      <c r="P1041" s="2"/>
    </row>
    <row r="1042" ht="18.0" hidden="1" customHeight="1">
      <c r="A1042" s="1"/>
      <c r="B1042" s="3"/>
      <c r="C1042" s="4">
        <v>43441.0</v>
      </c>
      <c r="D1042" s="2" t="s">
        <v>636</v>
      </c>
      <c r="E1042" s="2"/>
      <c r="F1042" s="3" t="s">
        <v>161</v>
      </c>
      <c r="G1042" s="2" t="s">
        <v>456</v>
      </c>
      <c r="H1042" s="2" t="s">
        <v>637</v>
      </c>
      <c r="I1042" s="3">
        <v>36.0</v>
      </c>
      <c r="J1042" s="3"/>
      <c r="K1042" s="5"/>
      <c r="L1042" s="6" t="str">
        <f>IF(D1042&lt;&gt;"",VLOOKUP(H1042,TABLEITEM,2,FALSE),"")</f>
        <v>PART</v>
      </c>
      <c r="M1042" s="6" t="str">
        <f>IF(D1042&lt;&gt;"",VLOOKUP(H1042,TABLEITEM,3,FALSE),"")</f>
        <v>ฉากรับกุญแจ 40x30x1963</v>
      </c>
      <c r="N1042" s="7">
        <f>INSTOCK!$I1042*INSTOCK!$K1042</f>
        <v>0</v>
      </c>
      <c r="O1042" s="2"/>
      <c r="P1042" s="2"/>
    </row>
    <row r="1043" ht="18.0" hidden="1" customHeight="1">
      <c r="A1043" s="1"/>
      <c r="B1043" s="3"/>
      <c r="C1043" s="4">
        <v>43441.0</v>
      </c>
      <c r="D1043" s="2" t="s">
        <v>1231</v>
      </c>
      <c r="E1043" s="2"/>
      <c r="F1043" s="3" t="s">
        <v>161</v>
      </c>
      <c r="G1043" s="2" t="s">
        <v>456</v>
      </c>
      <c r="H1043" s="2" t="s">
        <v>1232</v>
      </c>
      <c r="I1043" s="3">
        <v>21.0</v>
      </c>
      <c r="J1043" s="3"/>
      <c r="K1043" s="5"/>
      <c r="L1043" s="6" t="str">
        <f>IF(D1043&lt;&gt;"",VLOOKUP(H1043,TABLEITEM,2,FALSE),"")</f>
        <v>PART</v>
      </c>
      <c r="M1043" s="6" t="str">
        <f>IF(D1043&lt;&gt;"",VLOOKUP(H1043,TABLEITEM,3,FALSE),"")</f>
        <v>ขายึดเทอโมสตัดT1.6</v>
      </c>
      <c r="N1043" s="7">
        <f>INSTOCK!$I1043*INSTOCK!$K1043</f>
        <v>0</v>
      </c>
      <c r="O1043" s="2"/>
      <c r="P1043" s="2"/>
    </row>
    <row r="1044" ht="18.0" hidden="1" customHeight="1">
      <c r="A1044" s="1"/>
      <c r="B1044" s="3"/>
      <c r="C1044" s="4">
        <v>43441.0</v>
      </c>
      <c r="D1044" s="2" t="s">
        <v>1233</v>
      </c>
      <c r="E1044" s="2"/>
      <c r="F1044" s="3" t="s">
        <v>161</v>
      </c>
      <c r="G1044" s="2" t="s">
        <v>456</v>
      </c>
      <c r="H1044" s="2" t="s">
        <v>539</v>
      </c>
      <c r="I1044" s="3">
        <v>39.0</v>
      </c>
      <c r="J1044" s="3"/>
      <c r="K1044" s="5"/>
      <c r="L1044" s="6" t="str">
        <f>IF(D1044&lt;&gt;"",VLOOKUP(H1044,TABLEITEM,2,FALSE),"")</f>
        <v>PART</v>
      </c>
      <c r="M1044" s="6" t="str">
        <f>IF(D1044&lt;&gt;"",VLOOKUP(H1044,TABLEITEM,3,FALSE),"")</f>
        <v>แพลทยึดอุปกรณ์595x250</v>
      </c>
      <c r="N1044" s="7">
        <f>INSTOCK!$I1044*INSTOCK!$K1044</f>
        <v>0</v>
      </c>
      <c r="O1044" s="2"/>
      <c r="P1044" s="2"/>
    </row>
    <row r="1045" ht="18.0" hidden="1" customHeight="1">
      <c r="A1045" s="1"/>
      <c r="B1045" s="3"/>
      <c r="C1045" s="4">
        <v>43441.0</v>
      </c>
      <c r="D1045" s="2" t="s">
        <v>1233</v>
      </c>
      <c r="E1045" s="2"/>
      <c r="F1045" s="3" t="s">
        <v>161</v>
      </c>
      <c r="G1045" s="2" t="s">
        <v>456</v>
      </c>
      <c r="H1045" s="2" t="s">
        <v>504</v>
      </c>
      <c r="I1045" s="3">
        <v>40.0</v>
      </c>
      <c r="J1045" s="3"/>
      <c r="K1045" s="5"/>
      <c r="L1045" s="6" t="str">
        <f>IF(D1045&lt;&gt;"",VLOOKUP(H1045,TABLEITEM,2,FALSE),"")</f>
        <v>PART</v>
      </c>
      <c r="M1045" s="6" t="str">
        <f>IF(D1045&lt;&gt;"",VLOOKUP(H1045,TABLEITEM,3,FALSE),"")</f>
        <v>แพลทยึดอุปกรณ์595x300</v>
      </c>
      <c r="N1045" s="7">
        <f>INSTOCK!$I1045*INSTOCK!$K1045</f>
        <v>0</v>
      </c>
      <c r="O1045" s="2"/>
      <c r="P1045" s="2"/>
    </row>
    <row r="1046" ht="18.0" hidden="1" customHeight="1">
      <c r="A1046" s="1"/>
      <c r="B1046" s="3"/>
      <c r="C1046" s="4">
        <v>43441.0</v>
      </c>
      <c r="D1046" s="2" t="s">
        <v>1233</v>
      </c>
      <c r="E1046" s="2"/>
      <c r="F1046" s="3" t="s">
        <v>161</v>
      </c>
      <c r="G1046" s="2" t="s">
        <v>456</v>
      </c>
      <c r="H1046" s="2" t="s">
        <v>540</v>
      </c>
      <c r="I1046" s="3">
        <v>16.0</v>
      </c>
      <c r="J1046" s="3"/>
      <c r="K1046" s="5"/>
      <c r="L1046" s="6" t="str">
        <f>IF(D1046&lt;&gt;"",VLOOKUP(H1046,TABLEITEM,2,FALSE),"")</f>
        <v>PART</v>
      </c>
      <c r="M1046" s="6" t="str">
        <f>IF(D1046&lt;&gt;"",VLOOKUP(H1046,TABLEITEM,3,FALSE),"")</f>
        <v>แพลทยึดอุปกรณ์595x690</v>
      </c>
      <c r="N1046" s="7">
        <f>INSTOCK!$I1046*INSTOCK!$K1046</f>
        <v>0</v>
      </c>
      <c r="O1046" s="2"/>
      <c r="P1046" s="2"/>
    </row>
    <row r="1047" ht="18.0" hidden="1" customHeight="1">
      <c r="A1047" s="1"/>
      <c r="B1047" s="3"/>
      <c r="C1047" s="4">
        <v>43441.0</v>
      </c>
      <c r="D1047" s="2" t="s">
        <v>1233</v>
      </c>
      <c r="E1047" s="2"/>
      <c r="F1047" s="3" t="s">
        <v>161</v>
      </c>
      <c r="G1047" s="2" t="s">
        <v>456</v>
      </c>
      <c r="H1047" s="2" t="s">
        <v>592</v>
      </c>
      <c r="I1047" s="3">
        <v>30.0</v>
      </c>
      <c r="J1047" s="3"/>
      <c r="K1047" s="5"/>
      <c r="L1047" s="6" t="str">
        <f>IF(D1047&lt;&gt;"",VLOOKUP(H1047,TABLEITEM,2,FALSE),"")</f>
        <v>PART</v>
      </c>
      <c r="M1047" s="6" t="str">
        <f>IF(D1047&lt;&gt;"",VLOOKUP(H1047,TABLEITEM,3,FALSE),"")</f>
        <v>แพลทยึดอุปกรณ์695x250</v>
      </c>
      <c r="N1047" s="7">
        <f>INSTOCK!$I1047*INSTOCK!$K1047</f>
        <v>0</v>
      </c>
      <c r="O1047" s="2"/>
      <c r="P1047" s="2"/>
    </row>
    <row r="1048" ht="18.0" hidden="1" customHeight="1">
      <c r="A1048" s="1"/>
      <c r="B1048" s="3"/>
      <c r="C1048" s="4">
        <v>43441.0</v>
      </c>
      <c r="D1048" s="2" t="s">
        <v>1233</v>
      </c>
      <c r="E1048" s="2"/>
      <c r="F1048" s="3" t="s">
        <v>161</v>
      </c>
      <c r="G1048" s="2" t="s">
        <v>456</v>
      </c>
      <c r="H1048" s="2" t="s">
        <v>593</v>
      </c>
      <c r="I1048" s="3">
        <v>30.0</v>
      </c>
      <c r="J1048" s="3"/>
      <c r="K1048" s="5"/>
      <c r="L1048" s="6" t="str">
        <f>IF(D1048&lt;&gt;"",VLOOKUP(H1048,TABLEITEM,2,FALSE),"")</f>
        <v>PART</v>
      </c>
      <c r="M1048" s="6" t="str">
        <f>IF(D1048&lt;&gt;"",VLOOKUP(H1048,TABLEITEM,3,FALSE),"")</f>
        <v>แพลทยึดอุปกรณ์695x300</v>
      </c>
      <c r="N1048" s="7">
        <f>INSTOCK!$I1048*INSTOCK!$K1048</f>
        <v>0</v>
      </c>
      <c r="O1048" s="2"/>
      <c r="P1048" s="2"/>
    </row>
    <row r="1049" ht="18.0" hidden="1" customHeight="1">
      <c r="A1049" s="1"/>
      <c r="B1049" s="3"/>
      <c r="C1049" s="4">
        <v>43441.0</v>
      </c>
      <c r="D1049" s="2" t="s">
        <v>1234</v>
      </c>
      <c r="E1049" s="2">
        <v>6.112001587E9</v>
      </c>
      <c r="F1049" s="3" t="s">
        <v>1022</v>
      </c>
      <c r="G1049" s="2" t="s">
        <v>240</v>
      </c>
      <c r="H1049" s="2" t="s">
        <v>1235</v>
      </c>
      <c r="I1049" s="3">
        <v>600.0</v>
      </c>
      <c r="J1049" s="3" t="s">
        <v>78</v>
      </c>
      <c r="K1049" s="5">
        <v>61.6</v>
      </c>
      <c r="L1049" s="6" t="str">
        <f>IF(D1049&lt;&gt;"",VLOOKUP(H1049,TABLEITEM,2,FALSE),"")</f>
        <v>MAT ST</v>
      </c>
      <c r="M1049" s="6" t="str">
        <f>IF(D1049&lt;&gt;"",VLOOKUP(H1049,TABLEITEM,3,FALSE),"")</f>
        <v>เหล็กแบน 1"1/2 หนา 9.0 มิล</v>
      </c>
      <c r="N1049" s="7">
        <f>INSTOCK!$I1049*INSTOCK!$K1049</f>
        <v>36960</v>
      </c>
      <c r="O1049" s="2" t="s">
        <v>1236</v>
      </c>
      <c r="P1049" s="2"/>
    </row>
    <row r="1050" ht="18.0" hidden="1" customHeight="1">
      <c r="A1050" s="1"/>
      <c r="B1050" s="3"/>
      <c r="C1050" s="4">
        <v>43441.0</v>
      </c>
      <c r="D1050" s="2" t="s">
        <v>1234</v>
      </c>
      <c r="E1050" s="2">
        <v>6.112001587E9</v>
      </c>
      <c r="F1050" s="3" t="s">
        <v>1022</v>
      </c>
      <c r="G1050" s="2" t="s">
        <v>240</v>
      </c>
      <c r="H1050" s="2" t="s">
        <v>1237</v>
      </c>
      <c r="I1050" s="3">
        <v>84.0</v>
      </c>
      <c r="J1050" s="3" t="s">
        <v>78</v>
      </c>
      <c r="K1050" s="5">
        <v>17.8</v>
      </c>
      <c r="L1050" s="6" t="str">
        <f>IF(D1050&lt;&gt;"",VLOOKUP(H1050,TABLEITEM,2,FALSE),"")</f>
        <v>MAT ST</v>
      </c>
      <c r="M1050" s="6" t="str">
        <f>IF(D1050&lt;&gt;"",VLOOKUP(H1050,TABLEITEM,3,FALSE),"")</f>
        <v>เหล็กเพลากลม 15 มิล</v>
      </c>
      <c r="N1050" s="7">
        <f>INSTOCK!$I1050*INSTOCK!$K1050</f>
        <v>1495.2</v>
      </c>
      <c r="O1050" s="2" t="s">
        <v>1238</v>
      </c>
      <c r="P1050" s="2"/>
    </row>
    <row r="1051" ht="18.0" hidden="1" customHeight="1">
      <c r="A1051" s="1"/>
      <c r="B1051" s="3"/>
      <c r="C1051" s="4">
        <v>43440.0</v>
      </c>
      <c r="D1051" s="2" t="s">
        <v>1239</v>
      </c>
      <c r="E1051" s="2">
        <v>6.111001546E9</v>
      </c>
      <c r="F1051" s="3" t="s">
        <v>161</v>
      </c>
      <c r="G1051" s="2" t="s">
        <v>202</v>
      </c>
      <c r="H1051" s="2" t="s">
        <v>79</v>
      </c>
      <c r="I1051" s="3">
        <v>300.0</v>
      </c>
      <c r="J1051" s="3" t="s">
        <v>78</v>
      </c>
      <c r="K1051" s="5">
        <v>153.3</v>
      </c>
      <c r="L1051" s="6" t="str">
        <f>IF(D1051&lt;&gt;"",VLOOKUP(H1051,TABLEITEM,2,FALSE),"")</f>
        <v>MAT ST</v>
      </c>
      <c r="M1051" s="6" t="str">
        <f>IF(D1051&lt;&gt;"",VLOOKUP(H1051,TABLEITEM,3,FALSE),"")</f>
        <v>เหล็กรางน้ำ U' 3</v>
      </c>
      <c r="N1051" s="7">
        <f>INSTOCK!$I1051*INSTOCK!$K1051</f>
        <v>45990</v>
      </c>
      <c r="O1051" s="2" t="s">
        <v>1240</v>
      </c>
      <c r="P1051" s="2"/>
    </row>
    <row r="1052" ht="18.0" hidden="1" customHeight="1">
      <c r="A1052" s="1"/>
      <c r="B1052" s="3"/>
      <c r="C1052" s="4">
        <v>43440.0</v>
      </c>
      <c r="D1052" s="2" t="s">
        <v>1239</v>
      </c>
      <c r="E1052" s="2">
        <v>6.111001546E9</v>
      </c>
      <c r="F1052" s="3" t="s">
        <v>161</v>
      </c>
      <c r="G1052" s="2" t="s">
        <v>202</v>
      </c>
      <c r="H1052" s="2" t="s">
        <v>85</v>
      </c>
      <c r="I1052" s="3">
        <v>300.0</v>
      </c>
      <c r="J1052" s="3" t="s">
        <v>78</v>
      </c>
      <c r="K1052" s="5">
        <v>45.0</v>
      </c>
      <c r="L1052" s="6" t="str">
        <f>IF(D1052&lt;&gt;"",VLOOKUP(H1052,TABLEITEM,2,FALSE),"")</f>
        <v>MAT ST</v>
      </c>
      <c r="M1052" s="6" t="str">
        <f>IF(D1052&lt;&gt;"",VLOOKUP(H1052,TABLEITEM,3,FALSE),"")</f>
        <v>เหล็กฉาก 1''1/2'หนา3 มิล</v>
      </c>
      <c r="N1052" s="7">
        <f>INSTOCK!$I1052*INSTOCK!$K1052</f>
        <v>13500</v>
      </c>
      <c r="O1052" s="2" t="s">
        <v>1241</v>
      </c>
      <c r="P1052" s="2"/>
    </row>
    <row r="1053" ht="18.0" hidden="1" customHeight="1">
      <c r="A1053" s="1"/>
      <c r="B1053" s="3"/>
      <c r="C1053" s="4">
        <v>43437.0</v>
      </c>
      <c r="D1053" s="2" t="s">
        <v>1242</v>
      </c>
      <c r="E1053" s="2">
        <v>6.111001547E9</v>
      </c>
      <c r="F1053" s="3" t="s">
        <v>161</v>
      </c>
      <c r="G1053" s="2" t="s">
        <v>171</v>
      </c>
      <c r="H1053" s="2" t="s">
        <v>22</v>
      </c>
      <c r="I1053" s="3">
        <v>100.0</v>
      </c>
      <c r="J1053" s="3"/>
      <c r="K1053" s="5">
        <v>1404.8</v>
      </c>
      <c r="L1053" s="6" t="str">
        <f>IF(D1053&lt;&gt;"",VLOOKUP(H1053,TABLEITEM,2,FALSE),"")</f>
        <v>MAT ST</v>
      </c>
      <c r="M1053" s="6" t="str">
        <f>IF(D1053&lt;&gt;"",VLOOKUP(H1053,TABLEITEM,3,FALSE),"")</f>
        <v>เหล็กแผ่นขาว4''X3000T2.0</v>
      </c>
      <c r="N1053" s="7">
        <f>INSTOCK!$I1053*INSTOCK!$K1053</f>
        <v>140480</v>
      </c>
      <c r="O1053" s="2" t="s">
        <v>1243</v>
      </c>
      <c r="P1053" s="2"/>
    </row>
    <row r="1054" ht="18.0" hidden="1" customHeight="1">
      <c r="A1054" s="1"/>
      <c r="B1054" s="3"/>
      <c r="C1054" s="4">
        <v>43437.0</v>
      </c>
      <c r="D1054" s="2" t="s">
        <v>1242</v>
      </c>
      <c r="E1054" s="2">
        <v>6.111001547E9</v>
      </c>
      <c r="F1054" s="3" t="s">
        <v>161</v>
      </c>
      <c r="G1054" s="2" t="s">
        <v>171</v>
      </c>
      <c r="H1054" s="2" t="s">
        <v>41</v>
      </c>
      <c r="I1054" s="3">
        <v>100.0</v>
      </c>
      <c r="J1054" s="3"/>
      <c r="K1054" s="5">
        <v>1248.7</v>
      </c>
      <c r="L1054" s="6" t="str">
        <f>IF(D1054&lt;&gt;"",VLOOKUP(H1054,TABLEITEM,2,FALSE),"")</f>
        <v>MAT ST</v>
      </c>
      <c r="M1054" s="6" t="str">
        <f>IF(D1054&lt;&gt;"",VLOOKUP(H1054,TABLEITEM,3,FALSE),"")</f>
        <v>เหล็กแผ่นEG4'x3000T1.6</v>
      </c>
      <c r="N1054" s="7">
        <f>INSTOCK!$I1054*INSTOCK!$K1054</f>
        <v>124870</v>
      </c>
      <c r="O1054" s="2" t="s">
        <v>1244</v>
      </c>
      <c r="P1054" s="2"/>
    </row>
    <row r="1055" ht="18.0" hidden="1" customHeight="1">
      <c r="A1055" s="1"/>
      <c r="B1055" s="3"/>
      <c r="C1055" s="4">
        <v>43437.0</v>
      </c>
      <c r="D1055" s="2" t="s">
        <v>1245</v>
      </c>
      <c r="E1055" s="2">
        <v>6.111001547E9</v>
      </c>
      <c r="F1055" s="3" t="s">
        <v>161</v>
      </c>
      <c r="G1055" s="2" t="s">
        <v>171</v>
      </c>
      <c r="H1055" s="2" t="s">
        <v>40</v>
      </c>
      <c r="I1055" s="3">
        <v>100.0</v>
      </c>
      <c r="J1055" s="3"/>
      <c r="K1055" s="5">
        <v>1017.4</v>
      </c>
      <c r="L1055" s="6" t="str">
        <f>IF(D1055&lt;&gt;"",VLOOKUP(H1055,TABLEITEM,2,FALSE),"")</f>
        <v>MAT ST</v>
      </c>
      <c r="M1055" s="6" t="str">
        <f>IF(D1055&lt;&gt;"",VLOOKUP(H1055,TABLEITEM,3,FALSE),"")</f>
        <v>เหล็กแผ่นEG4'x8'T1.6</v>
      </c>
      <c r="N1055" s="7">
        <f>INSTOCK!$I1055*INSTOCK!$K1055</f>
        <v>101740</v>
      </c>
      <c r="O1055" s="2" t="s">
        <v>1246</v>
      </c>
      <c r="P1055" s="2"/>
    </row>
    <row r="1056" ht="18.0" hidden="1" customHeight="1">
      <c r="A1056" s="1"/>
      <c r="B1056" s="3"/>
      <c r="C1056" s="4">
        <v>43437.0</v>
      </c>
      <c r="D1056" s="2" t="s">
        <v>1245</v>
      </c>
      <c r="E1056" s="2">
        <v>6.111001547E9</v>
      </c>
      <c r="F1056" s="3" t="s">
        <v>161</v>
      </c>
      <c r="G1056" s="2" t="s">
        <v>171</v>
      </c>
      <c r="H1056" s="2" t="s">
        <v>19</v>
      </c>
      <c r="I1056" s="3">
        <v>200.0</v>
      </c>
      <c r="J1056" s="3"/>
      <c r="K1056" s="5">
        <v>905.7</v>
      </c>
      <c r="L1056" s="6" t="str">
        <f>IF(D1056&lt;&gt;"",VLOOKUP(H1056,TABLEITEM,2,FALSE),"")</f>
        <v>MAT ST</v>
      </c>
      <c r="M1056" s="6" t="str">
        <f>IF(D1056&lt;&gt;"",VLOOKUP(H1056,TABLEITEM,3,FALSE),"")</f>
        <v>เหล็กแผ่นขาว4'x8'T1.6</v>
      </c>
      <c r="N1056" s="7">
        <f>INSTOCK!$I1056*INSTOCK!$K1056</f>
        <v>181140</v>
      </c>
      <c r="O1056" s="2" t="s">
        <v>1247</v>
      </c>
      <c r="P1056" s="2"/>
    </row>
    <row r="1057" ht="18.0" hidden="1" customHeight="1">
      <c r="A1057" s="1"/>
      <c r="B1057" s="3"/>
      <c r="C1057" s="4">
        <v>43437.0</v>
      </c>
      <c r="D1057" s="2" t="s">
        <v>1248</v>
      </c>
      <c r="E1057" s="2">
        <v>6.111001547E9</v>
      </c>
      <c r="F1057" s="3" t="s">
        <v>161</v>
      </c>
      <c r="G1057" s="2" t="s">
        <v>171</v>
      </c>
      <c r="H1057" s="2" t="s">
        <v>21</v>
      </c>
      <c r="I1057" s="3">
        <v>300.0</v>
      </c>
      <c r="J1057" s="3"/>
      <c r="K1057" s="5">
        <v>1139.7</v>
      </c>
      <c r="L1057" s="6" t="str">
        <f>IF(D1057&lt;&gt;"",VLOOKUP(H1057,TABLEITEM,2,FALSE),"")</f>
        <v>MAT ST</v>
      </c>
      <c r="M1057" s="6" t="str">
        <f>IF(D1057&lt;&gt;"",VLOOKUP(H1057,TABLEITEM,3,FALSE),"")</f>
        <v>เหล็กแผ่นขาว4'x8'T2.0</v>
      </c>
      <c r="N1057" s="7">
        <f>INSTOCK!$I1057*INSTOCK!$K1057</f>
        <v>341910</v>
      </c>
      <c r="O1057" s="2" t="s">
        <v>1249</v>
      </c>
      <c r="P1057" s="2"/>
    </row>
    <row r="1058" ht="18.0" hidden="1" customHeight="1">
      <c r="A1058" s="1"/>
      <c r="B1058" s="3"/>
      <c r="C1058" s="4">
        <v>43438.0</v>
      </c>
      <c r="D1058" s="2" t="s">
        <v>1250</v>
      </c>
      <c r="E1058" s="2">
        <v>6.111001547E9</v>
      </c>
      <c r="F1058" s="3" t="s">
        <v>161</v>
      </c>
      <c r="G1058" s="2" t="s">
        <v>171</v>
      </c>
      <c r="H1058" s="2" t="s">
        <v>25</v>
      </c>
      <c r="I1058" s="3">
        <v>164.0</v>
      </c>
      <c r="J1058" s="3"/>
      <c r="K1058" s="5">
        <v>1783.9</v>
      </c>
      <c r="L1058" s="6" t="str">
        <f>IF(D1058&lt;&gt;"",VLOOKUP(H1058,TABLEITEM,2,FALSE),"")</f>
        <v>MAT ST</v>
      </c>
      <c r="M1058" s="6" t="str">
        <f>IF(D1058&lt;&gt;"",VLOOKUP(H1058,TABLEITEM,3,FALSE),"")</f>
        <v>เหล็กแผ่นขาว4'x8'T3.0</v>
      </c>
      <c r="N1058" s="7">
        <f>INSTOCK!$I1058*INSTOCK!$K1058</f>
        <v>292559.6</v>
      </c>
      <c r="O1058" s="2" t="s">
        <v>1251</v>
      </c>
      <c r="P1058" s="2"/>
    </row>
    <row r="1059" ht="18.0" hidden="1" customHeight="1">
      <c r="A1059" s="1"/>
      <c r="B1059" s="3"/>
      <c r="C1059" s="4">
        <v>43438.0</v>
      </c>
      <c r="D1059" s="2" t="s">
        <v>1252</v>
      </c>
      <c r="E1059" s="2">
        <v>6.111001547E9</v>
      </c>
      <c r="F1059" s="3" t="s">
        <v>161</v>
      </c>
      <c r="G1059" s="2" t="s">
        <v>171</v>
      </c>
      <c r="H1059" s="2" t="s">
        <v>25</v>
      </c>
      <c r="I1059" s="3">
        <v>36.0</v>
      </c>
      <c r="J1059" s="3"/>
      <c r="K1059" s="5">
        <v>1778.0</v>
      </c>
      <c r="L1059" s="6" t="str">
        <f>IF(D1059&lt;&gt;"",VLOOKUP(H1059,TABLEITEM,2,FALSE),"")</f>
        <v>MAT ST</v>
      </c>
      <c r="M1059" s="6" t="str">
        <f>IF(D1059&lt;&gt;"",VLOOKUP(H1059,TABLEITEM,3,FALSE),"")</f>
        <v>เหล็กแผ่นขาว4'x8'T3.0</v>
      </c>
      <c r="N1059" s="7">
        <f>INSTOCK!$I1059*INSTOCK!$K1059</f>
        <v>64008</v>
      </c>
      <c r="O1059" s="2" t="s">
        <v>1253</v>
      </c>
      <c r="P1059" s="2"/>
    </row>
    <row r="1060" ht="18.0" hidden="1" customHeight="1">
      <c r="A1060" s="1"/>
      <c r="B1060" s="3"/>
      <c r="C1060" s="4">
        <v>43440.0</v>
      </c>
      <c r="D1060" s="2" t="s">
        <v>1254</v>
      </c>
      <c r="E1060" s="2">
        <v>6.112001579E9</v>
      </c>
      <c r="F1060" s="3" t="s">
        <v>161</v>
      </c>
      <c r="G1060" s="2" t="s">
        <v>153</v>
      </c>
      <c r="H1060" s="2" t="s">
        <v>107</v>
      </c>
      <c r="I1060" s="3">
        <v>800.0</v>
      </c>
      <c r="J1060" s="3" t="s">
        <v>78</v>
      </c>
      <c r="K1060" s="5">
        <v>13.0</v>
      </c>
      <c r="L1060" s="6" t="str">
        <f>IF(D1060&lt;&gt;"",VLOOKUP(H1060,TABLEITEM,2,FALSE),"")</f>
        <v>MAT ST</v>
      </c>
      <c r="M1060" s="6" t="str">
        <f>IF(D1060&lt;&gt;"",VLOOKUP(H1060,TABLEITEM,3,FALSE),"")</f>
        <v>เหล็กเพลากลม 8มิล</v>
      </c>
      <c r="N1060" s="7">
        <f>INSTOCK!$I1060*INSTOCK!$K1060</f>
        <v>10400</v>
      </c>
      <c r="O1060" s="2" t="s">
        <v>1255</v>
      </c>
      <c r="P1060" s="2"/>
    </row>
    <row r="1061" ht="18.0" hidden="1" customHeight="1">
      <c r="A1061" s="1"/>
      <c r="B1061" s="3"/>
      <c r="C1061" s="4">
        <v>43428.0</v>
      </c>
      <c r="D1061" s="2" t="s">
        <v>1206</v>
      </c>
      <c r="E1061" s="2">
        <v>6.112001598E9</v>
      </c>
      <c r="F1061" s="3" t="s">
        <v>1256</v>
      </c>
      <c r="G1061" s="2" t="s">
        <v>733</v>
      </c>
      <c r="H1061" s="2" t="s">
        <v>1171</v>
      </c>
      <c r="I1061" s="3">
        <v>4.0</v>
      </c>
      <c r="J1061" s="3"/>
      <c r="K1061" s="5">
        <v>38.0</v>
      </c>
      <c r="L1061" s="6" t="str">
        <f>IF(D1061&lt;&gt;"",VLOOKUP(H1061,TABLEITEM,2,FALSE),"")</f>
        <v>MAT GL</v>
      </c>
      <c r="M1061" s="6" t="str">
        <f>IF(D1061&lt;&gt;"",VLOOKUP(H1061,TABLEITEM,3,FALSE),"")</f>
        <v>กระจก 132x312 T3.0</v>
      </c>
      <c r="N1061" s="7">
        <f>INSTOCK!$I1061*INSTOCK!$K1061</f>
        <v>152</v>
      </c>
      <c r="O1061" s="2"/>
      <c r="P1061" s="2"/>
    </row>
    <row r="1062" ht="18.0" hidden="1" customHeight="1">
      <c r="A1062" s="1"/>
      <c r="B1062" s="3"/>
      <c r="C1062" s="4">
        <v>43447.0</v>
      </c>
      <c r="D1062" s="2" t="s">
        <v>1257</v>
      </c>
      <c r="E1062" s="2">
        <v>6.112001598E9</v>
      </c>
      <c r="F1062" s="3" t="s">
        <v>1258</v>
      </c>
      <c r="G1062" s="2" t="s">
        <v>733</v>
      </c>
      <c r="H1062" s="2" t="s">
        <v>763</v>
      </c>
      <c r="I1062" s="3">
        <v>40.0</v>
      </c>
      <c r="J1062" s="3"/>
      <c r="K1062" s="5">
        <v>25.0</v>
      </c>
      <c r="L1062" s="6" t="str">
        <f>IF(D1062&lt;&gt;"",VLOOKUP(H1062,TABLEITEM,2,FALSE),"")</f>
        <v>MAT GL</v>
      </c>
      <c r="M1062" s="6" t="str">
        <f>IF(D1062&lt;&gt;"",VLOOKUP(H1062,TABLEITEM,3,FALSE),"")</f>
        <v>กระจก132X132T3.0</v>
      </c>
      <c r="N1062" s="7">
        <f>INSTOCK!$I1062*INSTOCK!$K1062</f>
        <v>1000</v>
      </c>
      <c r="O1062" s="2"/>
      <c r="P1062" s="2"/>
    </row>
    <row r="1063" ht="18.0" hidden="1" customHeight="1">
      <c r="A1063" s="1"/>
      <c r="B1063" s="3"/>
      <c r="C1063" s="4">
        <v>43432.0</v>
      </c>
      <c r="D1063" s="2" t="s">
        <v>1206</v>
      </c>
      <c r="E1063" s="2">
        <v>6.112001598E9</v>
      </c>
      <c r="F1063" s="3" t="s">
        <v>1259</v>
      </c>
      <c r="G1063" s="2" t="s">
        <v>733</v>
      </c>
      <c r="H1063" s="2" t="s">
        <v>780</v>
      </c>
      <c r="I1063" s="3">
        <v>1.0</v>
      </c>
      <c r="J1063" s="3"/>
      <c r="K1063" s="5">
        <v>25.0</v>
      </c>
      <c r="L1063" s="6" t="str">
        <f>IF(D1063&lt;&gt;"",VLOOKUP(H1063,TABLEITEM,2,FALSE),"")</f>
        <v>MAT GL</v>
      </c>
      <c r="M1063" s="6" t="str">
        <f>IF(D1063&lt;&gt;"",VLOOKUP(H1063,TABLEITEM,3,FALSE),"")</f>
        <v>กระจก168x168T3.0</v>
      </c>
      <c r="N1063" s="7">
        <f>INSTOCK!$I1063*INSTOCK!$K1063</f>
        <v>25</v>
      </c>
      <c r="O1063" s="2"/>
      <c r="P1063" s="2"/>
    </row>
    <row r="1064" ht="18.0" hidden="1" customHeight="1">
      <c r="A1064" s="1"/>
      <c r="B1064" s="3"/>
      <c r="C1064" s="4">
        <v>43431.0</v>
      </c>
      <c r="D1064" s="2" t="s">
        <v>1206</v>
      </c>
      <c r="E1064" s="2">
        <v>6.112001598E9</v>
      </c>
      <c r="F1064" s="3" t="s">
        <v>1260</v>
      </c>
      <c r="G1064" s="2" t="s">
        <v>733</v>
      </c>
      <c r="H1064" s="2" t="s">
        <v>1261</v>
      </c>
      <c r="I1064" s="3">
        <v>2.0</v>
      </c>
      <c r="J1064" s="3"/>
      <c r="K1064" s="5">
        <v>50.0</v>
      </c>
      <c r="L1064" s="6" t="str">
        <f>IF(D1064&lt;&gt;"",VLOOKUP(H1064,TABLEITEM,2,FALSE),"")</f>
        <v>MAT GL</v>
      </c>
      <c r="M1064" s="6" t="str">
        <f>IF(D1064&lt;&gt;"",VLOOKUP(H1064,TABLEITEM,3,FALSE),"")</f>
        <v>กระจก 258x458 T3.0</v>
      </c>
      <c r="N1064" s="7">
        <f>INSTOCK!$I1064*INSTOCK!$K1064</f>
        <v>100</v>
      </c>
      <c r="O1064" s="2"/>
      <c r="P1064" s="2"/>
    </row>
    <row r="1065" ht="18.0" hidden="1" customHeight="1">
      <c r="A1065" s="1"/>
      <c r="B1065" s="3"/>
      <c r="C1065" s="4">
        <v>43437.0</v>
      </c>
      <c r="D1065" s="2" t="s">
        <v>1206</v>
      </c>
      <c r="E1065" s="2">
        <v>6.112001598E9</v>
      </c>
      <c r="F1065" s="3" t="s">
        <v>1262</v>
      </c>
      <c r="G1065" s="2" t="s">
        <v>733</v>
      </c>
      <c r="H1065" s="2" t="s">
        <v>872</v>
      </c>
      <c r="I1065" s="3">
        <v>1.0</v>
      </c>
      <c r="J1065" s="3"/>
      <c r="K1065" s="5">
        <v>30.0</v>
      </c>
      <c r="L1065" s="6" t="str">
        <f>IF(D1065&lt;&gt;"",VLOOKUP(H1065,TABLEITEM,2,FALSE),"")</f>
        <v>MAT GL</v>
      </c>
      <c r="M1065" s="6" t="str">
        <f>IF(D1065&lt;&gt;"",VLOOKUP(H1065,TABLEITEM,3,FALSE),"")</f>
        <v>กระจก262x412T5.0</v>
      </c>
      <c r="N1065" s="7">
        <f>INSTOCK!$I1065*INSTOCK!$K1065</f>
        <v>30</v>
      </c>
      <c r="O1065" s="2"/>
      <c r="P1065" s="2"/>
    </row>
    <row r="1066" ht="18.0" hidden="1" customHeight="1">
      <c r="A1066" s="1"/>
      <c r="B1066" s="3"/>
      <c r="C1066" s="4">
        <v>43440.0</v>
      </c>
      <c r="D1066" s="2" t="s">
        <v>1206</v>
      </c>
      <c r="E1066" s="2">
        <v>6.112001598E9</v>
      </c>
      <c r="F1066" s="3" t="s">
        <v>1263</v>
      </c>
      <c r="G1066" s="2" t="s">
        <v>733</v>
      </c>
      <c r="H1066" s="2" t="s">
        <v>1112</v>
      </c>
      <c r="I1066" s="3">
        <v>1.0</v>
      </c>
      <c r="J1066" s="3"/>
      <c r="K1066" s="5">
        <v>60.0</v>
      </c>
      <c r="L1066" s="6" t="str">
        <f>IF(D1066&lt;&gt;"",VLOOKUP(H1066,TABLEITEM,2,FALSE),"")</f>
        <v>MAT GL</v>
      </c>
      <c r="M1066" s="6" t="str">
        <f>IF(D1066&lt;&gt;"",VLOOKUP(H1066,TABLEITEM,3,FALSE),"")</f>
        <v>กระจก262x512T5.0</v>
      </c>
      <c r="N1066" s="7">
        <f>INSTOCK!$I1066*INSTOCK!$K1066</f>
        <v>60</v>
      </c>
      <c r="O1066" s="2"/>
      <c r="P1066" s="2"/>
    </row>
    <row r="1067" ht="18.0" hidden="1" customHeight="1">
      <c r="A1067" s="1"/>
      <c r="B1067" s="3"/>
      <c r="C1067" s="4">
        <v>43442.0</v>
      </c>
      <c r="D1067" s="2" t="s">
        <v>1264</v>
      </c>
      <c r="E1067" s="2"/>
      <c r="F1067" s="3" t="s">
        <v>161</v>
      </c>
      <c r="G1067" s="2" t="s">
        <v>456</v>
      </c>
      <c r="H1067" s="2" t="s">
        <v>1265</v>
      </c>
      <c r="I1067" s="3">
        <v>46.0</v>
      </c>
      <c r="J1067" s="3"/>
      <c r="K1067" s="5"/>
      <c r="L1067" s="6" t="str">
        <f>IF(D1067&lt;&gt;"",VLOOKUP(H1067,TABLEITEM,2,FALSE),"")</f>
        <v>PART</v>
      </c>
      <c r="M1067" s="6" t="str">
        <f>IF(D1067&lt;&gt;"",VLOOKUP(H1067,TABLEITEM,3,FALSE),"")</f>
        <v>คานต่อโครง68x45x926</v>
      </c>
      <c r="N1067" s="7">
        <f>INSTOCK!$I1067*INSTOCK!$K1067</f>
        <v>0</v>
      </c>
      <c r="O1067" s="2"/>
      <c r="P1067" s="2"/>
    </row>
    <row r="1068" ht="18.0" hidden="1" customHeight="1">
      <c r="A1068" s="1"/>
      <c r="B1068" s="3"/>
      <c r="C1068" s="4">
        <v>43442.0</v>
      </c>
      <c r="D1068" s="2" t="s">
        <v>638</v>
      </c>
      <c r="E1068" s="2"/>
      <c r="F1068" s="3" t="s">
        <v>161</v>
      </c>
      <c r="G1068" s="2" t="s">
        <v>456</v>
      </c>
      <c r="H1068" s="2" t="s">
        <v>1266</v>
      </c>
      <c r="I1068" s="3">
        <v>40.0</v>
      </c>
      <c r="J1068" s="3"/>
      <c r="K1068" s="5"/>
      <c r="L1068" s="6" t="str">
        <f>IF(D1068&lt;&gt;"",VLOOKUP(H1068,TABLEITEM,2,FALSE),"")</f>
        <v>PART</v>
      </c>
      <c r="M1068" s="6" t="str">
        <f>IF(D1068&lt;&gt;"",VLOOKUP(H1068,TABLEITEM,3,FALSE),"")</f>
        <v>คานตัวC 70x25T3.0x620</v>
      </c>
      <c r="N1068" s="7">
        <f>INSTOCK!$I1068*INSTOCK!$K1068</f>
        <v>0</v>
      </c>
      <c r="O1068" s="2"/>
      <c r="P1068" s="2"/>
    </row>
    <row r="1069" ht="18.0" hidden="1" customHeight="1">
      <c r="A1069" s="1"/>
      <c r="B1069" s="3"/>
      <c r="C1069" s="4">
        <v>43442.0</v>
      </c>
      <c r="D1069" s="2" t="s">
        <v>638</v>
      </c>
      <c r="E1069" s="2"/>
      <c r="F1069" s="3" t="s">
        <v>161</v>
      </c>
      <c r="G1069" s="2" t="s">
        <v>456</v>
      </c>
      <c r="H1069" s="2" t="s">
        <v>1267</v>
      </c>
      <c r="I1069" s="3">
        <v>40.0</v>
      </c>
      <c r="J1069" s="3"/>
      <c r="K1069" s="5"/>
      <c r="L1069" s="6" t="str">
        <f>IF(D1069&lt;&gt;"",VLOOKUP(H1069,TABLEITEM,2,FALSE),"")</f>
        <v>PART</v>
      </c>
      <c r="M1069" s="6" t="str">
        <f>IF(D1069&lt;&gt;"",VLOOKUP(H1069,TABLEITEM,3,FALSE),"")</f>
        <v>คานตัวC 70x25T3.0x920</v>
      </c>
      <c r="N1069" s="7">
        <f>INSTOCK!$I1069*INSTOCK!$K1069</f>
        <v>0</v>
      </c>
      <c r="O1069" s="2"/>
      <c r="P1069" s="2"/>
    </row>
    <row r="1070" ht="18.0" hidden="1" customHeight="1">
      <c r="A1070" s="1"/>
      <c r="B1070" s="3"/>
      <c r="C1070" s="4">
        <v>43442.0</v>
      </c>
      <c r="D1070" s="2" t="s">
        <v>1088</v>
      </c>
      <c r="E1070" s="2"/>
      <c r="F1070" s="3" t="s">
        <v>161</v>
      </c>
      <c r="G1070" s="2" t="s">
        <v>456</v>
      </c>
      <c r="H1070" s="2" t="s">
        <v>603</v>
      </c>
      <c r="I1070" s="3">
        <v>93.0</v>
      </c>
      <c r="J1070" s="3"/>
      <c r="K1070" s="5"/>
      <c r="L1070" s="6" t="str">
        <f>IF(D1070&lt;&gt;"",VLOOKUP(H1070,TABLEITEM,2,FALSE),"")</f>
        <v>PART</v>
      </c>
      <c r="M1070" s="6" t="str">
        <f>IF(D1070&lt;&gt;"",VLOOKUP(H1070,TABLEITEM,3,FALSE),"")</f>
        <v>คานต่อโครง3mm 68x45x260</v>
      </c>
      <c r="N1070" s="7">
        <f>INSTOCK!$I1070*INSTOCK!$K1070</f>
        <v>0</v>
      </c>
      <c r="O1070" s="2"/>
      <c r="P1070" s="2"/>
    </row>
    <row r="1071" ht="18.0" hidden="1" customHeight="1">
      <c r="A1071" s="1"/>
      <c r="B1071" s="3"/>
      <c r="C1071" s="4">
        <v>43442.0</v>
      </c>
      <c r="D1071" s="2" t="s">
        <v>1088</v>
      </c>
      <c r="E1071" s="2"/>
      <c r="F1071" s="3" t="s">
        <v>161</v>
      </c>
      <c r="G1071" s="2" t="s">
        <v>456</v>
      </c>
      <c r="H1071" s="2" t="s">
        <v>605</v>
      </c>
      <c r="I1071" s="3">
        <v>114.0</v>
      </c>
      <c r="J1071" s="3"/>
      <c r="K1071" s="5"/>
      <c r="L1071" s="6" t="str">
        <f>IF(D1071&lt;&gt;"",VLOOKUP(H1071,TABLEITEM,2,FALSE),"")</f>
        <v>PART</v>
      </c>
      <c r="M1071" s="6" t="str">
        <f>IF(D1071&lt;&gt;"",VLOOKUP(H1071,TABLEITEM,3,FALSE),"")</f>
        <v>คานต่อโครง 80x45x3mmx260</v>
      </c>
      <c r="N1071" s="7">
        <f>INSTOCK!$I1071*INSTOCK!$K1071</f>
        <v>0</v>
      </c>
      <c r="O1071" s="2"/>
      <c r="P1071" s="2"/>
    </row>
    <row r="1072" ht="18.0" hidden="1" customHeight="1">
      <c r="A1072" s="1"/>
      <c r="B1072" s="3"/>
      <c r="C1072" s="4">
        <v>43442.0</v>
      </c>
      <c r="D1072" s="2" t="s">
        <v>1088</v>
      </c>
      <c r="E1072" s="2"/>
      <c r="F1072" s="3" t="s">
        <v>161</v>
      </c>
      <c r="G1072" s="2" t="s">
        <v>456</v>
      </c>
      <c r="H1072" s="2" t="s">
        <v>484</v>
      </c>
      <c r="I1072" s="3">
        <v>25.0</v>
      </c>
      <c r="J1072" s="3"/>
      <c r="K1072" s="5"/>
      <c r="L1072" s="6" t="str">
        <f>IF(D1072&lt;&gt;"",VLOOKUP(H1072,TABLEITEM,2,FALSE),"")</f>
        <v>PART</v>
      </c>
      <c r="M1072" s="6" t="str">
        <f>IF(D1072&lt;&gt;"",VLOOKUP(H1072,TABLEITEM,3,FALSE),"")</f>
        <v>คานต่อโครง3mm 68x45x720</v>
      </c>
      <c r="N1072" s="7">
        <f>INSTOCK!$I1072*INSTOCK!$K1072</f>
        <v>0</v>
      </c>
      <c r="O1072" s="2"/>
      <c r="P1072" s="2"/>
    </row>
    <row r="1073" ht="18.0" hidden="1" customHeight="1">
      <c r="A1073" s="1"/>
      <c r="B1073" s="3"/>
      <c r="C1073" s="4">
        <v>43442.0</v>
      </c>
      <c r="D1073" s="2" t="s">
        <v>709</v>
      </c>
      <c r="E1073" s="2"/>
      <c r="F1073" s="3" t="s">
        <v>161</v>
      </c>
      <c r="G1073" s="2" t="s">
        <v>456</v>
      </c>
      <c r="H1073" s="2" t="s">
        <v>710</v>
      </c>
      <c r="I1073" s="3">
        <v>44.0</v>
      </c>
      <c r="J1073" s="3"/>
      <c r="K1073" s="5"/>
      <c r="L1073" s="6" t="str">
        <f>IF(D1073&lt;&gt;"",VLOOKUP(H1073,TABLEITEM,2,FALSE),"")</f>
        <v>PART</v>
      </c>
      <c r="M1073" s="6" t="str">
        <f>IF(D1073&lt;&gt;"",VLOOKUP(H1073,TABLEITEM,3,FALSE),"")</f>
        <v>คานฝาหน้า 50x22x720</v>
      </c>
      <c r="N1073" s="7">
        <f>INSTOCK!$I1073*INSTOCK!$K1073</f>
        <v>0</v>
      </c>
      <c r="O1073" s="2"/>
      <c r="P1073" s="2"/>
    </row>
    <row r="1074" ht="18.0" hidden="1" customHeight="1">
      <c r="A1074" s="1"/>
      <c r="B1074" s="3"/>
      <c r="C1074" s="4">
        <v>43392.0</v>
      </c>
      <c r="D1074" s="2" t="s">
        <v>1268</v>
      </c>
      <c r="E1074" s="2">
        <v>6.1100013E9</v>
      </c>
      <c r="F1074" s="3" t="s">
        <v>1269</v>
      </c>
      <c r="G1074" s="2" t="s">
        <v>146</v>
      </c>
      <c r="H1074" s="27" t="s">
        <v>1270</v>
      </c>
      <c r="I1074" s="3">
        <v>150.0</v>
      </c>
      <c r="J1074" s="3" t="s">
        <v>78</v>
      </c>
      <c r="K1074" s="5">
        <v>11.4</v>
      </c>
      <c r="L1074" s="6" t="str">
        <f>IF(D1074&lt;&gt;"",VLOOKUP(H1074,TABLEITEM,2,FALSE),"")</f>
        <v>MAT ST</v>
      </c>
      <c r="M1074" s="27" t="str">
        <f>IF(D1074&lt;&gt;"",VLOOKUP(H1074,TABLEITEM,3,FALSE),"")</f>
        <v>เหล็กท่อกลม 9.0mmx10M</v>
      </c>
      <c r="N1074" s="7">
        <f>INSTOCK!$I1074*INSTOCK!$K1074</f>
        <v>1710</v>
      </c>
      <c r="O1074" s="2" t="s">
        <v>1271</v>
      </c>
      <c r="P1074" s="2"/>
    </row>
    <row r="1075" ht="18.0" hidden="1" customHeight="1">
      <c r="A1075" s="1"/>
      <c r="B1075" s="3"/>
      <c r="C1075" s="4">
        <v>43444.0</v>
      </c>
      <c r="D1075" s="2" t="s">
        <v>628</v>
      </c>
      <c r="E1075" s="2"/>
      <c r="F1075" s="3" t="s">
        <v>161</v>
      </c>
      <c r="G1075" s="2" t="s">
        <v>456</v>
      </c>
      <c r="H1075" s="2" t="s">
        <v>629</v>
      </c>
      <c r="I1075" s="3">
        <v>59.0</v>
      </c>
      <c r="J1075" s="3"/>
      <c r="K1075" s="5"/>
      <c r="L1075" s="6" t="str">
        <f>IF(D1075&lt;&gt;"",VLOOKUP(H1075,TABLEITEM,2,FALSE),"")</f>
        <v>PART</v>
      </c>
      <c r="M1075" s="6" t="str">
        <f>IF(D1075&lt;&gt;"",VLOOKUP(H1075,TABLEITEM,3,FALSE),"")</f>
        <v>ตัวแซดยึดแผ่นพื้น 60x895</v>
      </c>
      <c r="N1075" s="7">
        <f>INSTOCK!$I1075*INSTOCK!$K1075</f>
        <v>0</v>
      </c>
      <c r="O1075" s="2"/>
      <c r="P1075" s="2"/>
    </row>
    <row r="1076" ht="18.0" hidden="1" customHeight="1">
      <c r="A1076" s="1"/>
      <c r="B1076" s="3"/>
      <c r="C1076" s="4">
        <v>43444.0</v>
      </c>
      <c r="D1076" s="2" t="s">
        <v>1272</v>
      </c>
      <c r="E1076" s="2"/>
      <c r="F1076" s="3" t="s">
        <v>161</v>
      </c>
      <c r="G1076" s="2" t="s">
        <v>456</v>
      </c>
      <c r="H1076" s="2" t="s">
        <v>468</v>
      </c>
      <c r="I1076" s="3">
        <v>109.0</v>
      </c>
      <c r="J1076" s="3"/>
      <c r="K1076" s="5"/>
      <c r="L1076" s="6" t="str">
        <f>IF(D1076&lt;&gt;"",VLOOKUP(H1076,TABLEITEM,2,FALSE),"")</f>
        <v>PART</v>
      </c>
      <c r="M1076" s="6" t="str">
        <f>IF(D1076&lt;&gt;"",VLOOKUP(H1076,TABLEITEM,3,FALSE),"")</f>
        <v>คานเจยึดเสาใน754x50x35T2.0</v>
      </c>
      <c r="N1076" s="7">
        <f>INSTOCK!$I1076*INSTOCK!$K1076</f>
        <v>0</v>
      </c>
      <c r="O1076" s="2"/>
      <c r="P1076" s="2"/>
    </row>
    <row r="1077" ht="18.0" hidden="1" customHeight="1">
      <c r="A1077" s="1"/>
      <c r="B1077" s="3"/>
      <c r="C1077" s="4">
        <v>43444.0</v>
      </c>
      <c r="D1077" s="2" t="s">
        <v>1273</v>
      </c>
      <c r="E1077" s="2"/>
      <c r="F1077" s="3" t="s">
        <v>161</v>
      </c>
      <c r="G1077" s="2" t="s">
        <v>456</v>
      </c>
      <c r="H1077" s="2" t="s">
        <v>1274</v>
      </c>
      <c r="I1077" s="3">
        <v>103.0</v>
      </c>
      <c r="J1077" s="3"/>
      <c r="K1077" s="5"/>
      <c r="L1077" s="6" t="str">
        <f>IF(D1077&lt;&gt;"",VLOOKUP(H1077,TABLEITEM,2,FALSE),"")</f>
        <v>PART</v>
      </c>
      <c r="M1077" s="6" t="str">
        <f>IF(D1077&lt;&gt;"",VLOOKUP(H1077,TABLEITEM,3,FALSE),"")</f>
        <v>คานเจ 45x32x604</v>
      </c>
      <c r="N1077" s="7">
        <f>INSTOCK!$I1077*INSTOCK!$K1077</f>
        <v>0</v>
      </c>
      <c r="O1077" s="2"/>
      <c r="P1077" s="2"/>
    </row>
    <row r="1078" ht="18.0" hidden="1" customHeight="1">
      <c r="A1078" s="1"/>
      <c r="B1078" s="3"/>
      <c r="C1078" s="4">
        <v>43445.0</v>
      </c>
      <c r="D1078" s="2" t="s">
        <v>1275</v>
      </c>
      <c r="E1078" s="2"/>
      <c r="F1078" s="3" t="s">
        <v>161</v>
      </c>
      <c r="G1078" s="2" t="s">
        <v>456</v>
      </c>
      <c r="H1078" s="2" t="s">
        <v>542</v>
      </c>
      <c r="I1078" s="3">
        <v>30.0</v>
      </c>
      <c r="J1078" s="3"/>
      <c r="K1078" s="5"/>
      <c r="L1078" s="6" t="str">
        <f>IF(D1078&lt;&gt;"",VLOOKUP(H1078,TABLEITEM,2,FALSE),"")</f>
        <v>PART</v>
      </c>
      <c r="M1078" s="6" t="str">
        <f>IF(D1078&lt;&gt;"",VLOOKUP(H1078,TABLEITEM,3,FALSE),"")</f>
        <v>ฝาข้าง-ฝาหลัง 1875x770</v>
      </c>
      <c r="N1078" s="7">
        <f>INSTOCK!$I1078*INSTOCK!$K1078</f>
        <v>0</v>
      </c>
      <c r="O1078" s="2"/>
      <c r="P1078" s="2"/>
    </row>
    <row r="1079" ht="18.0" hidden="1" customHeight="1">
      <c r="A1079" s="1"/>
      <c r="B1079" s="3"/>
      <c r="C1079" s="4">
        <v>43445.0</v>
      </c>
      <c r="D1079" s="2" t="s">
        <v>1275</v>
      </c>
      <c r="E1079" s="2"/>
      <c r="F1079" s="3" t="s">
        <v>161</v>
      </c>
      <c r="G1079" s="2" t="s">
        <v>456</v>
      </c>
      <c r="H1079" s="2" t="s">
        <v>1276</v>
      </c>
      <c r="I1079" s="3">
        <v>10.0</v>
      </c>
      <c r="J1079" s="3"/>
      <c r="K1079" s="5"/>
      <c r="L1079" s="6" t="str">
        <f>IF(D1079&lt;&gt;"",VLOOKUP(H1079,TABLEITEM,2,FALSE),"")</f>
        <v>PART</v>
      </c>
      <c r="M1079" s="6" t="str">
        <f>IF(D1079&lt;&gt;"",VLOOKUP(H1079,TABLEITEM,3,FALSE),"")</f>
        <v>ฝาข้าง-ฝาหลัง 1875x970</v>
      </c>
      <c r="N1079" s="7">
        <f>INSTOCK!$I1079*INSTOCK!$K1079</f>
        <v>0</v>
      </c>
      <c r="O1079" s="2"/>
      <c r="P1079" s="2"/>
    </row>
    <row r="1080" ht="18.0" hidden="1" customHeight="1">
      <c r="A1080" s="1"/>
      <c r="B1080" s="3"/>
      <c r="C1080" s="4">
        <v>43445.0</v>
      </c>
      <c r="D1080" s="2" t="s">
        <v>1275</v>
      </c>
      <c r="E1080" s="2"/>
      <c r="F1080" s="3" t="s">
        <v>161</v>
      </c>
      <c r="G1080" s="2" t="s">
        <v>456</v>
      </c>
      <c r="H1080" s="2" t="s">
        <v>598</v>
      </c>
      <c r="I1080" s="3">
        <v>20.0</v>
      </c>
      <c r="J1080" s="3"/>
      <c r="K1080" s="5"/>
      <c r="L1080" s="6" t="str">
        <f>IF(D1080&lt;&gt;"",VLOOKUP(H1080,TABLEITEM,2,FALSE),"")</f>
        <v>PART</v>
      </c>
      <c r="M1080" s="6" t="str">
        <f>IF(D1080&lt;&gt;"",VLOOKUP(H1080,TABLEITEM,3,FALSE),"")</f>
        <v>ฝาข้าง-ฝาหลัง 2075x470</v>
      </c>
      <c r="N1080" s="7">
        <f>INSTOCK!$I1080*INSTOCK!$K1080</f>
        <v>0</v>
      </c>
      <c r="O1080" s="2"/>
      <c r="P1080" s="2"/>
    </row>
    <row r="1081" ht="18.0" hidden="1" customHeight="1">
      <c r="A1081" s="1"/>
      <c r="B1081" s="3"/>
      <c r="C1081" s="4">
        <v>43445.0</v>
      </c>
      <c r="D1081" s="2" t="s">
        <v>1123</v>
      </c>
      <c r="E1081" s="2"/>
      <c r="F1081" s="3" t="s">
        <v>161</v>
      </c>
      <c r="G1081" s="2" t="s">
        <v>456</v>
      </c>
      <c r="H1081" s="2" t="s">
        <v>1124</v>
      </c>
      <c r="I1081" s="3">
        <v>18.0</v>
      </c>
      <c r="J1081" s="3"/>
      <c r="K1081" s="5"/>
      <c r="L1081" s="6" t="str">
        <f>IF(D1081&lt;&gt;"",VLOOKUP(H1081,TABLEITEM,2,FALSE),"")</f>
        <v>PART</v>
      </c>
      <c r="M1081" s="6" t="str">
        <f>IF(D1081&lt;&gt;"",VLOOKUP(H1081,TABLEITEM,3,FALSE),"")</f>
        <v>ฝารูเปเปอร์1901x797เกล็ด</v>
      </c>
      <c r="N1081" s="7">
        <f>INSTOCK!$I1081*INSTOCK!$K1081</f>
        <v>0</v>
      </c>
      <c r="O1081" s="2"/>
      <c r="P1081" s="2"/>
    </row>
    <row r="1082" ht="18.0" hidden="1" customHeight="1">
      <c r="A1082" s="1"/>
      <c r="B1082" s="3"/>
      <c r="C1082" s="4">
        <v>43446.0</v>
      </c>
      <c r="D1082" s="2" t="s">
        <v>1277</v>
      </c>
      <c r="E1082" s="2"/>
      <c r="F1082" s="3" t="s">
        <v>161</v>
      </c>
      <c r="G1082" s="2" t="s">
        <v>456</v>
      </c>
      <c r="H1082" s="2" t="s">
        <v>461</v>
      </c>
      <c r="I1082" s="3">
        <v>19.0</v>
      </c>
      <c r="J1082" s="3"/>
      <c r="K1082" s="5"/>
      <c r="L1082" s="6" t="str">
        <f>IF(D1082&lt;&gt;"",VLOOKUP(H1082,TABLEITEM,2,FALSE),"")</f>
        <v>PART</v>
      </c>
      <c r="M1082" s="6" t="str">
        <f>IF(D1082&lt;&gt;"",VLOOKUP(H1082,TABLEITEM,3,FALSE),"")</f>
        <v>ฝารูเปเปอร์ 2101x797เกล็ด</v>
      </c>
      <c r="N1082" s="7">
        <f>INSTOCK!$I1082*INSTOCK!$K1082</f>
        <v>0</v>
      </c>
      <c r="O1082" s="2"/>
      <c r="P1082" s="2"/>
    </row>
    <row r="1083" ht="18.0" hidden="1" customHeight="1">
      <c r="A1083" s="1"/>
      <c r="B1083" s="3"/>
      <c r="C1083" s="4">
        <v>43446.0</v>
      </c>
      <c r="D1083" s="2" t="s">
        <v>1277</v>
      </c>
      <c r="E1083" s="2"/>
      <c r="F1083" s="3" t="s">
        <v>161</v>
      </c>
      <c r="G1083" s="2" t="s">
        <v>456</v>
      </c>
      <c r="H1083" s="2" t="s">
        <v>462</v>
      </c>
      <c r="I1083" s="3">
        <v>19.0</v>
      </c>
      <c r="J1083" s="3"/>
      <c r="K1083" s="5"/>
      <c r="L1083" s="6" t="str">
        <f>IF(D1083&lt;&gt;"",VLOOKUP(H1083,TABLEITEM,2,FALSE),"")</f>
        <v>PART</v>
      </c>
      <c r="M1083" s="6" t="str">
        <f>IF(D1083&lt;&gt;"",VLOOKUP(H1083,TABLEITEM,3,FALSE),"")</f>
        <v>ฝารูเปเปอร์ 2101x797เรียบ</v>
      </c>
      <c r="N1083" s="7">
        <f>INSTOCK!$I1083*INSTOCK!$K1083</f>
        <v>0</v>
      </c>
      <c r="O1083" s="2"/>
      <c r="P1083" s="2"/>
    </row>
    <row r="1084" ht="18.0" hidden="1" customHeight="1">
      <c r="A1084" s="1"/>
      <c r="B1084" s="3"/>
      <c r="C1084" s="4">
        <v>43446.0</v>
      </c>
      <c r="D1084" s="2" t="s">
        <v>1275</v>
      </c>
      <c r="E1084" s="2"/>
      <c r="F1084" s="3" t="s">
        <v>161</v>
      </c>
      <c r="G1084" s="2" t="s">
        <v>456</v>
      </c>
      <c r="H1084" s="2" t="s">
        <v>479</v>
      </c>
      <c r="I1084" s="3">
        <v>30.0</v>
      </c>
      <c r="J1084" s="3"/>
      <c r="K1084" s="5"/>
      <c r="L1084" s="6" t="str">
        <f>IF(D1084&lt;&gt;"",VLOOKUP(H1084,TABLEITEM,2,FALSE),"")</f>
        <v>PART</v>
      </c>
      <c r="M1084" s="6" t="str">
        <f>IF(D1084&lt;&gt;"",VLOOKUP(H1084,TABLEITEM,3,FALSE),"")</f>
        <v>ฝาข้าง-ฝาหลัง 2075x570</v>
      </c>
      <c r="N1084" s="7">
        <f>INSTOCK!$I1084*INSTOCK!$K1084</f>
        <v>0</v>
      </c>
      <c r="O1084" s="2"/>
      <c r="P1084" s="2"/>
    </row>
    <row r="1085" ht="18.0" hidden="1" customHeight="1">
      <c r="A1085" s="1"/>
      <c r="B1085" s="3"/>
      <c r="C1085" s="4">
        <v>43446.0</v>
      </c>
      <c r="D1085" s="2" t="s">
        <v>711</v>
      </c>
      <c r="E1085" s="2"/>
      <c r="F1085" s="3" t="s">
        <v>161</v>
      </c>
      <c r="G1085" s="2" t="s">
        <v>456</v>
      </c>
      <c r="H1085" s="2" t="s">
        <v>501</v>
      </c>
      <c r="I1085" s="3">
        <v>120.0</v>
      </c>
      <c r="J1085" s="3"/>
      <c r="K1085" s="5"/>
      <c r="L1085" s="6" t="str">
        <f>IF(D1085&lt;&gt;"",VLOOKUP(H1085,TABLEITEM,2,FALSE),"")</f>
        <v>PART</v>
      </c>
      <c r="M1085" s="6" t="str">
        <f>IF(D1085&lt;&gt;"",VLOOKUP(H1085,TABLEITEM,3,FALSE),"")</f>
        <v>คานฝาหน้า 50x22x270</v>
      </c>
      <c r="N1085" s="7">
        <f>INSTOCK!$I1085*INSTOCK!$K1085</f>
        <v>0</v>
      </c>
      <c r="O1085" s="2"/>
      <c r="P1085" s="2"/>
    </row>
    <row r="1086" ht="18.0" hidden="1" customHeight="1">
      <c r="A1086" s="1"/>
      <c r="B1086" s="3"/>
      <c r="C1086" s="4">
        <v>43446.0</v>
      </c>
      <c r="D1086" s="2" t="s">
        <v>711</v>
      </c>
      <c r="E1086" s="2"/>
      <c r="F1086" s="3" t="s">
        <v>161</v>
      </c>
      <c r="G1086" s="2" t="s">
        <v>456</v>
      </c>
      <c r="H1086" s="2" t="s">
        <v>596</v>
      </c>
      <c r="I1086" s="3">
        <v>190.0</v>
      </c>
      <c r="J1086" s="3"/>
      <c r="K1086" s="5"/>
      <c r="L1086" s="6" t="str">
        <f>IF(D1086&lt;&gt;"",VLOOKUP(H1086,TABLEITEM,2,FALSE),"")</f>
        <v>PART</v>
      </c>
      <c r="M1086" s="6" t="str">
        <f>IF(D1086&lt;&gt;"",VLOOKUP(H1086,TABLEITEM,3,FALSE),"")</f>
        <v>คานฝาหน้า 50x22x620</v>
      </c>
      <c r="N1086" s="7">
        <f>INSTOCK!$I1086*INSTOCK!$K1086</f>
        <v>0</v>
      </c>
      <c r="O1086" s="2"/>
      <c r="P1086" s="2"/>
    </row>
    <row r="1087" ht="18.0" hidden="1" customHeight="1">
      <c r="A1087" s="1"/>
      <c r="B1087" s="3"/>
      <c r="C1087" s="4">
        <v>43446.0</v>
      </c>
      <c r="D1087" s="2" t="s">
        <v>711</v>
      </c>
      <c r="E1087" s="2"/>
      <c r="F1087" s="3" t="s">
        <v>161</v>
      </c>
      <c r="G1087" s="2" t="s">
        <v>456</v>
      </c>
      <c r="H1087" s="2" t="s">
        <v>712</v>
      </c>
      <c r="I1087" s="3">
        <v>97.0</v>
      </c>
      <c r="J1087" s="3"/>
      <c r="K1087" s="5"/>
      <c r="L1087" s="6" t="str">
        <f>IF(D1087&lt;&gt;"",VLOOKUP(H1087,TABLEITEM,2,FALSE),"")</f>
        <v>PART</v>
      </c>
      <c r="M1087" s="6" t="str">
        <f>IF(D1087&lt;&gt;"",VLOOKUP(H1087,TABLEITEM,3,FALSE),"")</f>
        <v>คานฝาหน้า 50x22x920</v>
      </c>
      <c r="N1087" s="7">
        <f>INSTOCK!$I1087*INSTOCK!$K1087</f>
        <v>0</v>
      </c>
      <c r="O1087" s="2"/>
      <c r="P1087" s="2"/>
    </row>
    <row r="1088" ht="18.0" hidden="1" customHeight="1">
      <c r="A1088" s="1"/>
      <c r="B1088" s="3"/>
      <c r="C1088" s="4">
        <v>43446.0</v>
      </c>
      <c r="D1088" s="2" t="s">
        <v>1088</v>
      </c>
      <c r="E1088" s="2"/>
      <c r="F1088" s="3" t="s">
        <v>161</v>
      </c>
      <c r="G1088" s="2" t="s">
        <v>456</v>
      </c>
      <c r="H1088" s="2" t="s">
        <v>472</v>
      </c>
      <c r="I1088" s="3">
        <v>106.0</v>
      </c>
      <c r="J1088" s="3"/>
      <c r="K1088" s="5"/>
      <c r="L1088" s="6" t="str">
        <f>IF(D1088&lt;&gt;"",VLOOKUP(H1088,TABLEITEM,2,FALSE),"")</f>
        <v>PART</v>
      </c>
      <c r="M1088" s="6" t="str">
        <f>IF(D1088&lt;&gt;"",VLOOKUP(H1088,TABLEITEM,3,FALSE),"")</f>
        <v>คานต่อโครง3mm 68x45x420</v>
      </c>
      <c r="N1088" s="7">
        <f>INSTOCK!$I1088*INSTOCK!$K1088</f>
        <v>0</v>
      </c>
      <c r="O1088" s="2"/>
      <c r="P1088" s="2"/>
    </row>
    <row r="1089" ht="18.0" hidden="1" customHeight="1">
      <c r="A1089" s="1"/>
      <c r="B1089" s="3"/>
      <c r="C1089" s="4">
        <v>43441.0</v>
      </c>
      <c r="D1089" s="2" t="s">
        <v>1278</v>
      </c>
      <c r="E1089" s="2">
        <v>6.112001609E9</v>
      </c>
      <c r="F1089" s="3" t="s">
        <v>1279</v>
      </c>
      <c r="G1089" s="2" t="s">
        <v>733</v>
      </c>
      <c r="H1089" s="2" t="s">
        <v>1122</v>
      </c>
      <c r="I1089" s="3">
        <v>1.0</v>
      </c>
      <c r="J1089" s="3"/>
      <c r="K1089" s="5">
        <v>38.0</v>
      </c>
      <c r="L1089" s="6" t="str">
        <f>IF(D1089&lt;&gt;"",VLOOKUP(H1089,TABLEITEM,2,FALSE),"")</f>
        <v>MAT GL</v>
      </c>
      <c r="M1089" s="6" t="str">
        <f>IF(D1089&lt;&gt;"",VLOOKUP(H1089,TABLEITEM,3,FALSE),"")</f>
        <v>กระจก128x308T3.0</v>
      </c>
      <c r="N1089" s="7">
        <f>INSTOCK!$I1089*INSTOCK!$K1089</f>
        <v>38</v>
      </c>
      <c r="O1089" s="2" t="s">
        <v>700</v>
      </c>
      <c r="P1089" s="2"/>
    </row>
    <row r="1090" ht="18.0" hidden="1" customHeight="1">
      <c r="A1090" s="1"/>
      <c r="B1090" s="3"/>
      <c r="C1090" s="4">
        <v>43442.0</v>
      </c>
      <c r="D1090" s="2" t="s">
        <v>1278</v>
      </c>
      <c r="E1090" s="2">
        <v>6.112001609E9</v>
      </c>
      <c r="F1090" s="3" t="s">
        <v>1280</v>
      </c>
      <c r="G1090" s="2" t="s">
        <v>733</v>
      </c>
      <c r="H1090" s="2" t="s">
        <v>1122</v>
      </c>
      <c r="I1090" s="3">
        <v>1.0</v>
      </c>
      <c r="J1090" s="3"/>
      <c r="K1090" s="5">
        <v>38.0</v>
      </c>
      <c r="L1090" s="6" t="str">
        <f>IF(D1090&lt;&gt;"",VLOOKUP(H1090,TABLEITEM,2,FALSE),"")</f>
        <v>MAT GL</v>
      </c>
      <c r="M1090" s="6" t="str">
        <f>IF(D1090&lt;&gt;"",VLOOKUP(H1090,TABLEITEM,3,FALSE),"")</f>
        <v>กระจก128x308T3.0</v>
      </c>
      <c r="N1090" s="7">
        <f>INSTOCK!$I1090*INSTOCK!$K1090</f>
        <v>38</v>
      </c>
      <c r="O1090" s="2" t="s">
        <v>700</v>
      </c>
      <c r="P1090" s="2"/>
    </row>
    <row r="1091" ht="18.0" hidden="1" customHeight="1">
      <c r="A1091" s="1"/>
      <c r="B1091" s="3"/>
      <c r="C1091" s="4">
        <v>43441.0</v>
      </c>
      <c r="D1091" s="2" t="s">
        <v>1278</v>
      </c>
      <c r="E1091" s="2">
        <v>6.112001609E9</v>
      </c>
      <c r="F1091" s="3" t="s">
        <v>1281</v>
      </c>
      <c r="G1091" s="2" t="s">
        <v>733</v>
      </c>
      <c r="H1091" s="2" t="s">
        <v>1202</v>
      </c>
      <c r="I1091" s="3">
        <v>12.0</v>
      </c>
      <c r="J1091" s="3"/>
      <c r="K1091" s="5">
        <v>25.0</v>
      </c>
      <c r="L1091" s="6" t="str">
        <f>IF(D1091&lt;&gt;"",VLOOKUP(H1091,TABLEITEM,2,FALSE),"")</f>
        <v>MAT GL</v>
      </c>
      <c r="M1091" s="6" t="str">
        <f>IF(D1091&lt;&gt;"",VLOOKUP(H1091,TABLEITEM,3,FALSE),"")</f>
        <v>กระจก 126x141 T3.0</v>
      </c>
      <c r="N1091" s="7">
        <f>INSTOCK!$I1091*INSTOCK!$K1091</f>
        <v>300</v>
      </c>
      <c r="O1091" s="2" t="s">
        <v>700</v>
      </c>
      <c r="P1091" s="2"/>
    </row>
    <row r="1092" ht="18.0" hidden="1" customHeight="1">
      <c r="A1092" s="1"/>
      <c r="B1092" s="3"/>
      <c r="C1092" s="4">
        <v>43441.0</v>
      </c>
      <c r="D1092" s="2" t="s">
        <v>1278</v>
      </c>
      <c r="E1092" s="2">
        <v>6.112001609E9</v>
      </c>
      <c r="F1092" s="3" t="s">
        <v>1281</v>
      </c>
      <c r="G1092" s="2" t="s">
        <v>733</v>
      </c>
      <c r="H1092" s="2" t="s">
        <v>1201</v>
      </c>
      <c r="I1092" s="3">
        <v>2.0</v>
      </c>
      <c r="J1092" s="3"/>
      <c r="K1092" s="5">
        <v>90.0</v>
      </c>
      <c r="L1092" s="6" t="str">
        <f>IF(D1092&lt;&gt;"",VLOOKUP(H1092,TABLEITEM,2,FALSE),"")</f>
        <v>MAT GL</v>
      </c>
      <c r="M1092" s="6" t="str">
        <f>IF(D1092&lt;&gt;"",VLOOKUP(H1092,TABLEITEM,3,FALSE),"")</f>
        <v>กระจก312x512T5.0</v>
      </c>
      <c r="N1092" s="7">
        <f>INSTOCK!$I1092*INSTOCK!$K1092</f>
        <v>180</v>
      </c>
      <c r="O1092" s="2" t="s">
        <v>700</v>
      </c>
      <c r="P1092" s="2"/>
    </row>
    <row r="1093" ht="18.0" hidden="1" customHeight="1">
      <c r="A1093" s="1"/>
      <c r="B1093" s="3"/>
      <c r="C1093" s="4">
        <v>43430.0</v>
      </c>
      <c r="D1093" s="2" t="s">
        <v>1278</v>
      </c>
      <c r="E1093" s="2">
        <v>6.112001609E9</v>
      </c>
      <c r="F1093" s="3" t="s">
        <v>1282</v>
      </c>
      <c r="G1093" s="2" t="s">
        <v>733</v>
      </c>
      <c r="H1093" s="2" t="s">
        <v>1283</v>
      </c>
      <c r="I1093" s="3">
        <v>1.0</v>
      </c>
      <c r="J1093" s="3"/>
      <c r="K1093" s="5">
        <v>135.0</v>
      </c>
      <c r="L1093" s="6" t="str">
        <f>IF(D1093&lt;&gt;"",VLOOKUP(H1093,TABLEITEM,2,FALSE),"")</f>
        <v>MAT GL</v>
      </c>
      <c r="M1093" s="6" t="str">
        <f>IF(D1093&lt;&gt;"",VLOOKUP(H1093,TABLEITEM,3,FALSE),"")</f>
        <v>กระจก 412x827 T5.0</v>
      </c>
      <c r="N1093" s="7">
        <f>INSTOCK!$I1093*INSTOCK!$K1093</f>
        <v>135</v>
      </c>
      <c r="O1093" s="2" t="s">
        <v>700</v>
      </c>
      <c r="P1093" s="2"/>
    </row>
    <row r="1094" ht="18.0" hidden="1" customHeight="1">
      <c r="A1094" s="1"/>
      <c r="B1094" s="3"/>
      <c r="C1094" s="4">
        <v>43438.0</v>
      </c>
      <c r="D1094" s="2" t="s">
        <v>1278</v>
      </c>
      <c r="E1094" s="2">
        <v>6.112001609E9</v>
      </c>
      <c r="F1094" s="3" t="s">
        <v>1284</v>
      </c>
      <c r="G1094" s="2" t="s">
        <v>733</v>
      </c>
      <c r="H1094" s="2" t="s">
        <v>1285</v>
      </c>
      <c r="I1094" s="3">
        <v>1.0</v>
      </c>
      <c r="J1094" s="3"/>
      <c r="K1094" s="5">
        <v>375.0</v>
      </c>
      <c r="L1094" s="6" t="str">
        <f>IF(D1094&lt;&gt;"",VLOOKUP(H1094,TABLEITEM,2,FALSE),"")</f>
        <v>MAT GL</v>
      </c>
      <c r="M1094" s="6" t="str">
        <f>IF(D1094&lt;&gt;"",VLOOKUP(H1094,TABLEITEM,3,FALSE),"")</f>
        <v>กระจก 645x1205 T5.0</v>
      </c>
      <c r="N1094" s="7">
        <f>INSTOCK!$I1094*INSTOCK!$K1094</f>
        <v>375</v>
      </c>
      <c r="O1094" s="2" t="s">
        <v>700</v>
      </c>
      <c r="P1094" s="2"/>
    </row>
    <row r="1095" ht="18.0" hidden="1" customHeight="1">
      <c r="A1095" s="1"/>
      <c r="B1095" s="3"/>
      <c r="C1095" s="4">
        <v>43437.0</v>
      </c>
      <c r="D1095" s="2" t="s">
        <v>1278</v>
      </c>
      <c r="E1095" s="2">
        <v>6.112001609E9</v>
      </c>
      <c r="F1095" s="3" t="s">
        <v>1286</v>
      </c>
      <c r="G1095" s="2" t="s">
        <v>733</v>
      </c>
      <c r="H1095" s="2" t="s">
        <v>1287</v>
      </c>
      <c r="I1095" s="3">
        <v>1.0</v>
      </c>
      <c r="J1095" s="3"/>
      <c r="K1095" s="5">
        <v>90.0</v>
      </c>
      <c r="L1095" s="6" t="str">
        <f>IF(D1095&lt;&gt;"",VLOOKUP(H1095,TABLEITEM,2,FALSE),"")</f>
        <v>MAT GL</v>
      </c>
      <c r="M1095" s="6" t="str">
        <f>IF(D1095&lt;&gt;"",VLOOKUP(H1095,TABLEITEM,3,FALSE),"")</f>
        <v>กระจก 362x412 T5.0</v>
      </c>
      <c r="N1095" s="7">
        <f>INSTOCK!$I1095*INSTOCK!$K1095</f>
        <v>90</v>
      </c>
      <c r="O1095" s="2" t="s">
        <v>700</v>
      </c>
      <c r="P1095" s="2"/>
    </row>
    <row r="1096" ht="18.0" hidden="1" customHeight="1">
      <c r="A1096" s="1"/>
      <c r="B1096" s="3"/>
      <c r="C1096" s="4">
        <v>43448.0</v>
      </c>
      <c r="D1096" s="2" t="s">
        <v>1288</v>
      </c>
      <c r="E1096" s="2"/>
      <c r="F1096" s="3" t="s">
        <v>161</v>
      </c>
      <c r="G1096" s="2" t="s">
        <v>456</v>
      </c>
      <c r="H1096" s="2" t="s">
        <v>481</v>
      </c>
      <c r="I1096" s="3">
        <v>15.0</v>
      </c>
      <c r="J1096" s="3"/>
      <c r="K1096" s="5"/>
      <c r="L1096" s="6" t="str">
        <f>IF(D1096&lt;&gt;"",VLOOKUP(H1096,TABLEITEM,2,FALSE),"")</f>
        <v>PART</v>
      </c>
      <c r="M1096" s="6" t="str">
        <f>IF(D1096&lt;&gt;"",VLOOKUP(H1096,TABLEITEM,3,FALSE),"")</f>
        <v>ฝาข้าง-ฝาหลัง 2075x870</v>
      </c>
      <c r="N1096" s="7">
        <f>INSTOCK!$I1096*INSTOCK!$K1096</f>
        <v>0</v>
      </c>
      <c r="O1096" s="2"/>
      <c r="P1096" s="2"/>
    </row>
    <row r="1097" ht="18.0" hidden="1" customHeight="1">
      <c r="A1097" s="1"/>
      <c r="B1097" s="3"/>
      <c r="C1097" s="4">
        <v>43448.0</v>
      </c>
      <c r="D1097" s="2" t="s">
        <v>1088</v>
      </c>
      <c r="E1097" s="2"/>
      <c r="F1097" s="3" t="s">
        <v>161</v>
      </c>
      <c r="G1097" s="2" t="s">
        <v>456</v>
      </c>
      <c r="H1097" s="2" t="s">
        <v>603</v>
      </c>
      <c r="I1097" s="3">
        <v>50.0</v>
      </c>
      <c r="J1097" s="3"/>
      <c r="K1097" s="5"/>
      <c r="L1097" s="6" t="str">
        <f>IF(D1097&lt;&gt;"",VLOOKUP(H1097,TABLEITEM,2,FALSE),"")</f>
        <v>PART</v>
      </c>
      <c r="M1097" s="6" t="str">
        <f>IF(D1097&lt;&gt;"",VLOOKUP(H1097,TABLEITEM,3,FALSE),"")</f>
        <v>คานต่อโครง3mm 68x45x260</v>
      </c>
      <c r="N1097" s="7">
        <f>INSTOCK!$I1097*INSTOCK!$K1097</f>
        <v>0</v>
      </c>
      <c r="O1097" s="2"/>
      <c r="P1097" s="2"/>
    </row>
    <row r="1098" ht="18.0" hidden="1" customHeight="1">
      <c r="A1098" s="1"/>
      <c r="B1098" s="3"/>
      <c r="C1098" s="4">
        <v>43448.0</v>
      </c>
      <c r="D1098" s="2" t="s">
        <v>1088</v>
      </c>
      <c r="E1098" s="2"/>
      <c r="F1098" s="3" t="s">
        <v>161</v>
      </c>
      <c r="G1098" s="2" t="s">
        <v>456</v>
      </c>
      <c r="H1098" s="2" t="s">
        <v>472</v>
      </c>
      <c r="I1098" s="3">
        <v>47.0</v>
      </c>
      <c r="J1098" s="3"/>
      <c r="K1098" s="5"/>
      <c r="L1098" s="6" t="str">
        <f>IF(D1098&lt;&gt;"",VLOOKUP(H1098,TABLEITEM,2,FALSE),"")</f>
        <v>PART</v>
      </c>
      <c r="M1098" s="6" t="str">
        <f>IF(D1098&lt;&gt;"",VLOOKUP(H1098,TABLEITEM,3,FALSE),"")</f>
        <v>คานต่อโครง3mm 68x45x420</v>
      </c>
      <c r="N1098" s="7">
        <f>INSTOCK!$I1098*INSTOCK!$K1098</f>
        <v>0</v>
      </c>
      <c r="O1098" s="2"/>
      <c r="P1098" s="2"/>
    </row>
    <row r="1099" ht="18.0" hidden="1" customHeight="1">
      <c r="A1099" s="1"/>
      <c r="B1099" s="3"/>
      <c r="C1099" s="4">
        <v>43448.0</v>
      </c>
      <c r="D1099" s="2" t="s">
        <v>1088</v>
      </c>
      <c r="E1099" s="2"/>
      <c r="F1099" s="3" t="s">
        <v>161</v>
      </c>
      <c r="G1099" s="2" t="s">
        <v>456</v>
      </c>
      <c r="H1099" s="2" t="s">
        <v>459</v>
      </c>
      <c r="I1099" s="3">
        <v>55.0</v>
      </c>
      <c r="J1099" s="3"/>
      <c r="K1099" s="5"/>
      <c r="L1099" s="6" t="str">
        <f>IF(D1099&lt;&gt;"",VLOOKUP(H1099,TABLEITEM,2,FALSE),"")</f>
        <v>PART</v>
      </c>
      <c r="M1099" s="6" t="str">
        <f>IF(D1099&lt;&gt;"",VLOOKUP(H1099,TABLEITEM,3,FALSE),"")</f>
        <v>คานต่อโครง3mm 68x45x520</v>
      </c>
      <c r="N1099" s="7">
        <f>INSTOCK!$I1099*INSTOCK!$K1099</f>
        <v>0</v>
      </c>
      <c r="O1099" s="2"/>
      <c r="P1099" s="2"/>
    </row>
    <row r="1100" ht="18.0" hidden="1" customHeight="1">
      <c r="A1100" s="1"/>
      <c r="B1100" s="3"/>
      <c r="C1100" s="4">
        <v>43448.0</v>
      </c>
      <c r="D1100" s="2" t="s">
        <v>1088</v>
      </c>
      <c r="E1100" s="2"/>
      <c r="F1100" s="3" t="s">
        <v>161</v>
      </c>
      <c r="G1100" s="2" t="s">
        <v>456</v>
      </c>
      <c r="H1100" s="2" t="s">
        <v>605</v>
      </c>
      <c r="I1100" s="3">
        <v>53.0</v>
      </c>
      <c r="J1100" s="3"/>
      <c r="K1100" s="5"/>
      <c r="L1100" s="6" t="str">
        <f>IF(D1100&lt;&gt;"",VLOOKUP(H1100,TABLEITEM,2,FALSE),"")</f>
        <v>PART</v>
      </c>
      <c r="M1100" s="6" t="str">
        <f>IF(D1100&lt;&gt;"",VLOOKUP(H1100,TABLEITEM,3,FALSE),"")</f>
        <v>คานต่อโครง 80x45x3mmx260</v>
      </c>
      <c r="N1100" s="7">
        <f>INSTOCK!$I1100*INSTOCK!$K1100</f>
        <v>0</v>
      </c>
      <c r="O1100" s="2"/>
      <c r="P1100" s="2"/>
    </row>
    <row r="1101" ht="18.0" hidden="1" customHeight="1">
      <c r="A1101" s="1"/>
      <c r="B1101" s="3"/>
      <c r="C1101" s="4">
        <v>43448.0</v>
      </c>
      <c r="D1101" s="2" t="s">
        <v>1088</v>
      </c>
      <c r="E1101" s="2"/>
      <c r="F1101" s="3" t="s">
        <v>161</v>
      </c>
      <c r="G1101" s="2" t="s">
        <v>456</v>
      </c>
      <c r="H1101" s="2" t="s">
        <v>464</v>
      </c>
      <c r="I1101" s="3">
        <v>50.0</v>
      </c>
      <c r="J1101" s="3"/>
      <c r="K1101" s="5"/>
      <c r="L1101" s="6" t="str">
        <f>IF(D1101&lt;&gt;"",VLOOKUP(H1101,TABLEITEM,2,FALSE),"")</f>
        <v>PART</v>
      </c>
      <c r="M1101" s="6" t="str">
        <f>IF(D1101&lt;&gt;"",VLOOKUP(H1101,TABLEITEM,3,FALSE),"")</f>
        <v>คานต่อโครง 80x45x3mmx420</v>
      </c>
      <c r="N1101" s="7">
        <f>INSTOCK!$I1101*INSTOCK!$K1101</f>
        <v>0</v>
      </c>
      <c r="O1101" s="2"/>
      <c r="P1101" s="2"/>
    </row>
    <row r="1102" ht="18.0" hidden="1" customHeight="1">
      <c r="A1102" s="1"/>
      <c r="B1102" s="3"/>
      <c r="C1102" s="4">
        <v>43448.0</v>
      </c>
      <c r="D1102" s="2" t="s">
        <v>1088</v>
      </c>
      <c r="E1102" s="2"/>
      <c r="F1102" s="3" t="s">
        <v>161</v>
      </c>
      <c r="G1102" s="2" t="s">
        <v>456</v>
      </c>
      <c r="H1102" s="2" t="s">
        <v>548</v>
      </c>
      <c r="I1102" s="3">
        <v>153.0</v>
      </c>
      <c r="J1102" s="3"/>
      <c r="K1102" s="5"/>
      <c r="L1102" s="6" t="str">
        <f>IF(D1102&lt;&gt;"",VLOOKUP(H1102,TABLEITEM,2,FALSE),"")</f>
        <v>PART</v>
      </c>
      <c r="M1102" s="6" t="str">
        <f>IF(D1102&lt;&gt;"",VLOOKUP(H1102,TABLEITEM,3,FALSE),"")</f>
        <v>คานต่อโครง 80x45x3mmx520</v>
      </c>
      <c r="N1102" s="7">
        <f>INSTOCK!$I1102*INSTOCK!$K1102</f>
        <v>0</v>
      </c>
      <c r="O1102" s="2"/>
      <c r="P1102" s="2"/>
    </row>
    <row r="1103" ht="18.0" hidden="1" customHeight="1">
      <c r="A1103" s="1"/>
      <c r="B1103" s="3"/>
      <c r="C1103" s="4">
        <v>43449.0</v>
      </c>
      <c r="D1103" s="2" t="s">
        <v>658</v>
      </c>
      <c r="E1103" s="2"/>
      <c r="F1103" s="3" t="s">
        <v>161</v>
      </c>
      <c r="G1103" s="2" t="s">
        <v>456</v>
      </c>
      <c r="H1103" s="2" t="s">
        <v>659</v>
      </c>
      <c r="I1103" s="3">
        <v>58.0</v>
      </c>
      <c r="J1103" s="3"/>
      <c r="K1103" s="5"/>
      <c r="L1103" s="6" t="str">
        <f>IF(D1103&lt;&gt;"",VLOOKUP(H1103,TABLEITEM,2,FALSE),"")</f>
        <v>PART</v>
      </c>
      <c r="M1103" s="6" t="str">
        <f>IF(D1103&lt;&gt;"",VLOOKUP(H1103,TABLEITEM,3,FALSE),"")</f>
        <v>คานรับลูกถ้วย 50x40x420</v>
      </c>
      <c r="N1103" s="7">
        <f>INSTOCK!$I1103*INSTOCK!$K1103</f>
        <v>0</v>
      </c>
      <c r="O1103" s="2"/>
      <c r="P1103" s="2"/>
    </row>
    <row r="1104" ht="18.0" hidden="1" customHeight="1">
      <c r="A1104" s="1"/>
      <c r="B1104" s="3"/>
      <c r="C1104" s="4">
        <v>43449.0</v>
      </c>
      <c r="D1104" s="2" t="s">
        <v>669</v>
      </c>
      <c r="E1104" s="2"/>
      <c r="F1104" s="3" t="s">
        <v>161</v>
      </c>
      <c r="G1104" s="2" t="s">
        <v>456</v>
      </c>
      <c r="H1104" s="2" t="s">
        <v>670</v>
      </c>
      <c r="I1104" s="3">
        <v>34.0</v>
      </c>
      <c r="J1104" s="3"/>
      <c r="K1104" s="5"/>
      <c r="L1104" s="6" t="str">
        <f>IF(D1104&lt;&gt;"",VLOOKUP(H1104,TABLEITEM,2,FALSE),"")</f>
        <v>PART</v>
      </c>
      <c r="M1104" s="6" t="str">
        <f>IF(D1104&lt;&gt;"",VLOOKUP(H1104,TABLEITEM,3,FALSE),"")</f>
        <v>ฉากรับเพลท 40x30x390</v>
      </c>
      <c r="N1104" s="7">
        <f>INSTOCK!$I1104*INSTOCK!$K1104</f>
        <v>0</v>
      </c>
      <c r="O1104" s="2"/>
      <c r="P1104" s="2"/>
    </row>
    <row r="1105" ht="18.0" hidden="1" customHeight="1">
      <c r="A1105" s="1"/>
      <c r="B1105" s="3"/>
      <c r="C1105" s="4">
        <v>43449.0</v>
      </c>
      <c r="D1105" s="2" t="s">
        <v>628</v>
      </c>
      <c r="E1105" s="2"/>
      <c r="F1105" s="3" t="s">
        <v>161</v>
      </c>
      <c r="G1105" s="2" t="s">
        <v>456</v>
      </c>
      <c r="H1105" s="2" t="s">
        <v>533</v>
      </c>
      <c r="I1105" s="3">
        <v>28.0</v>
      </c>
      <c r="J1105" s="3"/>
      <c r="K1105" s="5"/>
      <c r="L1105" s="6" t="str">
        <f>IF(D1105&lt;&gt;"",VLOOKUP(H1105,TABLEITEM,2,FALSE),"")</f>
        <v>PART</v>
      </c>
      <c r="M1105" s="6" t="str">
        <f>IF(D1105&lt;&gt;"",VLOOKUP(H1105,TABLEITEM,3,FALSE),"")</f>
        <v>ตัวแซดยึดแผ่นพื้น 60x495</v>
      </c>
      <c r="N1105" s="7">
        <f>INSTOCK!$I1105*INSTOCK!$K1105</f>
        <v>0</v>
      </c>
      <c r="O1105" s="2"/>
      <c r="P1105" s="2"/>
    </row>
    <row r="1106" ht="18.0" hidden="1" customHeight="1">
      <c r="A1106" s="1"/>
      <c r="B1106" s="3"/>
      <c r="C1106" s="4">
        <v>43449.0</v>
      </c>
      <c r="D1106" s="2" t="s">
        <v>628</v>
      </c>
      <c r="E1106" s="2"/>
      <c r="F1106" s="3" t="s">
        <v>161</v>
      </c>
      <c r="G1106" s="2" t="s">
        <v>456</v>
      </c>
      <c r="H1106" s="2" t="s">
        <v>534</v>
      </c>
      <c r="I1106" s="3">
        <v>112.0</v>
      </c>
      <c r="J1106" s="3"/>
      <c r="K1106" s="5"/>
      <c r="L1106" s="6" t="str">
        <f>IF(D1106&lt;&gt;"",VLOOKUP(H1106,TABLEITEM,2,FALSE),"")</f>
        <v>PART</v>
      </c>
      <c r="M1106" s="6" t="str">
        <f>IF(D1106&lt;&gt;"",VLOOKUP(H1106,TABLEITEM,3,FALSE),"")</f>
        <v>ตัวแซดยึดแผ่นพื้น 60x695</v>
      </c>
      <c r="N1106" s="7">
        <f>INSTOCK!$I1106*INSTOCK!$K1106</f>
        <v>0</v>
      </c>
      <c r="O1106" s="2"/>
      <c r="P1106" s="2"/>
    </row>
    <row r="1107" ht="18.0" hidden="1" customHeight="1">
      <c r="A1107" s="1"/>
      <c r="B1107" s="3"/>
      <c r="C1107" s="4">
        <v>43449.0</v>
      </c>
      <c r="D1107" s="2" t="s">
        <v>1188</v>
      </c>
      <c r="E1107" s="2"/>
      <c r="F1107" s="3" t="s">
        <v>161</v>
      </c>
      <c r="G1107" s="2" t="s">
        <v>456</v>
      </c>
      <c r="H1107" s="2" t="s">
        <v>511</v>
      </c>
      <c r="I1107" s="3">
        <v>112.0</v>
      </c>
      <c r="J1107" s="3"/>
      <c r="K1107" s="5"/>
      <c r="L1107" s="6" t="str">
        <f>IF(D1107&lt;&gt;"",VLOOKUP(H1107,TABLEITEM,2,FALSE),"")</f>
        <v>PART</v>
      </c>
      <c r="M1107" s="6" t="str">
        <f>IF(D1107&lt;&gt;"",VLOOKUP(H1107,TABLEITEM,3,FALSE),"")</f>
        <v>เสาเสริม 40x50x1788</v>
      </c>
      <c r="N1107" s="7">
        <f>INSTOCK!$I1107*INSTOCK!$K1107</f>
        <v>0</v>
      </c>
      <c r="O1107" s="2"/>
      <c r="P1107" s="2"/>
    </row>
    <row r="1108" ht="18.0" hidden="1" customHeight="1">
      <c r="A1108" s="1"/>
      <c r="B1108" s="3"/>
      <c r="C1108" s="4">
        <v>43449.0</v>
      </c>
      <c r="D1108" s="2" t="s">
        <v>1188</v>
      </c>
      <c r="E1108" s="2"/>
      <c r="F1108" s="3" t="s">
        <v>161</v>
      </c>
      <c r="G1108" s="2" t="s">
        <v>456</v>
      </c>
      <c r="H1108" s="2" t="s">
        <v>491</v>
      </c>
      <c r="I1108" s="3">
        <v>14.0</v>
      </c>
      <c r="J1108" s="3"/>
      <c r="K1108" s="5"/>
      <c r="L1108" s="6" t="str">
        <f>IF(D1108&lt;&gt;"",VLOOKUP(H1108,TABLEITEM,2,FALSE),"")</f>
        <v>PART</v>
      </c>
      <c r="M1108" s="6" t="str">
        <f>IF(D1108&lt;&gt;"",VLOOKUP(H1108,TABLEITEM,3,FALSE),"")</f>
        <v>เสาเสริม 40x50x1988</v>
      </c>
      <c r="N1108" s="7">
        <f>INSTOCK!$I1108*INSTOCK!$K1108</f>
        <v>0</v>
      </c>
      <c r="O1108" s="2"/>
      <c r="P1108" s="2"/>
    </row>
    <row r="1109" ht="18.0" hidden="1" customHeight="1">
      <c r="A1109" s="1"/>
      <c r="B1109" s="3"/>
      <c r="C1109" s="4">
        <v>43449.0</v>
      </c>
      <c r="D1109" s="2" t="s">
        <v>645</v>
      </c>
      <c r="E1109" s="2"/>
      <c r="F1109" s="3" t="s">
        <v>161</v>
      </c>
      <c r="G1109" s="2" t="s">
        <v>456</v>
      </c>
      <c r="H1109" s="2" t="s">
        <v>1289</v>
      </c>
      <c r="I1109" s="3">
        <v>22.0</v>
      </c>
      <c r="J1109" s="3"/>
      <c r="K1109" s="5"/>
      <c r="L1109" s="6" t="str">
        <f>IF(D1109&lt;&gt;"",VLOOKUP(H1109,TABLEITEM,2,FALSE),"")</f>
        <v>PART</v>
      </c>
      <c r="M1109" s="6" t="str">
        <f>IF(D1109&lt;&gt;"",VLOOKUP(H1109,TABLEITEM,3,FALSE),"")</f>
        <v>คานเจ50x32x752</v>
      </c>
      <c r="N1109" s="7">
        <f>INSTOCK!$I1109*INSTOCK!$K1109</f>
        <v>0</v>
      </c>
      <c r="O1109" s="2"/>
      <c r="P1109" s="2"/>
    </row>
    <row r="1110" ht="18.0" hidden="1" customHeight="1">
      <c r="A1110" s="1"/>
      <c r="B1110" s="3"/>
      <c r="C1110" s="4">
        <v>43449.0</v>
      </c>
      <c r="D1110" s="2" t="s">
        <v>645</v>
      </c>
      <c r="E1110" s="2"/>
      <c r="F1110" s="3" t="s">
        <v>161</v>
      </c>
      <c r="G1110" s="2" t="s">
        <v>456</v>
      </c>
      <c r="H1110" s="2" t="s">
        <v>1290</v>
      </c>
      <c r="I1110" s="3">
        <v>21.0</v>
      </c>
      <c r="J1110" s="3"/>
      <c r="K1110" s="5"/>
      <c r="L1110" s="6" t="str">
        <f>IF(D1110&lt;&gt;"",VLOOKUP(H1110,TABLEITEM,2,FALSE),"")</f>
        <v>PART</v>
      </c>
      <c r="M1110" s="6" t="str">
        <f>IF(D1110&lt;&gt;"",VLOOKUP(H1110,TABLEITEM,3,FALSE),"")</f>
        <v>คานเจ50x32x852</v>
      </c>
      <c r="N1110" s="7">
        <f>INSTOCK!$I1110*INSTOCK!$K1110</f>
        <v>0</v>
      </c>
      <c r="O1110" s="2"/>
      <c r="P1110" s="2"/>
    </row>
    <row r="1111" ht="18.0" hidden="1" customHeight="1">
      <c r="A1111" s="1"/>
      <c r="B1111" s="3"/>
      <c r="C1111" s="4">
        <v>43449.0</v>
      </c>
      <c r="D1111" s="2" t="s">
        <v>645</v>
      </c>
      <c r="E1111" s="2"/>
      <c r="F1111" s="3" t="s">
        <v>161</v>
      </c>
      <c r="G1111" s="2" t="s">
        <v>456</v>
      </c>
      <c r="H1111" s="2" t="s">
        <v>1291</v>
      </c>
      <c r="I1111" s="3">
        <v>24.0</v>
      </c>
      <c r="J1111" s="3"/>
      <c r="K1111" s="5"/>
      <c r="L1111" s="6" t="str">
        <f>IF(D1111&lt;&gt;"",VLOOKUP(H1111,TABLEITEM,2,FALSE),"")</f>
        <v>PART</v>
      </c>
      <c r="M1111" s="6" t="str">
        <f>IF(D1111&lt;&gt;"",VLOOKUP(H1111,TABLEITEM,3,FALSE),"")</f>
        <v>คานเจ50x32x952</v>
      </c>
      <c r="N1111" s="7">
        <f>INSTOCK!$I1111*INSTOCK!$K1111</f>
        <v>0</v>
      </c>
      <c r="O1111" s="2"/>
      <c r="P1111" s="2"/>
    </row>
    <row r="1112" ht="18.0" hidden="1" customHeight="1">
      <c r="A1112" s="1"/>
      <c r="B1112" s="3"/>
      <c r="C1112" s="4">
        <v>43451.0</v>
      </c>
      <c r="D1112" s="2" t="s">
        <v>645</v>
      </c>
      <c r="E1112" s="2"/>
      <c r="F1112" s="3" t="s">
        <v>161</v>
      </c>
      <c r="G1112" s="2" t="s">
        <v>456</v>
      </c>
      <c r="H1112" s="2" t="s">
        <v>1292</v>
      </c>
      <c r="I1112" s="3">
        <v>22.0</v>
      </c>
      <c r="J1112" s="3"/>
      <c r="K1112" s="5"/>
      <c r="L1112" s="6" t="str">
        <f>IF(D1112&lt;&gt;"",VLOOKUP(H1112,TABLEITEM,2,FALSE),"")</f>
        <v>PART</v>
      </c>
      <c r="M1112" s="6" t="str">
        <f>IF(D1112&lt;&gt;"",VLOOKUP(H1112,TABLEITEM,3,FALSE),"")</f>
        <v>คานเจ 2รู 65x32x804</v>
      </c>
      <c r="N1112" s="7">
        <f>INSTOCK!$I1112*INSTOCK!$K1112</f>
        <v>0</v>
      </c>
      <c r="O1112" s="2"/>
      <c r="P1112" s="2"/>
    </row>
    <row r="1113" ht="18.0" hidden="1" customHeight="1">
      <c r="A1113" s="1"/>
      <c r="B1113" s="3"/>
      <c r="C1113" s="4">
        <v>43451.0</v>
      </c>
      <c r="D1113" s="2" t="s">
        <v>645</v>
      </c>
      <c r="E1113" s="2"/>
      <c r="F1113" s="3" t="s">
        <v>161</v>
      </c>
      <c r="G1113" s="2" t="s">
        <v>456</v>
      </c>
      <c r="H1113" s="2" t="s">
        <v>1293</v>
      </c>
      <c r="I1113" s="3">
        <v>21.0</v>
      </c>
      <c r="J1113" s="3"/>
      <c r="K1113" s="5"/>
      <c r="L1113" s="6" t="str">
        <f>IF(D1113&lt;&gt;"",VLOOKUP(H1113,TABLEITEM,2,FALSE),"")</f>
        <v>PART</v>
      </c>
      <c r="M1113" s="6" t="str">
        <f>IF(D1113&lt;&gt;"",VLOOKUP(H1113,TABLEITEM,3,FALSE),"")</f>
        <v>คานเจ 2รู 65x32x854</v>
      </c>
      <c r="N1113" s="7">
        <f>INSTOCK!$I1113*INSTOCK!$K1113</f>
        <v>0</v>
      </c>
      <c r="O1113" s="2"/>
      <c r="P1113" s="2"/>
    </row>
    <row r="1114" ht="18.0" hidden="1" customHeight="1">
      <c r="A1114" s="1"/>
      <c r="B1114" s="3"/>
      <c r="C1114" s="4">
        <v>43451.0</v>
      </c>
      <c r="D1114" s="2" t="s">
        <v>628</v>
      </c>
      <c r="E1114" s="2"/>
      <c r="F1114" s="3" t="s">
        <v>161</v>
      </c>
      <c r="G1114" s="2" t="s">
        <v>456</v>
      </c>
      <c r="H1114" s="2" t="s">
        <v>534</v>
      </c>
      <c r="I1114" s="3">
        <v>206.0</v>
      </c>
      <c r="J1114" s="3"/>
      <c r="K1114" s="5"/>
      <c r="L1114" s="6" t="str">
        <f>IF(D1114&lt;&gt;"",VLOOKUP(H1114,TABLEITEM,2,FALSE),"")</f>
        <v>PART</v>
      </c>
      <c r="M1114" s="6" t="str">
        <f>IF(D1114&lt;&gt;"",VLOOKUP(H1114,TABLEITEM,3,FALSE),"")</f>
        <v>ตัวแซดยึดแผ่นพื้น 60x695</v>
      </c>
      <c r="N1114" s="7">
        <f>INSTOCK!$I1114*INSTOCK!$K1114</f>
        <v>0</v>
      </c>
      <c r="O1114" s="2"/>
      <c r="P1114" s="2"/>
    </row>
    <row r="1115" ht="18.0" hidden="1" customHeight="1">
      <c r="A1115" s="1"/>
      <c r="B1115" s="3"/>
      <c r="C1115" s="4">
        <v>43451.0</v>
      </c>
      <c r="D1115" s="2" t="s">
        <v>640</v>
      </c>
      <c r="E1115" s="2"/>
      <c r="F1115" s="3" t="s">
        <v>161</v>
      </c>
      <c r="G1115" s="2" t="s">
        <v>456</v>
      </c>
      <c r="H1115" s="2" t="s">
        <v>1294</v>
      </c>
      <c r="I1115" s="3">
        <v>167.0</v>
      </c>
      <c r="J1115" s="3"/>
      <c r="K1115" s="5"/>
      <c r="L1115" s="6" t="str">
        <f>IF(D1115&lt;&gt;"",VLOOKUP(H1115,TABLEITEM,2,FALSE),"")</f>
        <v>PART</v>
      </c>
      <c r="M1115" s="6" t="str">
        <f>IF(D1115&lt;&gt;"",VLOOKUP(H1115,TABLEITEM,3,FALSE),"")</f>
        <v>คานเจ 45x32x354</v>
      </c>
      <c r="N1115" s="7">
        <f>INSTOCK!$I1115*INSTOCK!$K1115</f>
        <v>0</v>
      </c>
      <c r="O1115" s="2"/>
      <c r="P1115" s="2"/>
    </row>
    <row r="1116" ht="18.0" hidden="1" customHeight="1">
      <c r="A1116" s="1"/>
      <c r="B1116" s="3"/>
      <c r="C1116" s="4">
        <v>43451.0</v>
      </c>
      <c r="D1116" s="2" t="s">
        <v>1295</v>
      </c>
      <c r="E1116" s="2"/>
      <c r="F1116" s="3" t="s">
        <v>161</v>
      </c>
      <c r="G1116" s="2" t="s">
        <v>456</v>
      </c>
      <c r="H1116" s="2" t="s">
        <v>1296</v>
      </c>
      <c r="I1116" s="3">
        <v>100.0</v>
      </c>
      <c r="J1116" s="3"/>
      <c r="K1116" s="5"/>
      <c r="L1116" s="6" t="str">
        <f>IF(D1116&lt;&gt;"",VLOOKUP(H1116,TABLEITEM,2,FALSE),"")</f>
        <v>PART</v>
      </c>
      <c r="M1116" s="6" t="str">
        <f>IF(D1116&lt;&gt;"",VLOOKUP(H1116,TABLEITEM,3,FALSE),"")</f>
        <v>คานเจ 2รู 65x40x350</v>
      </c>
      <c r="N1116" s="7">
        <f>INSTOCK!$I1116*INSTOCK!$K1116</f>
        <v>0</v>
      </c>
      <c r="O1116" s="2"/>
      <c r="P1116" s="2"/>
    </row>
    <row r="1117" ht="18.0" hidden="1" customHeight="1">
      <c r="A1117" s="1"/>
      <c r="B1117" s="3"/>
      <c r="C1117" s="4">
        <v>43451.0</v>
      </c>
      <c r="D1117" s="2" t="s">
        <v>630</v>
      </c>
      <c r="E1117" s="2"/>
      <c r="F1117" s="3" t="s">
        <v>161</v>
      </c>
      <c r="G1117" s="2" t="s">
        <v>456</v>
      </c>
      <c r="H1117" s="2" t="s">
        <v>487</v>
      </c>
      <c r="I1117" s="3">
        <v>140.0</v>
      </c>
      <c r="J1117" s="3"/>
      <c r="K1117" s="5"/>
      <c r="L1117" s="6" t="str">
        <f>IF(D1117&lt;&gt;"",VLOOKUP(H1117,TABLEITEM,2,FALSE),"")</f>
        <v>PART</v>
      </c>
      <c r="M1117" s="6" t="str">
        <f>IF(D1117&lt;&gt;"",VLOOKUP(H1117,TABLEITEM,3,FALSE),"")</f>
        <v>กระเป๋าเอกสารรุ่น 316x224</v>
      </c>
      <c r="N1117" s="7">
        <f>INSTOCK!$I1117*INSTOCK!$K1117</f>
        <v>0</v>
      </c>
      <c r="O1117" s="2"/>
      <c r="P1117" s="2"/>
    </row>
    <row r="1118" ht="18.0" hidden="1" customHeight="1">
      <c r="A1118" s="1"/>
      <c r="B1118" s="3"/>
      <c r="C1118" s="4">
        <v>43451.0</v>
      </c>
      <c r="D1118" s="2" t="s">
        <v>685</v>
      </c>
      <c r="E1118" s="2"/>
      <c r="F1118" s="3" t="s">
        <v>161</v>
      </c>
      <c r="G1118" s="2" t="s">
        <v>456</v>
      </c>
      <c r="H1118" s="2" t="s">
        <v>556</v>
      </c>
      <c r="I1118" s="3">
        <v>33.0</v>
      </c>
      <c r="J1118" s="3"/>
      <c r="K1118" s="5"/>
      <c r="L1118" s="6" t="str">
        <f>IF(D1118&lt;&gt;"",VLOOKUP(H1118,TABLEITEM,2,FALSE),"")</f>
        <v>PART</v>
      </c>
      <c r="M1118" s="6" t="str">
        <f>IF(D1118&lt;&gt;"",VLOOKUP(H1118,TABLEITEM,3,FALSE),"")</f>
        <v>ชุดฝากันระเบิด 600x330</v>
      </c>
      <c r="N1118" s="7">
        <f>INSTOCK!$I1118*INSTOCK!$K1118</f>
        <v>0</v>
      </c>
      <c r="O1118" s="2"/>
      <c r="P1118" s="2"/>
    </row>
    <row r="1119" ht="18.0" hidden="1" customHeight="1">
      <c r="A1119" s="1"/>
      <c r="B1119" s="3"/>
      <c r="C1119" s="4">
        <v>43451.0</v>
      </c>
      <c r="D1119" s="2" t="s">
        <v>685</v>
      </c>
      <c r="E1119" s="2"/>
      <c r="F1119" s="3" t="s">
        <v>161</v>
      </c>
      <c r="G1119" s="2" t="s">
        <v>456</v>
      </c>
      <c r="H1119" s="2" t="s">
        <v>515</v>
      </c>
      <c r="I1119" s="3">
        <v>43.0</v>
      </c>
      <c r="J1119" s="3"/>
      <c r="K1119" s="5"/>
      <c r="L1119" s="6" t="str">
        <f>IF(D1119&lt;&gt;"",VLOOKUP(H1119,TABLEITEM,2,FALSE),"")</f>
        <v>PART</v>
      </c>
      <c r="M1119" s="6" t="str">
        <f>IF(D1119&lt;&gt;"",VLOOKUP(H1119,TABLEITEM,3,FALSE),"")</f>
        <v>ชุดฝากันระเบิด 600x500</v>
      </c>
      <c r="N1119" s="7">
        <f>INSTOCK!$I1119*INSTOCK!$K1119</f>
        <v>0</v>
      </c>
      <c r="O1119" s="2"/>
      <c r="P1119" s="2"/>
    </row>
    <row r="1120" ht="18.0" hidden="1" customHeight="1">
      <c r="A1120" s="1"/>
      <c r="B1120" s="3"/>
      <c r="C1120" s="4">
        <v>43451.0</v>
      </c>
      <c r="D1120" s="2" t="s">
        <v>1297</v>
      </c>
      <c r="E1120" s="2">
        <v>6.112001639E9</v>
      </c>
      <c r="F1120" s="3" t="s">
        <v>1298</v>
      </c>
      <c r="G1120" s="2" t="s">
        <v>240</v>
      </c>
      <c r="H1120" s="2" t="s">
        <v>62</v>
      </c>
      <c r="I1120" s="3">
        <v>30.0</v>
      </c>
      <c r="J1120" s="3"/>
      <c r="K1120" s="5">
        <v>2750.0</v>
      </c>
      <c r="L1120" s="6" t="str">
        <f>IF(D1120&lt;&gt;"",VLOOKUP(H1120,TABLEITEM,2,FALSE),"")</f>
        <v>MAT ST</v>
      </c>
      <c r="M1120" s="6" t="str">
        <f>IF(D1120&lt;&gt;"",VLOOKUP(H1120,TABLEITEM,3,FALSE),"")</f>
        <v>สแตนเลสแผ่น4'x8'T1.5</v>
      </c>
      <c r="N1120" s="7">
        <f>INSTOCK!$I1120*INSTOCK!$K1120</f>
        <v>82500</v>
      </c>
      <c r="O1120" s="2"/>
      <c r="P1120" s="2"/>
    </row>
    <row r="1121" ht="18.0" hidden="1" customHeight="1">
      <c r="A1121" s="1"/>
      <c r="B1121" s="3"/>
      <c r="C1121" s="4">
        <v>43447.0</v>
      </c>
      <c r="D1121" s="2" t="s">
        <v>1299</v>
      </c>
      <c r="E1121" s="2">
        <v>6.112001614E9</v>
      </c>
      <c r="F1121" s="3" t="s">
        <v>1300</v>
      </c>
      <c r="G1121" s="2" t="s">
        <v>146</v>
      </c>
      <c r="H1121" s="2" t="s">
        <v>100</v>
      </c>
      <c r="I1121" s="3">
        <v>12.0</v>
      </c>
      <c r="J1121" s="3" t="s">
        <v>78</v>
      </c>
      <c r="K1121" s="5">
        <v>153.3334</v>
      </c>
      <c r="L1121" s="6" t="str">
        <f>IF(D1121&lt;&gt;"",VLOOKUP(H1121,TABLEITEM,2,FALSE),"")</f>
        <v>MAT ST</v>
      </c>
      <c r="M1121" s="6" t="str">
        <f>IF(D1121&lt;&gt;"",VLOOKUP(H1121,TABLEITEM,3,FALSE),"")</f>
        <v>เหล็กกล่อง 4'' หนา2.3 มิล</v>
      </c>
      <c r="N1121" s="7">
        <f>INSTOCK!$I1121*INSTOCK!$K1121</f>
        <v>1840.0008</v>
      </c>
      <c r="O1121" s="2" t="s">
        <v>1301</v>
      </c>
      <c r="P1121" s="2"/>
    </row>
    <row r="1122" ht="18.0" hidden="1" customHeight="1">
      <c r="A1122" s="1"/>
      <c r="B1122" s="3"/>
      <c r="C1122" s="4">
        <v>43448.0</v>
      </c>
      <c r="D1122" s="2" t="s">
        <v>1302</v>
      </c>
      <c r="E1122" s="2">
        <v>6.112001622E9</v>
      </c>
      <c r="F1122" s="3" t="s">
        <v>1303</v>
      </c>
      <c r="G1122" s="2" t="s">
        <v>146</v>
      </c>
      <c r="H1122" s="2" t="s">
        <v>90</v>
      </c>
      <c r="I1122" s="3">
        <v>12.0</v>
      </c>
      <c r="J1122" s="3" t="s">
        <v>78</v>
      </c>
      <c r="K1122" s="5">
        <v>148.3334</v>
      </c>
      <c r="L1122" s="6" t="str">
        <f>IF(D1122&lt;&gt;"",VLOOKUP(H1122,TABLEITEM,2,FALSE),"")</f>
        <v>MAT ST</v>
      </c>
      <c r="M1122" s="6" t="str">
        <f>IF(D1122&lt;&gt;"",VLOOKUP(H1122,TABLEITEM,3,FALSE),"")</f>
        <v>เหล็กฉาก 3''หนา6 มิล</v>
      </c>
      <c r="N1122" s="7">
        <f>INSTOCK!$I1122*INSTOCK!$K1122</f>
        <v>1780.0008</v>
      </c>
      <c r="O1122" s="2" t="s">
        <v>1304</v>
      </c>
      <c r="P1122" s="2"/>
    </row>
    <row r="1123" ht="18.0" hidden="1" customHeight="1">
      <c r="A1123" s="1"/>
      <c r="B1123" s="3"/>
      <c r="C1123" s="4">
        <v>43453.0</v>
      </c>
      <c r="D1123" s="2" t="s">
        <v>583</v>
      </c>
      <c r="E1123" s="2"/>
      <c r="F1123" s="3" t="s">
        <v>161</v>
      </c>
      <c r="G1123" s="2" t="s">
        <v>456</v>
      </c>
      <c r="H1123" s="2" t="s">
        <v>584</v>
      </c>
      <c r="I1123" s="3">
        <v>40.0</v>
      </c>
      <c r="J1123" s="3"/>
      <c r="K1123" s="5"/>
      <c r="L1123" s="6" t="str">
        <f>IF(D1123&lt;&gt;"",VLOOKUP(H1123,TABLEITEM,2,FALSE),"")</f>
        <v>PART</v>
      </c>
      <c r="M1123" s="6" t="str">
        <f>IF(D1123&lt;&gt;"",VLOOKUP(H1123,TABLEITEM,3,FALSE),"")</f>
        <v>ฉากรับเพลท 40x30x1988</v>
      </c>
      <c r="N1123" s="7">
        <f>INSTOCK!$I1123*INSTOCK!$K1123</f>
        <v>0</v>
      </c>
      <c r="O1123" s="2"/>
      <c r="P1123" s="2"/>
    </row>
    <row r="1124" ht="18.0" hidden="1" customHeight="1">
      <c r="A1124" s="1"/>
      <c r="B1124" s="3"/>
      <c r="C1124" s="4">
        <v>43453.0</v>
      </c>
      <c r="D1124" s="2" t="s">
        <v>669</v>
      </c>
      <c r="E1124" s="2"/>
      <c r="F1124" s="3" t="s">
        <v>161</v>
      </c>
      <c r="G1124" s="2" t="s">
        <v>456</v>
      </c>
      <c r="H1124" s="2" t="s">
        <v>671</v>
      </c>
      <c r="I1124" s="3">
        <v>113.0</v>
      </c>
      <c r="J1124" s="3"/>
      <c r="K1124" s="5"/>
      <c r="L1124" s="6" t="str">
        <f>IF(D1124&lt;&gt;"",VLOOKUP(H1124,TABLEITEM,2,FALSE),"")</f>
        <v>PART</v>
      </c>
      <c r="M1124" s="6" t="str">
        <f>IF(D1124&lt;&gt;"",VLOOKUP(H1124,TABLEITEM,3,FALSE),"")</f>
        <v>ฉากรับเพลท 40x30x790</v>
      </c>
      <c r="N1124" s="7">
        <f>INSTOCK!$I1124*INSTOCK!$K1124</f>
        <v>0</v>
      </c>
      <c r="O1124" s="2"/>
      <c r="P1124" s="2"/>
    </row>
    <row r="1125" ht="18.0" hidden="1" customHeight="1">
      <c r="A1125" s="1"/>
      <c r="B1125" s="3"/>
      <c r="C1125" s="4">
        <v>43453.0</v>
      </c>
      <c r="D1125" s="2" t="s">
        <v>647</v>
      </c>
      <c r="E1125" s="2"/>
      <c r="F1125" s="3" t="s">
        <v>161</v>
      </c>
      <c r="G1125" s="2" t="s">
        <v>456</v>
      </c>
      <c r="H1125" s="2" t="s">
        <v>649</v>
      </c>
      <c r="I1125" s="3">
        <v>19.0</v>
      </c>
      <c r="J1125" s="3"/>
      <c r="K1125" s="5"/>
      <c r="L1125" s="6" t="str">
        <f>IF(D1125&lt;&gt;"",VLOOKUP(H1125,TABLEITEM,2,FALSE),"")</f>
        <v>PART</v>
      </c>
      <c r="M1125" s="6" t="str">
        <f>IF(D1125&lt;&gt;"",VLOOKUP(H1125,TABLEITEM,3,FALSE),"")</f>
        <v>เพลทเบกเกอร์ 275x220</v>
      </c>
      <c r="N1125" s="7">
        <f>INSTOCK!$I1125*INSTOCK!$K1125</f>
        <v>0</v>
      </c>
      <c r="O1125" s="2"/>
      <c r="P1125" s="2"/>
    </row>
    <row r="1126" ht="18.0" hidden="1" customHeight="1">
      <c r="A1126" s="1"/>
      <c r="B1126" s="3"/>
      <c r="C1126" s="4">
        <v>43453.0</v>
      </c>
      <c r="D1126" s="2" t="s">
        <v>647</v>
      </c>
      <c r="E1126" s="2"/>
      <c r="F1126" s="3" t="s">
        <v>161</v>
      </c>
      <c r="G1126" s="2" t="s">
        <v>456</v>
      </c>
      <c r="H1126" s="2" t="s">
        <v>651</v>
      </c>
      <c r="I1126" s="3">
        <v>52.0</v>
      </c>
      <c r="J1126" s="3"/>
      <c r="K1126" s="5"/>
      <c r="L1126" s="6" t="str">
        <f>IF(D1126&lt;&gt;"",VLOOKUP(H1126,TABLEITEM,2,FALSE),"")</f>
        <v>PART</v>
      </c>
      <c r="M1126" s="6" t="str">
        <f>IF(D1126&lt;&gt;"",VLOOKUP(H1126,TABLEITEM,3,FALSE),"")</f>
        <v>แผ่นสไลค์ 350x100</v>
      </c>
      <c r="N1126" s="7">
        <f>INSTOCK!$I1126*INSTOCK!$K1126</f>
        <v>0</v>
      </c>
      <c r="O1126" s="2"/>
      <c r="P1126" s="2"/>
    </row>
    <row r="1127" ht="18.0" hidden="1" customHeight="1">
      <c r="A1127" s="1"/>
      <c r="B1127" s="3"/>
      <c r="C1127" s="4">
        <v>43453.0</v>
      </c>
      <c r="D1127" s="2" t="s">
        <v>1188</v>
      </c>
      <c r="E1127" s="2"/>
      <c r="F1127" s="3" t="s">
        <v>161</v>
      </c>
      <c r="G1127" s="2" t="s">
        <v>456</v>
      </c>
      <c r="H1127" s="2" t="s">
        <v>511</v>
      </c>
      <c r="I1127" s="3">
        <v>56.0</v>
      </c>
      <c r="J1127" s="3"/>
      <c r="K1127" s="5"/>
      <c r="L1127" s="6" t="str">
        <f>IF(D1127&lt;&gt;"",VLOOKUP(H1127,TABLEITEM,2,FALSE),"")</f>
        <v>PART</v>
      </c>
      <c r="M1127" s="6" t="str">
        <f>IF(D1127&lt;&gt;"",VLOOKUP(H1127,TABLEITEM,3,FALSE),"")</f>
        <v>เสาเสริม 40x50x1788</v>
      </c>
      <c r="N1127" s="7">
        <f>INSTOCK!$I1127*INSTOCK!$K1127</f>
        <v>0</v>
      </c>
      <c r="O1127" s="2"/>
      <c r="P1127" s="2"/>
    </row>
    <row r="1128" ht="18.0" hidden="1" customHeight="1">
      <c r="A1128" s="1"/>
      <c r="B1128" s="3"/>
      <c r="C1128" s="4">
        <v>43453.0</v>
      </c>
      <c r="D1128" s="2" t="s">
        <v>669</v>
      </c>
      <c r="E1128" s="2"/>
      <c r="F1128" s="3" t="s">
        <v>161</v>
      </c>
      <c r="G1128" s="2" t="s">
        <v>456</v>
      </c>
      <c r="H1128" s="2" t="s">
        <v>670</v>
      </c>
      <c r="I1128" s="3">
        <v>34.0</v>
      </c>
      <c r="J1128" s="3"/>
      <c r="K1128" s="5"/>
      <c r="L1128" s="6" t="str">
        <f>IF(D1128&lt;&gt;"",VLOOKUP(H1128,TABLEITEM,2,FALSE),"")</f>
        <v>PART</v>
      </c>
      <c r="M1128" s="6" t="str">
        <f>IF(D1128&lt;&gt;"",VLOOKUP(H1128,TABLEITEM,3,FALSE),"")</f>
        <v>ฉากรับเพลท 40x30x390</v>
      </c>
      <c r="N1128" s="7">
        <f>INSTOCK!$I1128*INSTOCK!$K1128</f>
        <v>0</v>
      </c>
      <c r="O1128" s="2"/>
      <c r="P1128" s="2"/>
    </row>
    <row r="1129" ht="18.0" hidden="1" customHeight="1">
      <c r="A1129" s="1"/>
      <c r="B1129" s="3"/>
      <c r="C1129" s="4">
        <v>43441.0</v>
      </c>
      <c r="D1129" s="2" t="s">
        <v>1305</v>
      </c>
      <c r="E1129" s="2">
        <v>6.112001651E9</v>
      </c>
      <c r="F1129" s="3" t="s">
        <v>1256</v>
      </c>
      <c r="G1129" s="2" t="s">
        <v>733</v>
      </c>
      <c r="H1129" s="2" t="s">
        <v>1306</v>
      </c>
      <c r="I1129" s="3">
        <v>1.0</v>
      </c>
      <c r="J1129" s="3"/>
      <c r="K1129" s="5">
        <v>38.0</v>
      </c>
      <c r="L1129" s="6" t="str">
        <f>IF(D1129&lt;&gt;"",VLOOKUP(H1129,TABLEITEM,2,FALSE),"")</f>
        <v>MAT GL</v>
      </c>
      <c r="M1129" s="6" t="str">
        <f>IF(D1129&lt;&gt;"",VLOOKUP(H1129,TABLEITEM,3,FALSE),"")</f>
        <v>กระจก 132x312 T3.0</v>
      </c>
      <c r="N1129" s="7">
        <f>INSTOCK!$I1129*INSTOCK!$K1129</f>
        <v>38</v>
      </c>
      <c r="O1129" s="2" t="s">
        <v>700</v>
      </c>
      <c r="P1129" s="2"/>
    </row>
    <row r="1130" ht="18.0" hidden="1" customHeight="1">
      <c r="A1130" s="1"/>
      <c r="B1130" s="3"/>
      <c r="C1130" s="4">
        <v>43446.0</v>
      </c>
      <c r="D1130" s="2" t="s">
        <v>1307</v>
      </c>
      <c r="E1130" s="2">
        <v>6.112001651E9</v>
      </c>
      <c r="F1130" s="3" t="s">
        <v>1308</v>
      </c>
      <c r="G1130" s="2" t="s">
        <v>733</v>
      </c>
      <c r="H1130" s="2" t="s">
        <v>1309</v>
      </c>
      <c r="I1130" s="3">
        <v>1.0</v>
      </c>
      <c r="J1130" s="3"/>
      <c r="K1130" s="5">
        <v>50.0</v>
      </c>
      <c r="L1130" s="6" t="str">
        <f>IF(D1130&lt;&gt;"",VLOOKUP(H1130,TABLEITEM,2,FALSE),"")</f>
        <v>MAT GL</v>
      </c>
      <c r="M1130" s="6" t="str">
        <f>IF(D1130&lt;&gt;"",VLOOKUP(H1130,TABLEITEM,3,FALSE),"")</f>
        <v>กระจก 308x428 T3.0</v>
      </c>
      <c r="N1130" s="7">
        <f>INSTOCK!$I1130*INSTOCK!$K1130</f>
        <v>50</v>
      </c>
      <c r="O1130" s="2" t="s">
        <v>700</v>
      </c>
      <c r="P1130" s="2"/>
    </row>
    <row r="1131" ht="18.0" hidden="1" customHeight="1">
      <c r="A1131" s="1"/>
      <c r="B1131" s="3"/>
      <c r="C1131" s="4">
        <v>43446.0</v>
      </c>
      <c r="D1131" s="2" t="s">
        <v>1305</v>
      </c>
      <c r="E1131" s="2">
        <v>6.112001651E9</v>
      </c>
      <c r="F1131" s="3" t="s">
        <v>1310</v>
      </c>
      <c r="G1131" s="2" t="s">
        <v>733</v>
      </c>
      <c r="H1131" s="2" t="s">
        <v>1311</v>
      </c>
      <c r="I1131" s="3">
        <v>4.0</v>
      </c>
      <c r="J1131" s="3"/>
      <c r="K1131" s="5">
        <v>140.0</v>
      </c>
      <c r="L1131" s="6" t="str">
        <f>IF(D1131&lt;&gt;"",VLOOKUP(H1131,TABLEITEM,2,FALSE),"")</f>
        <v>MAT GL</v>
      </c>
      <c r="M1131" s="6" t="str">
        <f>IF(D1131&lt;&gt;"",VLOOKUP(H1131,TABLEITEM,3,FALSE),"")</f>
        <v>กระจก 462x512 T5.0</v>
      </c>
      <c r="N1131" s="7">
        <f>INSTOCK!$I1131*INSTOCK!$K1131</f>
        <v>560</v>
      </c>
      <c r="O1131" s="2" t="s">
        <v>700</v>
      </c>
      <c r="P1131" s="2"/>
    </row>
    <row r="1132" ht="18.0" hidden="1" customHeight="1">
      <c r="A1132" s="1"/>
      <c r="B1132" s="3"/>
      <c r="C1132" s="4">
        <v>43449.0</v>
      </c>
      <c r="D1132" s="2" t="s">
        <v>1305</v>
      </c>
      <c r="E1132" s="2">
        <v>6.112001651E9</v>
      </c>
      <c r="F1132" s="3" t="s">
        <v>1312</v>
      </c>
      <c r="G1132" s="2" t="s">
        <v>733</v>
      </c>
      <c r="H1132" s="2" t="s">
        <v>1313</v>
      </c>
      <c r="I1132" s="3">
        <v>1.0</v>
      </c>
      <c r="J1132" s="3"/>
      <c r="K1132" s="5">
        <v>175.0</v>
      </c>
      <c r="L1132" s="6" t="str">
        <f>IF(D1132&lt;&gt;"",VLOOKUP(H1132,TABLEITEM,2,FALSE),"")</f>
        <v>MAT GL</v>
      </c>
      <c r="M1132" s="6" t="str">
        <f>IF(D1132&lt;&gt;"",VLOOKUP(H1132,TABLEITEM,3,FALSE),"")</f>
        <v>กระจก 458x708 T5.0</v>
      </c>
      <c r="N1132" s="7">
        <f>INSTOCK!$I1132*INSTOCK!$K1132</f>
        <v>175</v>
      </c>
      <c r="O1132" s="2" t="s">
        <v>700</v>
      </c>
      <c r="P1132" s="2"/>
    </row>
    <row r="1133" ht="18.0" hidden="1" customHeight="1">
      <c r="A1133" s="1"/>
      <c r="B1133" s="3"/>
      <c r="C1133" s="4">
        <v>43447.0</v>
      </c>
      <c r="D1133" s="2" t="s">
        <v>1305</v>
      </c>
      <c r="E1133" s="2">
        <v>6.112001651E9</v>
      </c>
      <c r="F1133" s="3" t="s">
        <v>1314</v>
      </c>
      <c r="G1133" s="2" t="s">
        <v>733</v>
      </c>
      <c r="H1133" s="2" t="s">
        <v>1315</v>
      </c>
      <c r="I1133" s="3">
        <v>5.0</v>
      </c>
      <c r="J1133" s="3"/>
      <c r="K1133" s="5">
        <v>150.0</v>
      </c>
      <c r="L1133" s="6" t="str">
        <f>IF(D1133&lt;&gt;"",VLOOKUP(H1133,TABLEITEM,2,FALSE),"")</f>
        <v>MAT GL</v>
      </c>
      <c r="M1133" s="6" t="str">
        <f>IF(D1133&lt;&gt;"",VLOOKUP(H1133,TABLEITEM,3,FALSE),"")</f>
        <v>กระจก 462x712 T5.0</v>
      </c>
      <c r="N1133" s="7">
        <f>INSTOCK!$I1133*INSTOCK!$K1133</f>
        <v>750</v>
      </c>
      <c r="O1133" s="2" t="s">
        <v>700</v>
      </c>
      <c r="P1133" s="2"/>
    </row>
    <row r="1134" ht="18.0" hidden="1" customHeight="1">
      <c r="A1134" s="1"/>
      <c r="B1134" s="3"/>
      <c r="C1134" s="4">
        <v>43447.0</v>
      </c>
      <c r="D1134" s="2" t="s">
        <v>1305</v>
      </c>
      <c r="E1134" s="2">
        <v>6.112001651E9</v>
      </c>
      <c r="F1134" s="3" t="s">
        <v>1316</v>
      </c>
      <c r="G1134" s="2" t="s">
        <v>733</v>
      </c>
      <c r="H1134" s="2" t="s">
        <v>1317</v>
      </c>
      <c r="I1134" s="3">
        <v>1.0</v>
      </c>
      <c r="J1134" s="3"/>
      <c r="K1134" s="5">
        <v>240.0</v>
      </c>
      <c r="L1134" s="6" t="str">
        <f>IF(D1134&lt;&gt;"",VLOOKUP(H1134,TABLEITEM,2,FALSE),"")</f>
        <v>MAT GL</v>
      </c>
      <c r="M1134" s="6" t="str">
        <f>IF(D1134&lt;&gt;"",VLOOKUP(H1134,TABLEITEM,3,FALSE),"")</f>
        <v>กระจก 512x922 T5.0</v>
      </c>
      <c r="N1134" s="7">
        <f>INSTOCK!$I1134*INSTOCK!$K1134</f>
        <v>240</v>
      </c>
      <c r="O1134" s="2" t="s">
        <v>700</v>
      </c>
      <c r="P1134" s="2"/>
    </row>
    <row r="1135" ht="18.0" hidden="1" customHeight="1">
      <c r="A1135" s="1"/>
      <c r="B1135" s="3"/>
      <c r="C1135" s="4">
        <v>43452.0</v>
      </c>
      <c r="D1135" s="2" t="s">
        <v>1305</v>
      </c>
      <c r="E1135" s="2">
        <v>6.112001651E9</v>
      </c>
      <c r="F1135" s="3" t="s">
        <v>1318</v>
      </c>
      <c r="G1135" s="2" t="s">
        <v>733</v>
      </c>
      <c r="H1135" s="2" t="s">
        <v>1319</v>
      </c>
      <c r="I1135" s="3">
        <v>1.0</v>
      </c>
      <c r="J1135" s="3"/>
      <c r="K1135" s="5">
        <v>180.0</v>
      </c>
      <c r="L1135" s="6" t="str">
        <f>IF(D1135&lt;&gt;"",VLOOKUP(H1135,TABLEITEM,2,FALSE),"")</f>
        <v>MAT GL</v>
      </c>
      <c r="M1135" s="6" t="str">
        <f>IF(D1135&lt;&gt;"",VLOOKUP(H1135,TABLEITEM,3,FALSE),"")</f>
        <v>กระจก 547x812 T5.0</v>
      </c>
      <c r="N1135" s="7">
        <f>INSTOCK!$I1135*INSTOCK!$K1135</f>
        <v>180</v>
      </c>
      <c r="O1135" s="2" t="s">
        <v>700</v>
      </c>
      <c r="P1135" s="2"/>
    </row>
    <row r="1136" ht="18.0" hidden="1" customHeight="1">
      <c r="A1136" s="1"/>
      <c r="B1136" s="3"/>
      <c r="C1136" s="4">
        <v>43448.0</v>
      </c>
      <c r="D1136" s="2" t="s">
        <v>1305</v>
      </c>
      <c r="E1136" s="2">
        <v>6.112001651E9</v>
      </c>
      <c r="F1136" s="3" t="s">
        <v>1320</v>
      </c>
      <c r="G1136" s="2" t="s">
        <v>733</v>
      </c>
      <c r="H1136" s="2" t="s">
        <v>1321</v>
      </c>
      <c r="I1136" s="3">
        <v>1.0</v>
      </c>
      <c r="J1136" s="3"/>
      <c r="K1136" s="5">
        <v>68.0</v>
      </c>
      <c r="L1136" s="6" t="str">
        <f>IF(D1136&lt;&gt;"",VLOOKUP(H1136,TABLEITEM,2,FALSE),"")</f>
        <v>MAT GL</v>
      </c>
      <c r="M1136" s="6" t="str">
        <f>IF(D1136&lt;&gt;"",VLOOKUP(H1136,TABLEITEM,3,FALSE),"")</f>
        <v>กระจก 312x442 T5.0</v>
      </c>
      <c r="N1136" s="7">
        <f>INSTOCK!$I1136*INSTOCK!$K1136</f>
        <v>68</v>
      </c>
      <c r="O1136" s="2" t="s">
        <v>700</v>
      </c>
      <c r="P1136" s="2"/>
    </row>
    <row r="1137" ht="18.0" hidden="1" customHeight="1">
      <c r="A1137" s="1"/>
      <c r="B1137" s="3"/>
      <c r="C1137" s="4">
        <v>43448.0</v>
      </c>
      <c r="D1137" s="2" t="s">
        <v>1322</v>
      </c>
      <c r="E1137" s="2">
        <v>6.112001651E9</v>
      </c>
      <c r="F1137" s="3" t="s">
        <v>1323</v>
      </c>
      <c r="G1137" s="2" t="s">
        <v>733</v>
      </c>
      <c r="H1137" s="2" t="s">
        <v>1311</v>
      </c>
      <c r="I1137" s="3">
        <v>3.0</v>
      </c>
      <c r="J1137" s="3"/>
      <c r="K1137" s="5">
        <v>210.0</v>
      </c>
      <c r="L1137" s="6" t="str">
        <f>IF(D1137&lt;&gt;"",VLOOKUP(H1137,TABLEITEM,2,FALSE),"")</f>
        <v>MAT GL</v>
      </c>
      <c r="M1137" s="6" t="str">
        <f>IF(D1137&lt;&gt;"",VLOOKUP(H1137,TABLEITEM,3,FALSE),"")</f>
        <v>กระจก 462x512 T5.0</v>
      </c>
      <c r="N1137" s="7">
        <f>INSTOCK!$I1137*INSTOCK!$K1137</f>
        <v>630</v>
      </c>
      <c r="O1137" s="2" t="s">
        <v>700</v>
      </c>
      <c r="P1137" s="2"/>
    </row>
    <row r="1138" ht="18.0" hidden="1" customHeight="1">
      <c r="A1138" s="1"/>
      <c r="B1138" s="3"/>
      <c r="C1138" s="4">
        <v>43453.0</v>
      </c>
      <c r="D1138" s="2" t="s">
        <v>1324</v>
      </c>
      <c r="E1138" s="2">
        <v>6.112001646E9</v>
      </c>
      <c r="F1138" s="3" t="s">
        <v>1022</v>
      </c>
      <c r="G1138" s="2" t="s">
        <v>240</v>
      </c>
      <c r="H1138" s="2" t="s">
        <v>1235</v>
      </c>
      <c r="I1138" s="3">
        <v>348.0</v>
      </c>
      <c r="J1138" s="3" t="s">
        <v>78</v>
      </c>
      <c r="K1138" s="5">
        <v>61.6667</v>
      </c>
      <c r="L1138" s="6" t="str">
        <f>IF(D1138&lt;&gt;"",VLOOKUP(H1138,TABLEITEM,2,FALSE),"")</f>
        <v>MAT ST</v>
      </c>
      <c r="M1138" s="6" t="str">
        <f>IF(D1138&lt;&gt;"",VLOOKUP(H1138,TABLEITEM,3,FALSE),"")</f>
        <v>เหล็กแบน 1"1/2 หนา 9.0 มิล</v>
      </c>
      <c r="N1138" s="7">
        <f>INSTOCK!$I1138*INSTOCK!$K1138</f>
        <v>21460.0116</v>
      </c>
      <c r="O1138" s="2"/>
      <c r="P1138" s="2"/>
    </row>
    <row r="1139" ht="18.0" hidden="1" customHeight="1">
      <c r="A1139" s="1"/>
      <c r="B1139" s="3"/>
      <c r="C1139" s="4">
        <v>43454.0</v>
      </c>
      <c r="D1139" s="2" t="s">
        <v>717</v>
      </c>
      <c r="E1139" s="2"/>
      <c r="F1139" s="3" t="s">
        <v>161</v>
      </c>
      <c r="G1139" s="2" t="s">
        <v>456</v>
      </c>
      <c r="H1139" s="2" t="s">
        <v>483</v>
      </c>
      <c r="I1139" s="3">
        <v>6.0</v>
      </c>
      <c r="J1139" s="3"/>
      <c r="K1139" s="5"/>
      <c r="L1139" s="6" t="str">
        <f>IF(D1139&lt;&gt;"",VLOOKUP(H1139,TABLEITEM,2,FALSE),"")</f>
        <v>PART</v>
      </c>
      <c r="M1139" s="6" t="str">
        <f>IF(D1139&lt;&gt;"",VLOOKUP(H1139,TABLEITEM,3,FALSE),"")</f>
        <v>คานต่อโครง4รู 68x45x3mmx720</v>
      </c>
      <c r="N1139" s="7">
        <f>INSTOCK!$I1139*INSTOCK!$K1139</f>
        <v>0</v>
      </c>
      <c r="O1139" s="2"/>
      <c r="P1139" s="2"/>
    </row>
    <row r="1140" ht="18.0" hidden="1" customHeight="1">
      <c r="A1140" s="1"/>
      <c r="B1140" s="3"/>
      <c r="C1140" s="4">
        <v>43454.0</v>
      </c>
      <c r="D1140" s="2" t="s">
        <v>642</v>
      </c>
      <c r="E1140" s="2"/>
      <c r="F1140" s="3" t="s">
        <v>161</v>
      </c>
      <c r="G1140" s="2" t="s">
        <v>456</v>
      </c>
      <c r="H1140" s="2" t="s">
        <v>652</v>
      </c>
      <c r="I1140" s="3">
        <v>101.0</v>
      </c>
      <c r="J1140" s="3"/>
      <c r="K1140" s="5"/>
      <c r="L1140" s="6" t="str">
        <f>IF(D1140&lt;&gt;"",VLOOKUP(H1140,TABLEITEM,2,FALSE),"")</f>
        <v>PART</v>
      </c>
      <c r="M1140" s="6" t="str">
        <f>IF(D1140&lt;&gt;"",VLOOKUP(H1140,TABLEITEM,3,FALSE),"")</f>
        <v>ขายึดเทอมีนอล146x136</v>
      </c>
      <c r="N1140" s="7">
        <f>INSTOCK!$I1140*INSTOCK!$K1140</f>
        <v>0</v>
      </c>
      <c r="O1140" s="2"/>
      <c r="P1140" s="2"/>
    </row>
    <row r="1141" ht="18.0" hidden="1" customHeight="1">
      <c r="A1141" s="1"/>
      <c r="B1141" s="3"/>
      <c r="C1141" s="4">
        <v>43454.0</v>
      </c>
      <c r="D1141" s="2" t="s">
        <v>628</v>
      </c>
      <c r="E1141" s="2"/>
      <c r="F1141" s="3" t="s">
        <v>161</v>
      </c>
      <c r="G1141" s="2" t="s">
        <v>456</v>
      </c>
      <c r="H1141" s="2" t="s">
        <v>534</v>
      </c>
      <c r="I1141" s="3">
        <v>61.0</v>
      </c>
      <c r="J1141" s="3"/>
      <c r="K1141" s="5"/>
      <c r="L1141" s="6" t="str">
        <f>IF(D1141&lt;&gt;"",VLOOKUP(H1141,TABLEITEM,2,FALSE),"")</f>
        <v>PART</v>
      </c>
      <c r="M1141" s="6" t="str">
        <f>IF(D1141&lt;&gt;"",VLOOKUP(H1141,TABLEITEM,3,FALSE),"")</f>
        <v>ตัวแซดยึดแผ่นพื้น 60x695</v>
      </c>
      <c r="N1141" s="7">
        <f>INSTOCK!$I1141*INSTOCK!$K1141</f>
        <v>0</v>
      </c>
      <c r="O1141" s="2"/>
      <c r="P1141" s="2"/>
    </row>
    <row r="1142" ht="18.0" hidden="1" customHeight="1">
      <c r="A1142" s="1"/>
      <c r="B1142" s="3"/>
      <c r="C1142" s="4">
        <v>43454.0</v>
      </c>
      <c r="D1142" s="2" t="s">
        <v>628</v>
      </c>
      <c r="E1142" s="2"/>
      <c r="F1142" s="3" t="s">
        <v>161</v>
      </c>
      <c r="G1142" s="2" t="s">
        <v>456</v>
      </c>
      <c r="H1142" s="2" t="s">
        <v>629</v>
      </c>
      <c r="I1142" s="3">
        <v>28.0</v>
      </c>
      <c r="J1142" s="3"/>
      <c r="K1142" s="5"/>
      <c r="L1142" s="6" t="str">
        <f>IF(D1142&lt;&gt;"",VLOOKUP(H1142,TABLEITEM,2,FALSE),"")</f>
        <v>PART</v>
      </c>
      <c r="M1142" s="6" t="str">
        <f>IF(D1142&lt;&gt;"",VLOOKUP(H1142,TABLEITEM,3,FALSE),"")</f>
        <v>ตัวแซดยึดแผ่นพื้น 60x895</v>
      </c>
      <c r="N1142" s="7">
        <f>INSTOCK!$I1142*INSTOCK!$K1142</f>
        <v>0</v>
      </c>
      <c r="O1142" s="2"/>
      <c r="P1142" s="2"/>
    </row>
    <row r="1143" ht="18.0" hidden="1" customHeight="1">
      <c r="A1143" s="1"/>
      <c r="B1143" s="3"/>
      <c r="C1143" s="4">
        <v>43454.0</v>
      </c>
      <c r="D1143" s="2" t="s">
        <v>1325</v>
      </c>
      <c r="E1143" s="2"/>
      <c r="F1143" s="3" t="s">
        <v>161</v>
      </c>
      <c r="G1143" s="2" t="s">
        <v>456</v>
      </c>
      <c r="H1143" s="2" t="s">
        <v>561</v>
      </c>
      <c r="I1143" s="3">
        <v>66.0</v>
      </c>
      <c r="J1143" s="3"/>
      <c r="K1143" s="5"/>
      <c r="L1143" s="6" t="str">
        <f>IF(D1143&lt;&gt;"",VLOOKUP(H1143,TABLEITEM,2,FALSE),"")</f>
        <v>PART</v>
      </c>
      <c r="M1143" s="6" t="str">
        <f>IF(D1143&lt;&gt;"",VLOOKUP(H1143,TABLEITEM,3,FALSE),"")</f>
        <v>คานยืดหลอดไฟ 40x520</v>
      </c>
      <c r="N1143" s="7">
        <f>INSTOCK!$I1143*INSTOCK!$K1143</f>
        <v>0</v>
      </c>
      <c r="O1143" s="2"/>
      <c r="P1143" s="2"/>
    </row>
    <row r="1144" ht="18.0" hidden="1" customHeight="1">
      <c r="A1144" s="1"/>
      <c r="B1144" s="3"/>
      <c r="C1144" s="4">
        <v>43454.0</v>
      </c>
      <c r="D1144" s="2" t="s">
        <v>1325</v>
      </c>
      <c r="E1144" s="2"/>
      <c r="F1144" s="3" t="s">
        <v>161</v>
      </c>
      <c r="G1144" s="2" t="s">
        <v>456</v>
      </c>
      <c r="H1144" s="2" t="s">
        <v>731</v>
      </c>
      <c r="I1144" s="3">
        <v>38.0</v>
      </c>
      <c r="J1144" s="3"/>
      <c r="K1144" s="5"/>
      <c r="L1144" s="6" t="str">
        <f>IF(D1144&lt;&gt;"",VLOOKUP(H1144,TABLEITEM,2,FALSE),"")</f>
        <v>PART</v>
      </c>
      <c r="M1144" s="6" t="str">
        <f>IF(D1144&lt;&gt;"",VLOOKUP(H1144,TABLEITEM,3,FALSE),"")</f>
        <v>คานยืดหลอดไฟ 40x620</v>
      </c>
      <c r="N1144" s="7">
        <f>INSTOCK!$I1144*INSTOCK!$K1144</f>
        <v>0</v>
      </c>
      <c r="O1144" s="2"/>
      <c r="P1144" s="2"/>
    </row>
    <row r="1145" ht="18.0" hidden="1" customHeight="1">
      <c r="A1145" s="1"/>
      <c r="B1145" s="3"/>
      <c r="C1145" s="4">
        <v>43454.0</v>
      </c>
      <c r="D1145" s="2" t="s">
        <v>1054</v>
      </c>
      <c r="E1145" s="2"/>
      <c r="F1145" s="3" t="s">
        <v>161</v>
      </c>
      <c r="G1145" s="2" t="s">
        <v>456</v>
      </c>
      <c r="H1145" s="2" t="s">
        <v>550</v>
      </c>
      <c r="I1145" s="3">
        <v>740.0</v>
      </c>
      <c r="J1145" s="3"/>
      <c r="K1145" s="5"/>
      <c r="L1145" s="6" t="str">
        <f>IF(D1145&lt;&gt;"",VLOOKUP(H1145,TABLEITEM,2,FALSE),"")</f>
        <v>PART</v>
      </c>
      <c r="M1145" s="6" t="str">
        <f>IF(D1145&lt;&gt;"",VLOOKUP(H1145,TABLEITEM,3,FALSE),"")</f>
        <v>ฉากตัวZ รับแผ่นกั้น50x34x29</v>
      </c>
      <c r="N1145" s="7">
        <f>INSTOCK!$I1145*INSTOCK!$K1145</f>
        <v>0</v>
      </c>
      <c r="O1145" s="2"/>
      <c r="P1145" s="2"/>
    </row>
    <row r="1146" ht="18.0" hidden="1" customHeight="1">
      <c r="A1146" s="1"/>
      <c r="B1146" s="3"/>
      <c r="C1146" s="4">
        <v>43454.0</v>
      </c>
      <c r="D1146" s="2" t="s">
        <v>982</v>
      </c>
      <c r="E1146" s="2"/>
      <c r="F1146" s="3" t="s">
        <v>161</v>
      </c>
      <c r="G1146" s="2" t="s">
        <v>456</v>
      </c>
      <c r="H1146" s="2" t="s">
        <v>983</v>
      </c>
      <c r="I1146" s="3">
        <v>225.0</v>
      </c>
      <c r="J1146" s="3"/>
      <c r="K1146" s="5"/>
      <c r="L1146" s="6" t="str">
        <f>IF(D1146&lt;&gt;"",VLOOKUP(H1146,TABLEITEM,2,FALSE),"")</f>
        <v>PART</v>
      </c>
      <c r="M1146" s="6" t="str">
        <f>IF(D1146&lt;&gt;"",VLOOKUP(H1146,TABLEITEM,3,FALSE),"")</f>
        <v>ฉากรับฝาใน 50x30</v>
      </c>
      <c r="N1146" s="7">
        <f>INSTOCK!$I1146*INSTOCK!$K1146</f>
        <v>0</v>
      </c>
      <c r="O1146" s="2"/>
      <c r="P1146" s="2"/>
    </row>
    <row r="1147" ht="18.0" hidden="1" customHeight="1">
      <c r="A1147" s="1"/>
      <c r="B1147" s="3"/>
      <c r="C1147" s="4">
        <v>43454.0</v>
      </c>
      <c r="D1147" s="2" t="s">
        <v>1326</v>
      </c>
      <c r="E1147" s="2"/>
      <c r="F1147" s="3" t="s">
        <v>161</v>
      </c>
      <c r="G1147" s="2" t="s">
        <v>456</v>
      </c>
      <c r="H1147" s="2" t="s">
        <v>507</v>
      </c>
      <c r="I1147" s="3">
        <v>30.0</v>
      </c>
      <c r="J1147" s="3"/>
      <c r="K1147" s="5"/>
      <c r="L1147" s="6" t="str">
        <f>IF(D1147&lt;&gt;"",VLOOKUP(H1147,TABLEITEM,2,FALSE),"")</f>
        <v>PART</v>
      </c>
      <c r="M1147" s="6" t="str">
        <f>IF(D1147&lt;&gt;"",VLOOKUP(H1147,TABLEITEM,3,FALSE),"")</f>
        <v>แพลทยึดอุปกรณ์345x300</v>
      </c>
      <c r="N1147" s="7">
        <f>INSTOCK!$I1147*INSTOCK!$K1147</f>
        <v>0</v>
      </c>
      <c r="O1147" s="2"/>
      <c r="P1147" s="2"/>
    </row>
    <row r="1148" ht="18.0" hidden="1" customHeight="1">
      <c r="A1148" s="1"/>
      <c r="B1148" s="3"/>
      <c r="C1148" s="4">
        <v>43454.0</v>
      </c>
      <c r="D1148" s="2" t="s">
        <v>1327</v>
      </c>
      <c r="E1148" s="2"/>
      <c r="F1148" s="3" t="s">
        <v>161</v>
      </c>
      <c r="G1148" s="2" t="s">
        <v>456</v>
      </c>
      <c r="H1148" s="2" t="s">
        <v>1328</v>
      </c>
      <c r="I1148" s="3">
        <v>27.0</v>
      </c>
      <c r="J1148" s="3"/>
      <c r="K1148" s="5"/>
      <c r="L1148" s="6" t="str">
        <f>IF(D1148&lt;&gt;"",VLOOKUP(H1148,TABLEITEM,2,FALSE),"")</f>
        <v>PART</v>
      </c>
      <c r="M1148" s="6" t="str">
        <f>IF(D1148&lt;&gt;"",VLOOKUP(H1148,TABLEITEM,3,FALSE),"")</f>
        <v>เพลทเบกเกอร์ 725x280</v>
      </c>
      <c r="N1148" s="7">
        <f>INSTOCK!$I1148*INSTOCK!$K1148</f>
        <v>0</v>
      </c>
      <c r="O1148" s="2"/>
      <c r="P1148" s="2"/>
    </row>
    <row r="1149" ht="18.0" hidden="1" customHeight="1">
      <c r="A1149" s="1"/>
      <c r="B1149" s="3"/>
      <c r="C1149" s="4">
        <v>43454.0</v>
      </c>
      <c r="D1149" s="2" t="s">
        <v>1329</v>
      </c>
      <c r="E1149" s="2"/>
      <c r="F1149" s="3" t="s">
        <v>161</v>
      </c>
      <c r="G1149" s="2" t="s">
        <v>456</v>
      </c>
      <c r="H1149" s="2" t="s">
        <v>573</v>
      </c>
      <c r="I1149" s="3">
        <v>52.0</v>
      </c>
      <c r="J1149" s="3"/>
      <c r="K1149" s="5"/>
      <c r="L1149" s="6" t="str">
        <f>IF(D1149&lt;&gt;"",VLOOKUP(H1149,TABLEITEM,2,FALSE),"")</f>
        <v>PART</v>
      </c>
      <c r="M1149" s="6" t="str">
        <f>IF(D1149&lt;&gt;"",VLOOKUP(H1149,TABLEITEM,3,FALSE),"")</f>
        <v>คานตัวC 70x25T2.0x495</v>
      </c>
      <c r="N1149" s="7">
        <f>INSTOCK!$I1149*INSTOCK!$K1149</f>
        <v>0</v>
      </c>
      <c r="O1149" s="2"/>
      <c r="P1149" s="2"/>
    </row>
    <row r="1150" ht="18.0" hidden="1" customHeight="1">
      <c r="A1150" s="1"/>
      <c r="B1150" s="3"/>
      <c r="C1150" s="4">
        <v>43454.0</v>
      </c>
      <c r="D1150" s="2" t="s">
        <v>1329</v>
      </c>
      <c r="E1150" s="2"/>
      <c r="F1150" s="3" t="s">
        <v>161</v>
      </c>
      <c r="G1150" s="2" t="s">
        <v>456</v>
      </c>
      <c r="H1150" s="2" t="s">
        <v>527</v>
      </c>
      <c r="I1150" s="3">
        <v>54.0</v>
      </c>
      <c r="J1150" s="3"/>
      <c r="K1150" s="5"/>
      <c r="L1150" s="6" t="str">
        <f>IF(D1150&lt;&gt;"",VLOOKUP(H1150,TABLEITEM,2,FALSE),"")</f>
        <v>PART</v>
      </c>
      <c r="M1150" s="6" t="str">
        <f>IF(D1150&lt;&gt;"",VLOOKUP(H1150,TABLEITEM,3,FALSE),"")</f>
        <v>คานตัวC 70x25T2.0x595</v>
      </c>
      <c r="N1150" s="7">
        <f>INSTOCK!$I1150*INSTOCK!$K1150</f>
        <v>0</v>
      </c>
      <c r="O1150" s="2"/>
      <c r="P1150" s="2"/>
    </row>
    <row r="1151" ht="18.0" hidden="1" customHeight="1">
      <c r="A1151" s="1"/>
      <c r="B1151" s="3"/>
      <c r="C1151" s="4">
        <v>43454.0</v>
      </c>
      <c r="D1151" s="2" t="s">
        <v>1329</v>
      </c>
      <c r="E1151" s="2"/>
      <c r="F1151" s="3" t="s">
        <v>161</v>
      </c>
      <c r="G1151" s="2" t="s">
        <v>456</v>
      </c>
      <c r="H1151" s="2" t="s">
        <v>528</v>
      </c>
      <c r="I1151" s="3">
        <v>12.0</v>
      </c>
      <c r="J1151" s="3"/>
      <c r="K1151" s="5"/>
      <c r="L1151" s="6" t="str">
        <f>IF(D1151&lt;&gt;"",VLOOKUP(H1151,TABLEITEM,2,FALSE),"")</f>
        <v>PART</v>
      </c>
      <c r="M1151" s="6" t="str">
        <f>IF(D1151&lt;&gt;"",VLOOKUP(H1151,TABLEITEM,3,FALSE),"")</f>
        <v>คานตัวC70x25T.2.0X795</v>
      </c>
      <c r="N1151" s="7">
        <f>INSTOCK!$I1151*INSTOCK!$K1151</f>
        <v>0</v>
      </c>
      <c r="O1151" s="2"/>
      <c r="P1151" s="2"/>
    </row>
    <row r="1152" ht="18.0" hidden="1" customHeight="1">
      <c r="A1152" s="1"/>
      <c r="B1152" s="3"/>
      <c r="C1152" s="4">
        <v>43456.0</v>
      </c>
      <c r="D1152" s="2" t="s">
        <v>1330</v>
      </c>
      <c r="E1152" s="2"/>
      <c r="F1152" s="3" t="s">
        <v>161</v>
      </c>
      <c r="G1152" s="2" t="s">
        <v>456</v>
      </c>
      <c r="H1152" s="2" t="s">
        <v>553</v>
      </c>
      <c r="I1152" s="3">
        <v>20.0</v>
      </c>
      <c r="J1152" s="3"/>
      <c r="K1152" s="5"/>
      <c r="L1152" s="6" t="str">
        <f>IF(D1152&lt;&gt;"",VLOOKUP(H1152,TABLEITEM,2,FALSE),"")</f>
        <v>PART</v>
      </c>
      <c r="M1152" s="6" t="str">
        <f>IF(D1152&lt;&gt;"",VLOOKUP(H1152,TABLEITEM,3,FALSE),"")</f>
        <v>ฝาข้าง-ฝาหลัง 1875x570</v>
      </c>
      <c r="N1152" s="7">
        <f>INSTOCK!$I1152*INSTOCK!$K1152</f>
        <v>0</v>
      </c>
      <c r="O1152" s="2"/>
      <c r="P1152" s="2"/>
    </row>
    <row r="1153" ht="18.0" hidden="1" customHeight="1">
      <c r="A1153" s="1"/>
      <c r="B1153" s="3"/>
      <c r="C1153" s="4">
        <v>43456.0</v>
      </c>
      <c r="D1153" s="2" t="s">
        <v>1330</v>
      </c>
      <c r="E1153" s="2"/>
      <c r="F1153" s="3" t="s">
        <v>161</v>
      </c>
      <c r="G1153" s="2" t="s">
        <v>456</v>
      </c>
      <c r="H1153" s="2" t="s">
        <v>542</v>
      </c>
      <c r="I1153" s="3">
        <v>20.0</v>
      </c>
      <c r="J1153" s="3"/>
      <c r="K1153" s="5"/>
      <c r="L1153" s="6" t="str">
        <f>IF(D1153&lt;&gt;"",VLOOKUP(H1153,TABLEITEM,2,FALSE),"")</f>
        <v>PART</v>
      </c>
      <c r="M1153" s="6" t="str">
        <f>IF(D1153&lt;&gt;"",VLOOKUP(H1153,TABLEITEM,3,FALSE),"")</f>
        <v>ฝาข้าง-ฝาหลัง 1875x770</v>
      </c>
      <c r="N1153" s="7">
        <f>INSTOCK!$I1153*INSTOCK!$K1153</f>
        <v>0</v>
      </c>
      <c r="O1153" s="2"/>
      <c r="P1153" s="2"/>
    </row>
    <row r="1154" ht="18.0" hidden="1" customHeight="1">
      <c r="A1154" s="1"/>
      <c r="B1154" s="3"/>
      <c r="C1154" s="4">
        <v>43458.0</v>
      </c>
      <c r="D1154" s="2" t="s">
        <v>1330</v>
      </c>
      <c r="E1154" s="2"/>
      <c r="F1154" s="3" t="s">
        <v>161</v>
      </c>
      <c r="G1154" s="2" t="s">
        <v>456</v>
      </c>
      <c r="H1154" s="2" t="s">
        <v>707</v>
      </c>
      <c r="I1154" s="3">
        <v>21.0</v>
      </c>
      <c r="J1154" s="3"/>
      <c r="K1154" s="5"/>
      <c r="L1154" s="6" t="str">
        <f>IF(D1154&lt;&gt;"",VLOOKUP(H1154,TABLEITEM,2,FALSE),"")</f>
        <v>PART</v>
      </c>
      <c r="M1154" s="6" t="str">
        <f>IF(D1154&lt;&gt;"",VLOOKUP(H1154,TABLEITEM,3,FALSE),"")</f>
        <v>ฝาข้าง-ฝาหลัง 1875x320</v>
      </c>
      <c r="N1154" s="7">
        <f>INSTOCK!$I1154*INSTOCK!$K1154</f>
        <v>0</v>
      </c>
      <c r="O1154" s="2"/>
      <c r="P1154" s="2"/>
    </row>
    <row r="1155" ht="18.0" hidden="1" customHeight="1">
      <c r="A1155" s="1"/>
      <c r="B1155" s="3"/>
      <c r="C1155" s="4">
        <v>43458.0</v>
      </c>
      <c r="D1155" s="2" t="s">
        <v>1331</v>
      </c>
      <c r="E1155" s="2"/>
      <c r="F1155" s="3" t="s">
        <v>161</v>
      </c>
      <c r="G1155" s="2" t="s">
        <v>456</v>
      </c>
      <c r="H1155" s="2" t="s">
        <v>1332</v>
      </c>
      <c r="I1155" s="3">
        <v>105.0</v>
      </c>
      <c r="J1155" s="3"/>
      <c r="K1155" s="5"/>
      <c r="L1155" s="6" t="str">
        <f>IF(D1155&lt;&gt;"",VLOOKUP(H1155,TABLEITEM,2,FALSE),"")</f>
        <v>PART</v>
      </c>
      <c r="M1155" s="6" t="str">
        <f>IF(D1155&lt;&gt;"",VLOOKUP(H1155,TABLEITEM,3,FALSE),"")</f>
        <v>คานต่อโครง 80x45x3mmx720</v>
      </c>
      <c r="N1155" s="7">
        <f>INSTOCK!$I1155*INSTOCK!$K1155</f>
        <v>0</v>
      </c>
      <c r="O1155" s="2"/>
      <c r="P1155" s="2"/>
    </row>
    <row r="1156" ht="18.0" hidden="1" customHeight="1">
      <c r="A1156" s="1"/>
      <c r="B1156" s="3"/>
      <c r="C1156" s="4">
        <v>43458.0</v>
      </c>
      <c r="D1156" s="2" t="s">
        <v>583</v>
      </c>
      <c r="E1156" s="2"/>
      <c r="F1156" s="3" t="s">
        <v>161</v>
      </c>
      <c r="G1156" s="2" t="s">
        <v>456</v>
      </c>
      <c r="H1156" s="2" t="s">
        <v>584</v>
      </c>
      <c r="I1156" s="3">
        <v>12.0</v>
      </c>
      <c r="J1156" s="3"/>
      <c r="K1156" s="5"/>
      <c r="L1156" s="6" t="str">
        <f>IF(D1156&lt;&gt;"",VLOOKUP(H1156,TABLEITEM,2,FALSE),"")</f>
        <v>PART</v>
      </c>
      <c r="M1156" s="6" t="str">
        <f>IF(D1156&lt;&gt;"",VLOOKUP(H1156,TABLEITEM,3,FALSE),"")</f>
        <v>ฉากรับเพลท 40x30x1988</v>
      </c>
      <c r="N1156" s="7">
        <f>INSTOCK!$I1156*INSTOCK!$K1156</f>
        <v>0</v>
      </c>
      <c r="O1156" s="2"/>
      <c r="P1156" s="2"/>
    </row>
    <row r="1157" ht="18.0" hidden="1" customHeight="1">
      <c r="A1157" s="1"/>
      <c r="B1157" s="3"/>
      <c r="C1157" s="4">
        <v>43458.0</v>
      </c>
      <c r="D1157" s="2" t="s">
        <v>583</v>
      </c>
      <c r="E1157" s="2"/>
      <c r="F1157" s="3" t="s">
        <v>161</v>
      </c>
      <c r="G1157" s="2" t="s">
        <v>456</v>
      </c>
      <c r="H1157" s="2" t="s">
        <v>1128</v>
      </c>
      <c r="I1157" s="3">
        <v>36.0</v>
      </c>
      <c r="J1157" s="3"/>
      <c r="K1157" s="5"/>
      <c r="L1157" s="6" t="str">
        <f>IF(D1157&lt;&gt;"",VLOOKUP(H1157,TABLEITEM,2,FALSE),"")</f>
        <v>PART</v>
      </c>
      <c r="M1157" s="6" t="str">
        <f>IF(D1157&lt;&gt;"",VLOOKUP(H1157,TABLEITEM,3,FALSE),"")</f>
        <v>ฉากรับเพลท3mm 40x1788</v>
      </c>
      <c r="N1157" s="7">
        <f>INSTOCK!$I1157*INSTOCK!$K1157</f>
        <v>0</v>
      </c>
      <c r="O1157" s="2"/>
      <c r="P1157" s="2"/>
    </row>
    <row r="1158" ht="18.0" hidden="1" customHeight="1">
      <c r="A1158" s="1"/>
      <c r="B1158" s="3"/>
      <c r="C1158" s="4">
        <v>43458.0</v>
      </c>
      <c r="D1158" s="2" t="s">
        <v>583</v>
      </c>
      <c r="E1158" s="2"/>
      <c r="F1158" s="3" t="s">
        <v>161</v>
      </c>
      <c r="G1158" s="2" t="s">
        <v>456</v>
      </c>
      <c r="H1158" s="2" t="s">
        <v>1333</v>
      </c>
      <c r="I1158" s="3">
        <v>8.0</v>
      </c>
      <c r="J1158" s="3"/>
      <c r="K1158" s="5"/>
      <c r="L1158" s="6" t="str">
        <f>IF(D1158&lt;&gt;"",VLOOKUP(H1158,TABLEITEM,2,FALSE),"")</f>
        <v>PART</v>
      </c>
      <c r="M1158" s="6" t="str">
        <f>IF(D1158&lt;&gt;"",VLOOKUP(H1158,TABLEITEM,3,FALSE),"")</f>
        <v>ฉากรับเพลท3mm401888</v>
      </c>
      <c r="N1158" s="7">
        <f>INSTOCK!$I1158*INSTOCK!$K1158</f>
        <v>0</v>
      </c>
      <c r="O1158" s="2"/>
      <c r="P1158" s="2"/>
    </row>
    <row r="1159" ht="18.0" hidden="1" customHeight="1">
      <c r="A1159" s="1"/>
      <c r="B1159" s="3"/>
      <c r="C1159" s="4">
        <v>43458.0</v>
      </c>
      <c r="D1159" s="2" t="s">
        <v>1334</v>
      </c>
      <c r="E1159" s="2">
        <v>6.112001661E9</v>
      </c>
      <c r="F1159" s="3" t="s">
        <v>1022</v>
      </c>
      <c r="G1159" s="2" t="s">
        <v>240</v>
      </c>
      <c r="H1159" s="2" t="s">
        <v>1235</v>
      </c>
      <c r="I1159" s="3">
        <v>30.0</v>
      </c>
      <c r="J1159" s="3" t="s">
        <v>78</v>
      </c>
      <c r="K1159" s="5">
        <v>61.67</v>
      </c>
      <c r="L1159" s="6" t="str">
        <f>IF(D1159&lt;&gt;"",VLOOKUP(H1159,TABLEITEM,2,FALSE),"")</f>
        <v>MAT ST</v>
      </c>
      <c r="M1159" s="6" t="str">
        <f>IF(D1159&lt;&gt;"",VLOOKUP(H1159,TABLEITEM,3,FALSE),"")</f>
        <v>เหล็กแบน 1"1/2 หนา 9.0 มิล</v>
      </c>
      <c r="N1159" s="7">
        <f>INSTOCK!$I1159*INSTOCK!$K1159</f>
        <v>1850.1</v>
      </c>
      <c r="O1159" s="2" t="s">
        <v>1335</v>
      </c>
      <c r="P1159" s="2"/>
    </row>
    <row r="1160" ht="18.0" hidden="1" customHeight="1">
      <c r="A1160" s="1"/>
      <c r="B1160" s="3"/>
      <c r="C1160" s="4">
        <v>43461.0</v>
      </c>
      <c r="D1160" s="2" t="s">
        <v>1336</v>
      </c>
      <c r="E1160" s="2"/>
      <c r="F1160" s="3" t="s">
        <v>161</v>
      </c>
      <c r="G1160" s="2" t="s">
        <v>456</v>
      </c>
      <c r="H1160" s="2" t="s">
        <v>1337</v>
      </c>
      <c r="I1160" s="3">
        <v>118.0</v>
      </c>
      <c r="J1160" s="3"/>
      <c r="K1160" s="5"/>
      <c r="L1160" s="6" t="str">
        <f>IF(D1160&lt;&gt;"",VLOOKUP(H1160,TABLEITEM,2,FALSE),"")</f>
        <v>PART</v>
      </c>
      <c r="M1160" s="6" t="str">
        <f>IF(D1160&lt;&gt;"",VLOOKUP(H1160,TABLEITEM,3,FALSE),"")</f>
        <v>แผ่นสไลค์ 220x100</v>
      </c>
      <c r="N1160" s="7">
        <f>INSTOCK!$I1160*INSTOCK!$K1160</f>
        <v>0</v>
      </c>
      <c r="O1160" s="2" t="s">
        <v>1338</v>
      </c>
      <c r="P1160" s="2"/>
    </row>
    <row r="1161" ht="18.0" hidden="1" customHeight="1">
      <c r="A1161" s="1"/>
      <c r="B1161" s="3"/>
      <c r="C1161" s="4">
        <v>43461.0</v>
      </c>
      <c r="D1161" s="2" t="s">
        <v>1336</v>
      </c>
      <c r="E1161" s="2"/>
      <c r="F1161" s="3" t="s">
        <v>161</v>
      </c>
      <c r="G1161" s="2" t="s">
        <v>456</v>
      </c>
      <c r="H1161" s="2" t="s">
        <v>1339</v>
      </c>
      <c r="I1161" s="3">
        <v>66.0</v>
      </c>
      <c r="J1161" s="3"/>
      <c r="K1161" s="5"/>
      <c r="L1161" s="6" t="str">
        <f>IF(D1161&lt;&gt;"",VLOOKUP(H1161,TABLEITEM,2,FALSE),"")</f>
        <v>PART</v>
      </c>
      <c r="M1161" s="6" t="str">
        <f>IF(D1161&lt;&gt;"",VLOOKUP(H1161,TABLEITEM,3,FALSE),"")</f>
        <v>แผ่นสไลค์ 330x140</v>
      </c>
      <c r="N1161" s="7">
        <f>INSTOCK!$I1161*INSTOCK!$K1161</f>
        <v>0</v>
      </c>
      <c r="O1161" s="2"/>
      <c r="P1161" s="2"/>
    </row>
    <row r="1162" ht="18.0" hidden="1" customHeight="1">
      <c r="A1162" s="1"/>
      <c r="B1162" s="3"/>
      <c r="C1162" s="4">
        <v>43461.0</v>
      </c>
      <c r="D1162" s="2" t="s">
        <v>984</v>
      </c>
      <c r="E1162" s="2"/>
      <c r="F1162" s="3" t="s">
        <v>161</v>
      </c>
      <c r="G1162" s="2" t="s">
        <v>456</v>
      </c>
      <c r="H1162" s="2" t="s">
        <v>985</v>
      </c>
      <c r="I1162" s="3">
        <v>198.0</v>
      </c>
      <c r="J1162" s="3"/>
      <c r="K1162" s="5"/>
      <c r="L1162" s="6" t="str">
        <f>IF(D1162&lt;&gt;"",VLOOKUP(H1162,TABLEITEM,2,FALSE),"")</f>
        <v>PART</v>
      </c>
      <c r="M1162" s="6" t="str">
        <f>IF(D1162&lt;&gt;"",VLOOKUP(H1162,TABLEITEM,3,FALSE),"")</f>
        <v>ฉากรับเพลท70x30x3mm</v>
      </c>
      <c r="N1162" s="7">
        <f>INSTOCK!$I1162*INSTOCK!$K1162</f>
        <v>0</v>
      </c>
      <c r="O1162" s="2"/>
      <c r="P1162" s="2"/>
    </row>
    <row r="1163" ht="18.0" hidden="1" customHeight="1">
      <c r="A1163" s="1"/>
      <c r="B1163" s="3"/>
      <c r="C1163" s="4">
        <v>43461.0</v>
      </c>
      <c r="D1163" s="2" t="s">
        <v>634</v>
      </c>
      <c r="E1163" s="2"/>
      <c r="F1163" s="3" t="s">
        <v>161</v>
      </c>
      <c r="G1163" s="2" t="s">
        <v>456</v>
      </c>
      <c r="H1163" s="2" t="s">
        <v>1340</v>
      </c>
      <c r="I1163" s="3">
        <v>100.0</v>
      </c>
      <c r="J1163" s="3"/>
      <c r="K1163" s="5"/>
      <c r="L1163" s="6" t="str">
        <f>IF(D1163&lt;&gt;"",VLOOKUP(H1163,TABLEITEM,2,FALSE),"")</f>
        <v>PART</v>
      </c>
      <c r="M1163" s="6" t="str">
        <f>IF(D1163&lt;&gt;"",VLOOKUP(H1163,TABLEITEM,3,FALSE),"")</f>
        <v>แผ่นสไลค์ 280x100</v>
      </c>
      <c r="N1163" s="7">
        <f>INSTOCK!$I1163*INSTOCK!$K1163</f>
        <v>0</v>
      </c>
      <c r="O1163" s="2"/>
      <c r="P1163" s="2"/>
    </row>
    <row r="1164" ht="18.0" hidden="1" customHeight="1">
      <c r="A1164" s="1"/>
      <c r="B1164" s="3"/>
      <c r="C1164" s="4">
        <v>43461.0</v>
      </c>
      <c r="D1164" s="2" t="s">
        <v>634</v>
      </c>
      <c r="E1164" s="2"/>
      <c r="F1164" s="3" t="s">
        <v>161</v>
      </c>
      <c r="G1164" s="2" t="s">
        <v>456</v>
      </c>
      <c r="H1164" s="2" t="s">
        <v>1341</v>
      </c>
      <c r="I1164" s="3">
        <v>104.0</v>
      </c>
      <c r="J1164" s="3"/>
      <c r="K1164" s="5"/>
      <c r="L1164" s="6" t="str">
        <f>IF(D1164&lt;&gt;"",VLOOKUP(H1164,TABLEITEM,2,FALSE),"")</f>
        <v>PART</v>
      </c>
      <c r="M1164" s="6" t="str">
        <f>IF(D1164&lt;&gt;"",VLOOKUP(H1164,TABLEITEM,3,FALSE),"")</f>
        <v>แผ่นสไลค์ 170x80</v>
      </c>
      <c r="N1164" s="7">
        <f>INSTOCK!$I1164*INSTOCK!$K1164</f>
        <v>0</v>
      </c>
      <c r="O1164" s="2"/>
      <c r="P1164" s="2"/>
    </row>
    <row r="1165" ht="18.0" hidden="1" customHeight="1">
      <c r="A1165" s="1"/>
      <c r="B1165" s="3"/>
      <c r="C1165" s="4">
        <v>43461.0</v>
      </c>
      <c r="D1165" s="2" t="s">
        <v>634</v>
      </c>
      <c r="E1165" s="2"/>
      <c r="F1165" s="3" t="s">
        <v>161</v>
      </c>
      <c r="G1165" s="2" t="s">
        <v>456</v>
      </c>
      <c r="H1165" s="2" t="s">
        <v>635</v>
      </c>
      <c r="I1165" s="3">
        <v>65.0</v>
      </c>
      <c r="J1165" s="3"/>
      <c r="K1165" s="5"/>
      <c r="L1165" s="6" t="str">
        <f>IF(D1165&lt;&gt;"",VLOOKUP(H1165,TABLEITEM,2,FALSE),"")</f>
        <v>PART</v>
      </c>
      <c r="M1165" s="6" t="str">
        <f>IF(D1165&lt;&gt;"",VLOOKUP(H1165,TABLEITEM,3,FALSE),"")</f>
        <v>แผ่นสไลค์ 150x70</v>
      </c>
      <c r="N1165" s="7">
        <f>INSTOCK!$I1165*INSTOCK!$K1165</f>
        <v>0</v>
      </c>
      <c r="O1165" s="2"/>
      <c r="P1165" s="2"/>
    </row>
    <row r="1166" ht="18.0" hidden="1" customHeight="1">
      <c r="A1166" s="1"/>
      <c r="B1166" s="3"/>
      <c r="C1166" s="4">
        <v>43461.0</v>
      </c>
      <c r="D1166" s="2" t="s">
        <v>1342</v>
      </c>
      <c r="E1166" s="2"/>
      <c r="F1166" s="3" t="s">
        <v>161</v>
      </c>
      <c r="G1166" s="2" t="s">
        <v>456</v>
      </c>
      <c r="H1166" s="2" t="s">
        <v>470</v>
      </c>
      <c r="I1166" s="3">
        <v>173.0</v>
      </c>
      <c r="J1166" s="3"/>
      <c r="K1166" s="5"/>
      <c r="L1166" s="6" t="str">
        <f>IF(D1166&lt;&gt;"",VLOOKUP(H1166,TABLEITEM,2,FALSE),"")</f>
        <v>PART</v>
      </c>
      <c r="M1166" s="6" t="str">
        <f>IF(D1166&lt;&gt;"",VLOOKUP(H1166,TABLEITEM,3,FALSE),"")</f>
        <v>ฉากรับลูกถ้วย 190x45</v>
      </c>
      <c r="N1166" s="7">
        <f>INSTOCK!$I1166*INSTOCK!$K1166</f>
        <v>0</v>
      </c>
      <c r="O1166" s="2"/>
      <c r="P1166" s="2"/>
    </row>
    <row r="1167" ht="18.0" hidden="1" customHeight="1">
      <c r="A1167" s="1"/>
      <c r="B1167" s="3"/>
      <c r="C1167" s="4">
        <v>43461.0</v>
      </c>
      <c r="D1167" s="2" t="s">
        <v>1342</v>
      </c>
      <c r="E1167" s="2"/>
      <c r="F1167" s="3" t="s">
        <v>161</v>
      </c>
      <c r="G1167" s="2" t="s">
        <v>456</v>
      </c>
      <c r="H1167" s="2" t="s">
        <v>1343</v>
      </c>
      <c r="I1167" s="3">
        <v>204.0</v>
      </c>
      <c r="J1167" s="3"/>
      <c r="K1167" s="5"/>
      <c r="L1167" s="6" t="str">
        <f>IF(D1167&lt;&gt;"",VLOOKUP(H1167,TABLEITEM,2,FALSE),"")</f>
        <v>PART</v>
      </c>
      <c r="M1167" s="6" t="str">
        <f>IF(D1167&lt;&gt;"",VLOOKUP(H1167,TABLEITEM,3,FALSE),"")</f>
        <v>ฉากรับลูกถ้วย 290x45x2.3mm</v>
      </c>
      <c r="N1167" s="7">
        <f>INSTOCK!$I1167*INSTOCK!$K1167</f>
        <v>0</v>
      </c>
      <c r="O1167" s="2"/>
      <c r="P1167" s="2"/>
    </row>
    <row r="1168" ht="18.0" hidden="1" customHeight="1">
      <c r="A1168" s="1"/>
      <c r="B1168" s="3"/>
      <c r="C1168" s="4">
        <v>43456.0</v>
      </c>
      <c r="D1168" s="2" t="s">
        <v>1203</v>
      </c>
      <c r="E1168" s="2">
        <v>6.201000006E9</v>
      </c>
      <c r="F1168" s="3" t="s">
        <v>1344</v>
      </c>
      <c r="G1168" s="2" t="s">
        <v>733</v>
      </c>
      <c r="H1168" s="2" t="s">
        <v>1345</v>
      </c>
      <c r="I1168" s="3">
        <v>4.0</v>
      </c>
      <c r="J1168" s="3"/>
      <c r="K1168" s="5">
        <v>300.0</v>
      </c>
      <c r="L1168" s="6" t="str">
        <f>IF(D1168&lt;&gt;"",VLOOKUP(H1168,TABLEITEM,2,FALSE),"")</f>
        <v>MAT GL</v>
      </c>
      <c r="M1168" s="6" t="str">
        <f>IF(D1168&lt;&gt;"",VLOOKUP(H1168,TABLEITEM,3,FALSE),"")</f>
        <v>กระจก 612x1112 T5.0</v>
      </c>
      <c r="N1168" s="7">
        <f>INSTOCK!$I1168*INSTOCK!$K1168</f>
        <v>1200</v>
      </c>
      <c r="O1168" s="2" t="s">
        <v>700</v>
      </c>
      <c r="P1168" s="2"/>
    </row>
    <row r="1169" ht="18.0" hidden="1" customHeight="1">
      <c r="A1169" s="1"/>
      <c r="B1169" s="3"/>
      <c r="C1169" s="4">
        <v>43456.0</v>
      </c>
      <c r="D1169" s="2" t="s">
        <v>1203</v>
      </c>
      <c r="E1169" s="2">
        <v>6.201000006E9</v>
      </c>
      <c r="F1169" s="3" t="s">
        <v>1344</v>
      </c>
      <c r="G1169" s="2" t="s">
        <v>733</v>
      </c>
      <c r="H1169" s="2" t="s">
        <v>1345</v>
      </c>
      <c r="I1169" s="3">
        <v>1.0</v>
      </c>
      <c r="J1169" s="3"/>
      <c r="K1169" s="5">
        <v>300.0</v>
      </c>
      <c r="L1169" s="6" t="str">
        <f>IF(D1169&lt;&gt;"",VLOOKUP(H1169,TABLEITEM,2,FALSE),"")</f>
        <v>MAT GL</v>
      </c>
      <c r="M1169" s="6" t="str">
        <f>IF(D1169&lt;&gt;"",VLOOKUP(H1169,TABLEITEM,3,FALSE),"")</f>
        <v>กระจก 612x1112 T5.0</v>
      </c>
      <c r="N1169" s="7">
        <f>INSTOCK!$I1169*INSTOCK!$K1169</f>
        <v>300</v>
      </c>
      <c r="O1169" s="2" t="s">
        <v>700</v>
      </c>
      <c r="P1169" s="2"/>
    </row>
    <row r="1170" ht="18.0" hidden="1" customHeight="1">
      <c r="A1170" s="1"/>
      <c r="B1170" s="3"/>
      <c r="C1170" s="4">
        <v>43469.0</v>
      </c>
      <c r="D1170" s="2" t="s">
        <v>1346</v>
      </c>
      <c r="E1170" s="2">
        <v>6.112001653E9</v>
      </c>
      <c r="F1170" s="3" t="s">
        <v>1347</v>
      </c>
      <c r="G1170" s="2" t="s">
        <v>165</v>
      </c>
      <c r="H1170" s="2" t="s">
        <v>332</v>
      </c>
      <c r="I1170" s="3">
        <v>1.0</v>
      </c>
      <c r="J1170" s="3"/>
      <c r="K1170" s="5">
        <v>3500.0</v>
      </c>
      <c r="L1170" s="6" t="str">
        <f>IF(D1170&lt;&gt;"",VLOOKUP(H1170,TABLEITEM,2,FALSE),"")</f>
        <v>MAT ST</v>
      </c>
      <c r="M1170" s="6" t="str">
        <f>IF(D1170&lt;&gt;"",VLOOKUP(H1170,TABLEITEM,3,FALSE),"")</f>
        <v>แผ่นโพลีคาร์บอเนต 4'x8' T4</v>
      </c>
      <c r="N1170" s="7">
        <f>INSTOCK!$I1170*INSTOCK!$K1170</f>
        <v>3500</v>
      </c>
      <c r="O1170" s="2"/>
      <c r="P1170" s="2"/>
    </row>
    <row r="1171" ht="18.0" hidden="1" customHeight="1">
      <c r="A1171" s="1"/>
      <c r="B1171" s="3"/>
      <c r="C1171" s="4">
        <v>43431.0</v>
      </c>
      <c r="D1171" s="2" t="s">
        <v>1348</v>
      </c>
      <c r="E1171" s="2"/>
      <c r="F1171" s="3" t="s">
        <v>1349</v>
      </c>
      <c r="G1171" s="2" t="s">
        <v>953</v>
      </c>
      <c r="H1171" s="2" t="s">
        <v>1350</v>
      </c>
      <c r="I1171" s="3">
        <v>10.0</v>
      </c>
      <c r="J1171" s="3"/>
      <c r="K1171" s="5">
        <v>450.0</v>
      </c>
      <c r="L1171" s="6" t="str">
        <f>IF(D1171&lt;&gt;"",VLOOKUP(H1171,TABLEITEM,2,FALSE),"")</f>
        <v>MAT GL</v>
      </c>
      <c r="M1171" s="6" t="str">
        <f>IF(D1171&lt;&gt;"",VLOOKUP(H1171,TABLEITEM,3,FALSE),"")</f>
        <v>กระจกลวด190X290T6.0</v>
      </c>
      <c r="N1171" s="7">
        <f>INSTOCK!$I1171*INSTOCK!$K1171</f>
        <v>4500</v>
      </c>
      <c r="O1171" s="2"/>
      <c r="P1171" s="2"/>
    </row>
    <row r="1172" ht="18.0" hidden="1" customHeight="1">
      <c r="A1172" s="1"/>
      <c r="B1172" s="3"/>
      <c r="C1172" s="4">
        <v>43472.0</v>
      </c>
      <c r="D1172" s="2" t="s">
        <v>1351</v>
      </c>
      <c r="E1172" s="2">
        <v>6.201000021E9</v>
      </c>
      <c r="F1172" s="3" t="s">
        <v>1352</v>
      </c>
      <c r="G1172" s="2" t="s">
        <v>240</v>
      </c>
      <c r="H1172" s="2" t="s">
        <v>1353</v>
      </c>
      <c r="I1172" s="3">
        <v>6.0</v>
      </c>
      <c r="J1172" s="3" t="s">
        <v>78</v>
      </c>
      <c r="K1172" s="5">
        <v>283.3333</v>
      </c>
      <c r="L1172" s="6" t="str">
        <f>IF(D1172&lt;&gt;"",VLOOKUP(H1172,TABLEITEM,2,FALSE),"")</f>
        <v/>
      </c>
      <c r="M1172" s="6" t="str">
        <f>IF(D1172&lt;&gt;"",VLOOKUP(H1172,TABLEITEM,3,FALSE),"")</f>
        <v>ฉากสแตนเลส 1''1/2หนา5.0</v>
      </c>
      <c r="N1172" s="7">
        <f>INSTOCK!$I1172*INSTOCK!$K1172</f>
        <v>1699.9998</v>
      </c>
      <c r="O1172" s="2" t="s">
        <v>1354</v>
      </c>
      <c r="P1172" s="2"/>
    </row>
    <row r="1173" ht="18.0" hidden="1" customHeight="1">
      <c r="A1173" s="1"/>
      <c r="B1173" s="3"/>
      <c r="C1173" s="4">
        <v>43472.0</v>
      </c>
      <c r="D1173" s="2" t="s">
        <v>1355</v>
      </c>
      <c r="E1173" s="2">
        <v>6.20100002E9</v>
      </c>
      <c r="F1173" s="3" t="s">
        <v>161</v>
      </c>
      <c r="G1173" s="2" t="s">
        <v>219</v>
      </c>
      <c r="H1173" s="2" t="s">
        <v>71</v>
      </c>
      <c r="I1173" s="3">
        <v>20.0</v>
      </c>
      <c r="J1173" s="3"/>
      <c r="K1173" s="5">
        <v>2000.0</v>
      </c>
      <c r="L1173" s="6" t="str">
        <f>IF(D1173&lt;&gt;"",VLOOKUP(H1173,TABLEITEM,2,FALSE),"")</f>
        <v>MAT ST</v>
      </c>
      <c r="M1173" s="6" t="str">
        <f>IF(D1173&lt;&gt;"",VLOOKUP(H1173,TABLEITEM,3,FALSE),"")</f>
        <v>แผ่นอลูมิเนียม4'x8'T3.0</v>
      </c>
      <c r="N1173" s="7">
        <f>INSTOCK!$I1173*INSTOCK!$K1173</f>
        <v>40000</v>
      </c>
      <c r="O1173" s="2"/>
      <c r="P1173" s="2"/>
    </row>
    <row r="1174" ht="18.0" hidden="1" customHeight="1">
      <c r="A1174" s="1"/>
      <c r="B1174" s="3"/>
      <c r="C1174" s="4">
        <v>43469.0</v>
      </c>
      <c r="D1174" s="2" t="s">
        <v>1356</v>
      </c>
      <c r="E1174" s="2">
        <v>6.201000005E9</v>
      </c>
      <c r="F1174" s="3" t="s">
        <v>1352</v>
      </c>
      <c r="G1174" s="2" t="s">
        <v>192</v>
      </c>
      <c r="H1174" s="2" t="s">
        <v>63</v>
      </c>
      <c r="I1174" s="3">
        <v>2.0</v>
      </c>
      <c r="J1174" s="3"/>
      <c r="K1174" s="5">
        <v>6700.0</v>
      </c>
      <c r="L1174" s="6" t="str">
        <f>IF(D1174&lt;&gt;"",VLOOKUP(H1174,TABLEITEM,2,FALSE),"")</f>
        <v>MAT ST</v>
      </c>
      <c r="M1174" s="6" t="str">
        <f>IF(D1174&lt;&gt;"",VLOOKUP(H1174,TABLEITEM,3,FALSE),"")</f>
        <v>สแตนเลสแผ่น4'x8'T2.0</v>
      </c>
      <c r="N1174" s="7">
        <f>INSTOCK!$I1174*INSTOCK!$K1174</f>
        <v>13400</v>
      </c>
      <c r="O1174" s="2"/>
      <c r="P1174" s="2"/>
    </row>
    <row r="1175" ht="18.0" hidden="1" customHeight="1">
      <c r="A1175" s="1"/>
      <c r="B1175" s="3"/>
      <c r="C1175" s="4">
        <v>43469.0</v>
      </c>
      <c r="D1175" s="2" t="s">
        <v>1356</v>
      </c>
      <c r="E1175" s="2">
        <v>6.201000005E9</v>
      </c>
      <c r="F1175" s="3" t="s">
        <v>1352</v>
      </c>
      <c r="G1175" s="2" t="s">
        <v>192</v>
      </c>
      <c r="H1175" s="2" t="s">
        <v>1357</v>
      </c>
      <c r="I1175" s="3">
        <v>2.0</v>
      </c>
      <c r="J1175" s="3"/>
      <c r="K1175" s="5">
        <v>12400.0</v>
      </c>
      <c r="L1175" s="6" t="str">
        <f>IF(D1175&lt;&gt;"",VLOOKUP(H1175,TABLEITEM,2,FALSE),"")</f>
        <v>MAT GL</v>
      </c>
      <c r="M1175" s="6" t="str">
        <f>IF(D1175&lt;&gt;"",VLOOKUP(H1175,TABLEITEM,3,FALSE),"")</f>
        <v>สแตนเลสแผ่น 5x10 T3.0</v>
      </c>
      <c r="N1175" s="7">
        <f>INSTOCK!$I1175*INSTOCK!$K1175</f>
        <v>24800</v>
      </c>
      <c r="O1175" s="2"/>
      <c r="P1175" s="2"/>
    </row>
    <row r="1176" ht="18.0" hidden="1" customHeight="1">
      <c r="A1176" s="1"/>
      <c r="B1176" s="3"/>
      <c r="C1176" s="4">
        <v>43469.0</v>
      </c>
      <c r="D1176" s="2" t="s">
        <v>1358</v>
      </c>
      <c r="E1176" s="2">
        <v>6.201000012E9</v>
      </c>
      <c r="F1176" s="3" t="s">
        <v>1359</v>
      </c>
      <c r="G1176" s="2" t="s">
        <v>192</v>
      </c>
      <c r="H1176" s="2" t="s">
        <v>63</v>
      </c>
      <c r="I1176" s="3">
        <v>1.0</v>
      </c>
      <c r="J1176" s="3"/>
      <c r="K1176" s="5">
        <v>6700.0</v>
      </c>
      <c r="L1176" s="6" t="str">
        <f>IF(D1176&lt;&gt;"",VLOOKUP(H1176,TABLEITEM,2,FALSE),"")</f>
        <v>MAT ST</v>
      </c>
      <c r="M1176" s="6" t="str">
        <f>IF(D1176&lt;&gt;"",VLOOKUP(H1176,TABLEITEM,3,FALSE),"")</f>
        <v>สแตนเลสแผ่น4'x8'T2.0</v>
      </c>
      <c r="N1176" s="7">
        <f>INSTOCK!$I1176*INSTOCK!$K1176</f>
        <v>6700</v>
      </c>
      <c r="O1176" s="2"/>
      <c r="P1176" s="2"/>
    </row>
    <row r="1177" ht="18.0" hidden="1" customHeight="1">
      <c r="A1177" s="1"/>
      <c r="B1177" s="3"/>
      <c r="C1177" s="4">
        <v>43474.0</v>
      </c>
      <c r="D1177" s="2" t="s">
        <v>1360</v>
      </c>
      <c r="E1177" s="2">
        <v>6.201000022E9</v>
      </c>
      <c r="F1177" s="3" t="s">
        <v>161</v>
      </c>
      <c r="G1177" s="2" t="s">
        <v>162</v>
      </c>
      <c r="H1177" s="2" t="s">
        <v>73</v>
      </c>
      <c r="I1177" s="3">
        <v>10.0</v>
      </c>
      <c r="J1177" s="3"/>
      <c r="K1177" s="5">
        <v>1400.0</v>
      </c>
      <c r="L1177" s="6" t="str">
        <f>IF(D1177&lt;&gt;"",VLOOKUP(H1177,TABLEITEM,2,FALSE),"")</f>
        <v>MAT ST</v>
      </c>
      <c r="M1177" s="6" t="str">
        <f>IF(D1177&lt;&gt;"",VLOOKUP(H1177,TABLEITEM,3,FALSE),"")</f>
        <v>แผ่นPVC ใส4'x8'T2.0</v>
      </c>
      <c r="N1177" s="7">
        <f>INSTOCK!$I1177*INSTOCK!$K1177</f>
        <v>14000</v>
      </c>
      <c r="O1177" s="2"/>
      <c r="P1177" s="2"/>
    </row>
    <row r="1178" ht="18.0" hidden="1" customHeight="1">
      <c r="A1178" s="1"/>
      <c r="B1178" s="3"/>
      <c r="C1178" s="4">
        <v>43491.0</v>
      </c>
      <c r="D1178" s="2">
        <v>26512.0</v>
      </c>
      <c r="E1178" s="2">
        <v>6.201000017E9</v>
      </c>
      <c r="F1178" s="3" t="s">
        <v>1022</v>
      </c>
      <c r="G1178" s="2" t="s">
        <v>1361</v>
      </c>
      <c r="H1178" s="2" t="s">
        <v>1362</v>
      </c>
      <c r="I1178" s="3">
        <v>28.0</v>
      </c>
      <c r="J1178" s="3" t="s">
        <v>1363</v>
      </c>
      <c r="K1178" s="5">
        <v>471.4285</v>
      </c>
      <c r="L1178" s="6" t="str">
        <f>IF(D1178&lt;&gt;"",VLOOKUP(H1178,TABLEITEM,2,FALSE),"")</f>
        <v>MAT GL</v>
      </c>
      <c r="M1178" s="6" t="str">
        <f>IF(D1178&lt;&gt;"",VLOOKUP(H1178,TABLEITEM,3,FALSE),"")</f>
        <v>เก้าอี้นั่ง ขนาด 700x700x800 ชุบ HOTDIP</v>
      </c>
      <c r="N1178" s="7">
        <f>INSTOCK!$I1178*INSTOCK!$K1178</f>
        <v>13199.998</v>
      </c>
      <c r="O1178" s="2"/>
      <c r="P1178" s="2"/>
    </row>
    <row r="1179" ht="18.0" hidden="1" customHeight="1">
      <c r="A1179" s="1"/>
      <c r="B1179" s="3"/>
      <c r="C1179" s="4">
        <v>43473.0</v>
      </c>
      <c r="D1179" s="2">
        <v>26581.0</v>
      </c>
      <c r="E1179" s="2"/>
      <c r="F1179" s="3" t="s">
        <v>1022</v>
      </c>
      <c r="G1179" s="2" t="s">
        <v>1361</v>
      </c>
      <c r="H1179" s="2" t="s">
        <v>1362</v>
      </c>
      <c r="I1179" s="3">
        <v>29.0</v>
      </c>
      <c r="J1179" s="3" t="s">
        <v>1363</v>
      </c>
      <c r="K1179" s="5">
        <v>470.6896</v>
      </c>
      <c r="L1179" s="6" t="str">
        <f>IF(D1179&lt;&gt;"",VLOOKUP(H1179,TABLEITEM,2,FALSE),"")</f>
        <v>MAT GL</v>
      </c>
      <c r="M1179" s="6" t="str">
        <f>IF(D1179&lt;&gt;"",VLOOKUP(H1179,TABLEITEM,3,FALSE),"")</f>
        <v>เก้าอี้นั่ง ขนาด 700x700x800 ชุบ HOTDIP</v>
      </c>
      <c r="N1179" s="7">
        <f>INSTOCK!$I1179*INSTOCK!$K1179</f>
        <v>13649.9984</v>
      </c>
      <c r="O1179" s="2"/>
      <c r="P1179" s="2"/>
    </row>
    <row r="1180" ht="18.0" hidden="1" customHeight="1">
      <c r="A1180" s="1"/>
      <c r="B1180" s="3"/>
      <c r="C1180" s="4">
        <v>43467.0</v>
      </c>
      <c r="D1180" s="2">
        <v>26577.0</v>
      </c>
      <c r="E1180" s="2">
        <v>6.201000018E9</v>
      </c>
      <c r="F1180" s="3" t="s">
        <v>1022</v>
      </c>
      <c r="G1180" s="2" t="s">
        <v>1361</v>
      </c>
      <c r="H1180" s="2" t="s">
        <v>1362</v>
      </c>
      <c r="I1180" s="3">
        <v>15.0</v>
      </c>
      <c r="J1180" s="3" t="s">
        <v>1363</v>
      </c>
      <c r="K1180" s="5">
        <v>460.0</v>
      </c>
      <c r="L1180" s="6" t="str">
        <f>IF(D1180&lt;&gt;"",VLOOKUP(H1180,TABLEITEM,2,FALSE),"")</f>
        <v>MAT GL</v>
      </c>
      <c r="M1180" s="6" t="str">
        <f>IF(D1180&lt;&gt;"",VLOOKUP(H1180,TABLEITEM,3,FALSE),"")</f>
        <v>เก้าอี้นั่ง ขนาด 700x700x800 ชุบ HOTDIP</v>
      </c>
      <c r="N1180" s="7">
        <f>INSTOCK!$I1180*INSTOCK!$K1180</f>
        <v>6900</v>
      </c>
      <c r="O1180" s="2"/>
      <c r="P1180" s="2"/>
    </row>
    <row r="1181" ht="18.0" hidden="1" customHeight="1">
      <c r="A1181" s="1"/>
      <c r="B1181" s="3"/>
      <c r="C1181" s="4">
        <v>43467.0</v>
      </c>
      <c r="D1181" s="2">
        <v>26578.0</v>
      </c>
      <c r="E1181" s="2">
        <v>6.201000019E9</v>
      </c>
      <c r="F1181" s="3" t="s">
        <v>1022</v>
      </c>
      <c r="G1181" s="2" t="s">
        <v>1361</v>
      </c>
      <c r="H1181" s="2" t="s">
        <v>1362</v>
      </c>
      <c r="I1181" s="3">
        <v>20.0</v>
      </c>
      <c r="J1181" s="3" t="s">
        <v>1363</v>
      </c>
      <c r="K1181" s="5">
        <v>472.5</v>
      </c>
      <c r="L1181" s="6" t="str">
        <f>IF(D1181&lt;&gt;"",VLOOKUP(H1181,TABLEITEM,2,FALSE),"")</f>
        <v>MAT GL</v>
      </c>
      <c r="M1181" s="6" t="str">
        <f>IF(D1181&lt;&gt;"",VLOOKUP(H1181,TABLEITEM,3,FALSE),"")</f>
        <v>เก้าอี้นั่ง ขนาด 700x700x800 ชุบ HOTDIP</v>
      </c>
      <c r="N1181" s="7">
        <f>INSTOCK!$I1181*INSTOCK!$K1181</f>
        <v>9450</v>
      </c>
      <c r="O1181" s="2"/>
      <c r="P1181" s="2"/>
    </row>
    <row r="1182" ht="18.0" hidden="1" customHeight="1">
      <c r="A1182" s="1"/>
      <c r="B1182" s="3"/>
      <c r="C1182" s="4">
        <v>43460.0</v>
      </c>
      <c r="D1182" s="2">
        <v>26511.0</v>
      </c>
      <c r="E1182" s="2">
        <v>6.201000016E9</v>
      </c>
      <c r="F1182" s="3" t="s">
        <v>1022</v>
      </c>
      <c r="G1182" s="2" t="s">
        <v>1361</v>
      </c>
      <c r="H1182" s="2" t="s">
        <v>1364</v>
      </c>
      <c r="I1182" s="3">
        <v>51.0</v>
      </c>
      <c r="J1182" s="3" t="s">
        <v>1363</v>
      </c>
      <c r="K1182" s="5">
        <v>74.5098</v>
      </c>
      <c r="L1182" s="6" t="str">
        <f>IF(D1182&lt;&gt;"",VLOOKUP(H1182,TABLEITEM,2,FALSE),"")</f>
        <v>MAT GL</v>
      </c>
      <c r="M1182" s="6" t="str">
        <f>IF(D1182&lt;&gt;"",VLOOKUP(H1182,TABLEITEM,3,FALSE),"")</f>
        <v>โต๊ะ ขนาด 350x445 ชุบHOTDIP</v>
      </c>
      <c r="N1182" s="7">
        <f>INSTOCK!$I1182*INSTOCK!$K1182</f>
        <v>3799.9998</v>
      </c>
      <c r="O1182" s="2"/>
      <c r="P1182" s="2"/>
    </row>
    <row r="1183" ht="18.0" hidden="1" customHeight="1">
      <c r="A1183" s="1"/>
      <c r="B1183" s="3"/>
      <c r="C1183" s="4">
        <v>43460.0</v>
      </c>
      <c r="D1183" s="2">
        <v>26511.0</v>
      </c>
      <c r="E1183" s="2">
        <v>6.201000016E9</v>
      </c>
      <c r="F1183" s="3" t="s">
        <v>1022</v>
      </c>
      <c r="G1183" s="2" t="s">
        <v>1361</v>
      </c>
      <c r="H1183" s="2" t="s">
        <v>1362</v>
      </c>
      <c r="I1183" s="3">
        <v>10.0</v>
      </c>
      <c r="J1183" s="3" t="s">
        <v>1363</v>
      </c>
      <c r="K1183" s="5">
        <v>460.0</v>
      </c>
      <c r="L1183" s="6" t="str">
        <f>IF(D1183&lt;&gt;"",VLOOKUP(H1183,TABLEITEM,2,FALSE),"")</f>
        <v>MAT GL</v>
      </c>
      <c r="M1183" s="6" t="str">
        <f>IF(D1183&lt;&gt;"",VLOOKUP(H1183,TABLEITEM,3,FALSE),"")</f>
        <v>เก้าอี้นั่ง ขนาด 700x700x800 ชุบ HOTDIP</v>
      </c>
      <c r="N1183" s="7">
        <f>INSTOCK!$I1183*INSTOCK!$K1183</f>
        <v>4600</v>
      </c>
      <c r="O1183" s="2"/>
      <c r="P1183" s="2"/>
    </row>
    <row r="1184" ht="18.0" hidden="1" customHeight="1">
      <c r="A1184" s="1"/>
      <c r="B1184" s="3"/>
      <c r="C1184" s="4">
        <v>43476.0</v>
      </c>
      <c r="D1184" s="2" t="s">
        <v>1365</v>
      </c>
      <c r="E1184" s="2">
        <v>6.201000039E9</v>
      </c>
      <c r="F1184" s="3" t="s">
        <v>161</v>
      </c>
      <c r="G1184" s="2" t="s">
        <v>202</v>
      </c>
      <c r="H1184" s="2" t="s">
        <v>55</v>
      </c>
      <c r="I1184" s="3">
        <v>10.0</v>
      </c>
      <c r="J1184" s="3"/>
      <c r="K1184" s="5">
        <v>3860.0</v>
      </c>
      <c r="L1184" s="6" t="str">
        <f>IF(D1184&lt;&gt;"",VLOOKUP(H1184,TABLEITEM,2,FALSE),"")</f>
        <v>MAT ST</v>
      </c>
      <c r="M1184" s="6" t="str">
        <f>IF(D1184&lt;&gt;"",VLOOKUP(H1184,TABLEITEM,3,FALSE),"")</f>
        <v>เหล็กแผ่นดำ5'x10'T4.5</v>
      </c>
      <c r="N1184" s="7">
        <f>INSTOCK!$I1184*INSTOCK!$K1184</f>
        <v>38600</v>
      </c>
      <c r="O1184" s="2"/>
      <c r="P1184" s="2"/>
    </row>
    <row r="1185" ht="18.0" hidden="1" customHeight="1">
      <c r="A1185" s="1"/>
      <c r="B1185" s="3"/>
      <c r="C1185" s="4">
        <v>43476.0</v>
      </c>
      <c r="D1185" s="2" t="s">
        <v>1366</v>
      </c>
      <c r="E1185" s="2"/>
      <c r="F1185" s="3" t="s">
        <v>161</v>
      </c>
      <c r="G1185" s="2" t="s">
        <v>456</v>
      </c>
      <c r="H1185" s="2" t="s">
        <v>542</v>
      </c>
      <c r="I1185" s="3">
        <v>11.0</v>
      </c>
      <c r="J1185" s="3"/>
      <c r="K1185" s="5"/>
      <c r="L1185" s="6" t="str">
        <f>IF(D1185&lt;&gt;"",VLOOKUP(H1185,TABLEITEM,2,FALSE),"")</f>
        <v>PART</v>
      </c>
      <c r="M1185" s="6" t="str">
        <f>IF(D1185&lt;&gt;"",VLOOKUP(H1185,TABLEITEM,3,FALSE),"")</f>
        <v>ฝาข้าง-ฝาหลัง 1875x770</v>
      </c>
      <c r="N1185" s="7">
        <f>INSTOCK!$I1185*INSTOCK!$K1185</f>
        <v>0</v>
      </c>
      <c r="O1185" s="2"/>
      <c r="P1185" s="2"/>
    </row>
    <row r="1186" ht="18.0" hidden="1" customHeight="1">
      <c r="A1186" s="1"/>
      <c r="B1186" s="3"/>
      <c r="C1186" s="4">
        <v>43476.0</v>
      </c>
      <c r="D1186" s="2" t="s">
        <v>1366</v>
      </c>
      <c r="E1186" s="2"/>
      <c r="F1186" s="3" t="s">
        <v>161</v>
      </c>
      <c r="G1186" s="2" t="s">
        <v>456</v>
      </c>
      <c r="H1186" s="2" t="s">
        <v>1367</v>
      </c>
      <c r="I1186" s="3">
        <v>1.0</v>
      </c>
      <c r="J1186" s="3"/>
      <c r="K1186" s="5"/>
      <c r="L1186" s="6" t="str">
        <f>IF(D1186&lt;&gt;"",VLOOKUP(H1186,TABLEITEM,2,FALSE),"")</f>
        <v>PART</v>
      </c>
      <c r="M1186" s="6" t="str">
        <f>IF(D1186&lt;&gt;"",VLOOKUP(H1186,TABLEITEM,3,FALSE),"")</f>
        <v>ฝารูเปเปอร์ 2101x997เรียบ</v>
      </c>
      <c r="N1186" s="7">
        <f>INSTOCK!$I1186*INSTOCK!$K1186</f>
        <v>0</v>
      </c>
      <c r="O1186" s="2"/>
      <c r="P1186" s="2"/>
    </row>
    <row r="1187" ht="18.0" hidden="1" customHeight="1">
      <c r="A1187" s="1"/>
      <c r="B1187" s="3"/>
      <c r="C1187" s="4">
        <v>43476.0</v>
      </c>
      <c r="D1187" s="2" t="s">
        <v>1366</v>
      </c>
      <c r="E1187" s="2"/>
      <c r="F1187" s="3" t="s">
        <v>161</v>
      </c>
      <c r="G1187" s="2" t="s">
        <v>456</v>
      </c>
      <c r="H1187" s="2" t="s">
        <v>1368</v>
      </c>
      <c r="I1187" s="3">
        <v>1.0</v>
      </c>
      <c r="J1187" s="3"/>
      <c r="K1187" s="5"/>
      <c r="L1187" s="6" t="str">
        <f>IF(D1187&lt;&gt;"",VLOOKUP(H1187,TABLEITEM,2,FALSE),"")</f>
        <v>PART</v>
      </c>
      <c r="M1187" s="6" t="str">
        <f>IF(D1187&lt;&gt;"",VLOOKUP(H1187,TABLEITEM,3,FALSE),"")</f>
        <v>ฝารูเปเปอร์ 2101x997เกล็ด</v>
      </c>
      <c r="N1187" s="7">
        <f>INSTOCK!$I1187*INSTOCK!$K1187</f>
        <v>0</v>
      </c>
      <c r="O1187" s="2"/>
      <c r="P1187" s="2"/>
    </row>
    <row r="1188" ht="18.0" hidden="1" customHeight="1">
      <c r="A1188" s="1"/>
      <c r="B1188" s="3"/>
      <c r="C1188" s="4">
        <v>43476.0</v>
      </c>
      <c r="D1188" s="2" t="s">
        <v>1366</v>
      </c>
      <c r="E1188" s="2"/>
      <c r="F1188" s="3" t="s">
        <v>161</v>
      </c>
      <c r="G1188" s="2" t="s">
        <v>456</v>
      </c>
      <c r="H1188" s="2" t="s">
        <v>1369</v>
      </c>
      <c r="I1188" s="3">
        <v>16.0</v>
      </c>
      <c r="J1188" s="3"/>
      <c r="K1188" s="5"/>
      <c r="L1188" s="6" t="str">
        <f>IF(D1188&lt;&gt;"",VLOOKUP(H1188,TABLEITEM,2,FALSE),"")</f>
        <v>PART</v>
      </c>
      <c r="M1188" s="6" t="str">
        <f>IF(D1188&lt;&gt;"",VLOOKUP(H1188,TABLEITEM,3,FALSE),"")</f>
        <v>ฝารูเปเปอร์2250x997เรียบ</v>
      </c>
      <c r="N1188" s="7">
        <f>INSTOCK!$I1188*INSTOCK!$K1188</f>
        <v>0</v>
      </c>
      <c r="O1188" s="2"/>
      <c r="P1188" s="2"/>
    </row>
    <row r="1189" ht="18.0" hidden="1" customHeight="1">
      <c r="A1189" s="1"/>
      <c r="B1189" s="3"/>
      <c r="C1189" s="4">
        <v>43476.0</v>
      </c>
      <c r="D1189" s="2" t="s">
        <v>1366</v>
      </c>
      <c r="E1189" s="2"/>
      <c r="F1189" s="3" t="s">
        <v>161</v>
      </c>
      <c r="G1189" s="2" t="s">
        <v>456</v>
      </c>
      <c r="H1189" s="2" t="s">
        <v>1370</v>
      </c>
      <c r="I1189" s="3">
        <v>3.0</v>
      </c>
      <c r="J1189" s="3"/>
      <c r="K1189" s="5"/>
      <c r="L1189" s="6" t="str">
        <f>IF(D1189&lt;&gt;"",VLOOKUP(H1189,TABLEITEM,2,FALSE),"")</f>
        <v>PART</v>
      </c>
      <c r="M1189" s="6" t="str">
        <f>IF(D1189&lt;&gt;"",VLOOKUP(H1189,TABLEITEM,3,FALSE),"")</f>
        <v>ฝาเรียบ 1575x570</v>
      </c>
      <c r="N1189" s="7">
        <f>INSTOCK!$I1189*INSTOCK!$K1189</f>
        <v>0</v>
      </c>
      <c r="O1189" s="2"/>
      <c r="P1189" s="2"/>
    </row>
    <row r="1190" ht="18.0" hidden="1" customHeight="1">
      <c r="A1190" s="1"/>
      <c r="B1190" s="3"/>
      <c r="C1190" s="4">
        <v>43476.0</v>
      </c>
      <c r="D1190" s="2" t="s">
        <v>1371</v>
      </c>
      <c r="E1190" s="2">
        <v>6.20100004E9</v>
      </c>
      <c r="F1190" s="3" t="s">
        <v>161</v>
      </c>
      <c r="G1190" s="2" t="s">
        <v>171</v>
      </c>
      <c r="H1190" s="2" t="s">
        <v>17</v>
      </c>
      <c r="I1190" s="3">
        <v>100.0</v>
      </c>
      <c r="J1190" s="3"/>
      <c r="K1190" s="5">
        <v>672.48</v>
      </c>
      <c r="L1190" s="6" t="str">
        <f>IF(D1190&lt;&gt;"",VLOOKUP(H1190,TABLEITEM,2,FALSE),"")</f>
        <v>MAT ST</v>
      </c>
      <c r="M1190" s="6" t="str">
        <f>IF(D1190&lt;&gt;"",VLOOKUP(H1190,TABLEITEM,3,FALSE),"")</f>
        <v>เหล็กแผ่นขาว4'x8'T1.2</v>
      </c>
      <c r="N1190" s="7">
        <f>INSTOCK!$I1190*INSTOCK!$K1190</f>
        <v>67248</v>
      </c>
      <c r="O1190" s="2" t="s">
        <v>1372</v>
      </c>
      <c r="P1190" s="2"/>
    </row>
    <row r="1191" ht="18.0" hidden="1" customHeight="1">
      <c r="A1191" s="1"/>
      <c r="B1191" s="3"/>
      <c r="C1191" s="4">
        <v>43479.0</v>
      </c>
      <c r="D1191" s="2" t="s">
        <v>1373</v>
      </c>
      <c r="E1191" s="2">
        <v>6.201000055E9</v>
      </c>
      <c r="F1191" s="3" t="s">
        <v>1374</v>
      </c>
      <c r="G1191" s="2" t="s">
        <v>153</v>
      </c>
      <c r="H1191" s="2" t="s">
        <v>106</v>
      </c>
      <c r="I1191" s="3">
        <v>40.0</v>
      </c>
      <c r="J1191" s="3" t="s">
        <v>78</v>
      </c>
      <c r="K1191" s="5">
        <v>12.5</v>
      </c>
      <c r="L1191" s="6" t="str">
        <f>IF(D1191&lt;&gt;"",VLOOKUP(H1191,TABLEITEM,2,FALSE),"")</f>
        <v>MAT ST</v>
      </c>
      <c r="M1191" s="6" t="str">
        <f>IF(D1191&lt;&gt;"",VLOOKUP(H1191,TABLEITEM,3,FALSE),"")</f>
        <v>เหล็กเพลากลม 7มิล</v>
      </c>
      <c r="N1191" s="7">
        <f>INSTOCK!$I1191*INSTOCK!$K1191</f>
        <v>500</v>
      </c>
      <c r="O1191" s="2"/>
      <c r="P1191" s="2"/>
    </row>
    <row r="1192" ht="18.0" hidden="1" customHeight="1">
      <c r="A1192" s="1"/>
      <c r="B1192" s="3"/>
      <c r="C1192" s="4">
        <v>43477.0</v>
      </c>
      <c r="D1192" s="2" t="s">
        <v>1203</v>
      </c>
      <c r="E1192" s="2">
        <v>6.201000062E9</v>
      </c>
      <c r="F1192" s="3" t="s">
        <v>1375</v>
      </c>
      <c r="G1192" s="2" t="s">
        <v>733</v>
      </c>
      <c r="H1192" s="2" t="s">
        <v>1376</v>
      </c>
      <c r="I1192" s="3">
        <v>2.0</v>
      </c>
      <c r="J1192" s="3"/>
      <c r="K1192" s="5">
        <v>260.0</v>
      </c>
      <c r="L1192" s="6" t="str">
        <f>IF(D1192&lt;&gt;"",VLOOKUP(H1192,TABLEITEM,2,FALSE),"")</f>
        <v>MAT GL</v>
      </c>
      <c r="M1192" s="6" t="str">
        <f>IF(D1192&lt;&gt;"",VLOOKUP(H1192,TABLEITEM,3,FALSE),"")</f>
        <v>กระจก 712x816 T 5.0</v>
      </c>
      <c r="N1192" s="7">
        <f>INSTOCK!$I1192*INSTOCK!$K1192</f>
        <v>520</v>
      </c>
      <c r="O1192" s="2"/>
      <c r="P1192" s="2"/>
    </row>
    <row r="1193" ht="18.0" hidden="1" customHeight="1">
      <c r="A1193" s="1"/>
      <c r="B1193" s="3"/>
      <c r="C1193" s="4">
        <v>43468.0</v>
      </c>
      <c r="D1193" s="2" t="s">
        <v>1203</v>
      </c>
      <c r="E1193" s="2">
        <v>6.201000062E9</v>
      </c>
      <c r="F1193" s="3" t="s">
        <v>1377</v>
      </c>
      <c r="G1193" s="2" t="s">
        <v>733</v>
      </c>
      <c r="H1193" s="2" t="s">
        <v>1378</v>
      </c>
      <c r="I1193" s="3">
        <v>1.0</v>
      </c>
      <c r="J1193" s="3"/>
      <c r="K1193" s="5">
        <v>70.0</v>
      </c>
      <c r="L1193" s="6" t="str">
        <f>IF(D1193&lt;&gt;"",VLOOKUP(H1193,TABLEITEM,2,FALSE),"")</f>
        <v>MAT GL</v>
      </c>
      <c r="M1193" s="6" t="str">
        <f>IF(D1193&lt;&gt;"",VLOOKUP(H1193,TABLEITEM,3,FALSE),"")</f>
        <v>กระจก 262x462 T 5.0</v>
      </c>
      <c r="N1193" s="7">
        <f>INSTOCK!$I1193*INSTOCK!$K1193</f>
        <v>70</v>
      </c>
      <c r="O1193" s="2"/>
      <c r="P1193" s="2"/>
    </row>
    <row r="1194" ht="18.0" hidden="1" customHeight="1">
      <c r="A1194" s="1"/>
      <c r="B1194" s="3"/>
      <c r="C1194" s="4">
        <v>43469.0</v>
      </c>
      <c r="D1194" s="2" t="s">
        <v>1203</v>
      </c>
      <c r="E1194" s="2">
        <v>6.201000062E9</v>
      </c>
      <c r="F1194" s="3" t="s">
        <v>1379</v>
      </c>
      <c r="G1194" s="2" t="s">
        <v>733</v>
      </c>
      <c r="H1194" s="2" t="s">
        <v>1380</v>
      </c>
      <c r="I1194" s="3">
        <v>1.0</v>
      </c>
      <c r="J1194" s="3"/>
      <c r="K1194" s="5">
        <v>95.0</v>
      </c>
      <c r="L1194" s="6" t="str">
        <f>IF(D1194&lt;&gt;"",VLOOKUP(H1194,TABLEITEM,2,FALSE),"")</f>
        <v>MAT GL</v>
      </c>
      <c r="M1194" s="6" t="str">
        <f>IF(D1194&lt;&gt;"",VLOOKUP(H1194,TABLEITEM,3,FALSE),"")</f>
        <v>กระจก 312x662 T 5.0</v>
      </c>
      <c r="N1194" s="7">
        <f>INSTOCK!$I1194*INSTOCK!$K1194</f>
        <v>95</v>
      </c>
      <c r="O1194" s="2"/>
      <c r="P1194" s="2"/>
    </row>
    <row r="1195" ht="18.0" hidden="1" customHeight="1">
      <c r="A1195" s="1"/>
      <c r="B1195" s="3"/>
      <c r="C1195" s="4">
        <v>43469.0</v>
      </c>
      <c r="D1195" s="2" t="s">
        <v>1381</v>
      </c>
      <c r="E1195" s="2">
        <v>6.201000062E9</v>
      </c>
      <c r="F1195" s="3" t="s">
        <v>1382</v>
      </c>
      <c r="G1195" s="2" t="s">
        <v>733</v>
      </c>
      <c r="H1195" s="2" t="s">
        <v>1201</v>
      </c>
      <c r="I1195" s="3">
        <v>1.0</v>
      </c>
      <c r="J1195" s="3"/>
      <c r="K1195" s="5">
        <v>90.0</v>
      </c>
      <c r="L1195" s="6" t="str">
        <f>IF(D1195&lt;&gt;"",VLOOKUP(H1195,TABLEITEM,2,FALSE),"")</f>
        <v>MAT GL</v>
      </c>
      <c r="M1195" s="6" t="str">
        <f>IF(D1195&lt;&gt;"",VLOOKUP(H1195,TABLEITEM,3,FALSE),"")</f>
        <v>กระจก312x512T5.0</v>
      </c>
      <c r="N1195" s="7">
        <f>INSTOCK!$I1195*INSTOCK!$K1195</f>
        <v>90</v>
      </c>
      <c r="O1195" s="2"/>
      <c r="P1195" s="2"/>
    </row>
    <row r="1196" ht="18.0" hidden="1" customHeight="1">
      <c r="A1196" s="1"/>
      <c r="B1196" s="3"/>
      <c r="C1196" s="4">
        <v>43476.0</v>
      </c>
      <c r="D1196" s="2" t="s">
        <v>1203</v>
      </c>
      <c r="E1196" s="2">
        <v>6.201000062E9</v>
      </c>
      <c r="F1196" s="3" t="s">
        <v>1379</v>
      </c>
      <c r="G1196" s="2" t="s">
        <v>733</v>
      </c>
      <c r="H1196" s="2" t="s">
        <v>1383</v>
      </c>
      <c r="I1196" s="3">
        <v>1.0</v>
      </c>
      <c r="J1196" s="3"/>
      <c r="K1196" s="5">
        <v>115.0</v>
      </c>
      <c r="L1196" s="6" t="str">
        <f>IF(D1196&lt;&gt;"",VLOOKUP(H1196,TABLEITEM,2,FALSE),"")</f>
        <v>MAT GL</v>
      </c>
      <c r="M1196" s="6" t="str">
        <f>IF(D1196&lt;&gt;"",VLOOKUP(H1196,TABLEITEM,3,FALSE),"")</f>
        <v>กระจก362X662T5.0</v>
      </c>
      <c r="N1196" s="7">
        <f>INSTOCK!$I1196*INSTOCK!$K1196</f>
        <v>115</v>
      </c>
      <c r="O1196" s="2"/>
      <c r="P1196" s="2"/>
    </row>
    <row r="1197" ht="18.0" hidden="1" customHeight="1">
      <c r="A1197" s="1"/>
      <c r="B1197" s="3"/>
      <c r="C1197" s="4">
        <v>43481.0</v>
      </c>
      <c r="D1197" s="2" t="s">
        <v>1384</v>
      </c>
      <c r="E1197" s="2">
        <v>6.201000064E9</v>
      </c>
      <c r="F1197" s="3" t="s">
        <v>1385</v>
      </c>
      <c r="G1197" s="2" t="s">
        <v>146</v>
      </c>
      <c r="H1197" s="2" t="s">
        <v>97</v>
      </c>
      <c r="I1197" s="3">
        <v>30.0</v>
      </c>
      <c r="J1197" s="3" t="s">
        <v>78</v>
      </c>
      <c r="K1197" s="5">
        <v>75.0</v>
      </c>
      <c r="L1197" s="6" t="str">
        <f>IF(D1197&lt;&gt;"",VLOOKUP(H1197,TABLEITEM,2,FALSE),"")</f>
        <v>MAT ST</v>
      </c>
      <c r="M1197" s="6" t="str">
        <f>IF(D1197&lt;&gt;"",VLOOKUP(H1197,TABLEITEM,3,FALSE),"")</f>
        <v>เหล็กกล่อง 2'' หนา2.3 มิล</v>
      </c>
      <c r="N1197" s="7">
        <f>INSTOCK!$I1197*INSTOCK!$K1197</f>
        <v>2250</v>
      </c>
      <c r="O1197" s="2" t="s">
        <v>1386</v>
      </c>
      <c r="P1197" s="2"/>
    </row>
    <row r="1198" ht="18.0" hidden="1" customHeight="1">
      <c r="A1198" s="1"/>
      <c r="B1198" s="3"/>
      <c r="C1198" s="4">
        <v>43486.0</v>
      </c>
      <c r="D1198" s="2" t="s">
        <v>1387</v>
      </c>
      <c r="E1198" s="2"/>
      <c r="F1198" s="3" t="s">
        <v>161</v>
      </c>
      <c r="G1198" s="2" t="s">
        <v>456</v>
      </c>
      <c r="H1198" s="2" t="s">
        <v>710</v>
      </c>
      <c r="I1198" s="3">
        <v>105.0</v>
      </c>
      <c r="J1198" s="3"/>
      <c r="K1198" s="5"/>
      <c r="L1198" s="6" t="str">
        <f>IF(D1198&lt;&gt;"",VLOOKUP(H1198,TABLEITEM,2,FALSE),"")</f>
        <v>PART</v>
      </c>
      <c r="M1198" s="6" t="str">
        <f>IF(D1198&lt;&gt;"",VLOOKUP(H1198,TABLEITEM,3,FALSE),"")</f>
        <v>คานฝาหน้า 50x22x720</v>
      </c>
      <c r="N1198" s="7">
        <f>INSTOCK!$I1198*INSTOCK!$K1198</f>
        <v>0</v>
      </c>
      <c r="O1198" s="2"/>
      <c r="P1198" s="2"/>
    </row>
    <row r="1199" ht="18.0" hidden="1" customHeight="1">
      <c r="A1199" s="1"/>
      <c r="B1199" s="3"/>
      <c r="C1199" s="4">
        <v>43488.0</v>
      </c>
      <c r="D1199" s="2" t="s">
        <v>1387</v>
      </c>
      <c r="E1199" s="2"/>
      <c r="F1199" s="3" t="s">
        <v>161</v>
      </c>
      <c r="G1199" s="2" t="s">
        <v>456</v>
      </c>
      <c r="H1199" s="2" t="s">
        <v>1388</v>
      </c>
      <c r="I1199" s="3">
        <v>117.0</v>
      </c>
      <c r="J1199" s="3"/>
      <c r="K1199" s="5"/>
      <c r="L1199" s="6" t="str">
        <f>IF(D1199&lt;&gt;"",VLOOKUP(H1199,TABLEITEM,2,FALSE),"")</f>
        <v>PART</v>
      </c>
      <c r="M1199" s="6" t="str">
        <f>IF(D1199&lt;&gt;"",VLOOKUP(H1199,TABLEITEM,3,FALSE),"")</f>
        <v>คานฝาหน้า 50x22x1020</v>
      </c>
      <c r="N1199" s="7">
        <f>INSTOCK!$I1199*INSTOCK!$K1199</f>
        <v>0</v>
      </c>
      <c r="O1199" s="2"/>
      <c r="P1199" s="2"/>
    </row>
    <row r="1200" ht="18.0" hidden="1" customHeight="1">
      <c r="A1200" s="1"/>
      <c r="B1200" s="3"/>
      <c r="C1200" s="4">
        <v>43488.0</v>
      </c>
      <c r="D1200" s="2" t="s">
        <v>1389</v>
      </c>
      <c r="E1200" s="2"/>
      <c r="F1200" s="3" t="s">
        <v>161</v>
      </c>
      <c r="G1200" s="2" t="s">
        <v>456</v>
      </c>
      <c r="H1200" s="2" t="s">
        <v>484</v>
      </c>
      <c r="I1200" s="3">
        <v>313.0</v>
      </c>
      <c r="J1200" s="3"/>
      <c r="K1200" s="5"/>
      <c r="L1200" s="6" t="str">
        <f>IF(D1200&lt;&gt;"",VLOOKUP(H1200,TABLEITEM,2,FALSE),"")</f>
        <v>PART</v>
      </c>
      <c r="M1200" s="6" t="str">
        <f>IF(D1200&lt;&gt;"",VLOOKUP(H1200,TABLEITEM,3,FALSE),"")</f>
        <v>คานต่อโครง3mm 68x45x720</v>
      </c>
      <c r="N1200" s="7">
        <f>INSTOCK!$I1200*INSTOCK!$K1200</f>
        <v>0</v>
      </c>
      <c r="O1200" s="2"/>
      <c r="P1200" s="2"/>
    </row>
    <row r="1201" ht="18.0" hidden="1" customHeight="1">
      <c r="A1201" s="1"/>
      <c r="B1201" s="3"/>
      <c r="C1201" s="4">
        <v>43487.0</v>
      </c>
      <c r="D1201" s="2" t="s">
        <v>1390</v>
      </c>
      <c r="E1201" s="2">
        <v>6.201000074E9</v>
      </c>
      <c r="F1201" s="3" t="s">
        <v>161</v>
      </c>
      <c r="G1201" s="2" t="s">
        <v>171</v>
      </c>
      <c r="H1201" s="2" t="s">
        <v>25</v>
      </c>
      <c r="I1201" s="3">
        <v>66.0</v>
      </c>
      <c r="J1201" s="3"/>
      <c r="K1201" s="5">
        <v>1761.3636</v>
      </c>
      <c r="L1201" s="6" t="str">
        <f>IF(D1201&lt;&gt;"",VLOOKUP(H1201,TABLEITEM,2,FALSE),"")</f>
        <v>MAT ST</v>
      </c>
      <c r="M1201" s="6" t="str">
        <f>IF(D1201&lt;&gt;"",VLOOKUP(H1201,TABLEITEM,3,FALSE),"")</f>
        <v>เหล็กแผ่นขาว4'x8'T3.0</v>
      </c>
      <c r="N1201" s="7">
        <f>INSTOCK!$I1201*INSTOCK!$K1201</f>
        <v>116249.9976</v>
      </c>
      <c r="O1201" s="2" t="s">
        <v>1391</v>
      </c>
      <c r="P1201" s="2"/>
    </row>
    <row r="1202" ht="18.0" hidden="1" customHeight="1">
      <c r="A1202" s="1"/>
      <c r="B1202" s="3"/>
      <c r="C1202" s="4">
        <v>43487.0</v>
      </c>
      <c r="D1202" s="2" t="s">
        <v>1392</v>
      </c>
      <c r="E1202" s="2">
        <v>6.201000086E9</v>
      </c>
      <c r="F1202" s="3" t="s">
        <v>1393</v>
      </c>
      <c r="G1202" s="2" t="s">
        <v>171</v>
      </c>
      <c r="H1202" s="2" t="s">
        <v>1394</v>
      </c>
      <c r="I1202" s="3">
        <v>135.0</v>
      </c>
      <c r="J1202" s="3"/>
      <c r="K1202" s="5">
        <v>457.3333</v>
      </c>
      <c r="L1202" s="6" t="str">
        <f>IF(D1202&lt;&gt;"",VLOOKUP(H1202,TABLEITEM,2,FALSE),"")</f>
        <v>MAT ST</v>
      </c>
      <c r="M1202" s="6" t="str">
        <f>IF(D1202&lt;&gt;"",VLOOKUP(H1202,TABLEITEM,3,FALSE),"")</f>
        <v>เหล็กแผ่นขาว 4x8 หนา 0.8 มิล</v>
      </c>
      <c r="N1202" s="7">
        <f>INSTOCK!$I1202*INSTOCK!$K1202</f>
        <v>61739.9955</v>
      </c>
      <c r="O1202" s="2" t="s">
        <v>1395</v>
      </c>
      <c r="P1202" s="2"/>
    </row>
    <row r="1203" ht="18.0" hidden="1" customHeight="1">
      <c r="A1203" s="1"/>
      <c r="B1203" s="3"/>
      <c r="C1203" s="4">
        <v>43486.0</v>
      </c>
      <c r="D1203" s="2" t="s">
        <v>1396</v>
      </c>
      <c r="E1203" s="2">
        <v>6.201000074E9</v>
      </c>
      <c r="F1203" s="3" t="s">
        <v>161</v>
      </c>
      <c r="G1203" s="2" t="s">
        <v>171</v>
      </c>
      <c r="H1203" s="2" t="s">
        <v>21</v>
      </c>
      <c r="I1203" s="3">
        <v>200.0</v>
      </c>
      <c r="J1203" s="3"/>
      <c r="K1203" s="5">
        <v>1126.752</v>
      </c>
      <c r="L1203" s="6" t="str">
        <f>IF(D1203&lt;&gt;"",VLOOKUP(H1203,TABLEITEM,2,FALSE),"")</f>
        <v>MAT ST</v>
      </c>
      <c r="M1203" s="6" t="str">
        <f>IF(D1203&lt;&gt;"",VLOOKUP(H1203,TABLEITEM,3,FALSE),"")</f>
        <v>เหล็กแผ่นขาว4'x8'T2.0</v>
      </c>
      <c r="N1203" s="7">
        <f>INSTOCK!$I1203*INSTOCK!$K1203</f>
        <v>225350.4</v>
      </c>
      <c r="O1203" s="2" t="s">
        <v>1397</v>
      </c>
      <c r="P1203" s="2"/>
    </row>
    <row r="1204" ht="18.0" hidden="1" customHeight="1">
      <c r="A1204" s="1"/>
      <c r="B1204" s="3"/>
      <c r="C1204" s="4">
        <v>43486.0</v>
      </c>
      <c r="D1204" s="2" t="s">
        <v>1396</v>
      </c>
      <c r="E1204" s="2">
        <v>6.201000074E9</v>
      </c>
      <c r="F1204" s="3" t="s">
        <v>161</v>
      </c>
      <c r="G1204" s="2" t="s">
        <v>171</v>
      </c>
      <c r="H1204" s="2" t="s">
        <v>25</v>
      </c>
      <c r="I1204" s="3">
        <v>34.0</v>
      </c>
      <c r="J1204" s="3"/>
      <c r="K1204" s="5">
        <v>1757.3529</v>
      </c>
      <c r="L1204" s="6" t="str">
        <f>IF(D1204&lt;&gt;"",VLOOKUP(H1204,TABLEITEM,2,FALSE),"")</f>
        <v>MAT ST</v>
      </c>
      <c r="M1204" s="6" t="str">
        <f>IF(D1204&lt;&gt;"",VLOOKUP(H1204,TABLEITEM,3,FALSE),"")</f>
        <v>เหล็กแผ่นขาว4'x8'T3.0</v>
      </c>
      <c r="N1204" s="7">
        <f>INSTOCK!$I1204*INSTOCK!$K1204</f>
        <v>59749.9986</v>
      </c>
      <c r="O1204" s="2" t="s">
        <v>1398</v>
      </c>
      <c r="P1204" s="2"/>
    </row>
    <row r="1205" ht="18.0" hidden="1" customHeight="1">
      <c r="A1205" s="1"/>
      <c r="B1205" s="3"/>
      <c r="C1205" s="4">
        <v>43486.0</v>
      </c>
      <c r="D1205" s="2" t="s">
        <v>1399</v>
      </c>
      <c r="E1205" s="2">
        <v>6.201000074E9</v>
      </c>
      <c r="F1205" s="3" t="s">
        <v>161</v>
      </c>
      <c r="G1205" s="2" t="s">
        <v>171</v>
      </c>
      <c r="H1205" s="2" t="s">
        <v>19</v>
      </c>
      <c r="I1205" s="3">
        <v>200.0</v>
      </c>
      <c r="J1205" s="3"/>
      <c r="K1205" s="5">
        <v>894.0</v>
      </c>
      <c r="L1205" s="6" t="str">
        <f>IF(D1205&lt;&gt;"",VLOOKUP(H1205,TABLEITEM,2,FALSE),"")</f>
        <v>MAT ST</v>
      </c>
      <c r="M1205" s="6" t="str">
        <f>IF(D1205&lt;&gt;"",VLOOKUP(H1205,TABLEITEM,3,FALSE),"")</f>
        <v>เหล็กแผ่นขาว4'x8'T1.6</v>
      </c>
      <c r="N1205" s="7">
        <f>INSTOCK!$I1205*INSTOCK!$K1205</f>
        <v>178800</v>
      </c>
      <c r="O1205" s="2" t="s">
        <v>1400</v>
      </c>
      <c r="P1205" s="2"/>
    </row>
    <row r="1206" ht="18.0" hidden="1" customHeight="1">
      <c r="A1206" s="1"/>
      <c r="B1206" s="3"/>
      <c r="C1206" s="4">
        <v>43487.0</v>
      </c>
      <c r="D1206" s="2" t="s">
        <v>1401</v>
      </c>
      <c r="E1206" s="2">
        <v>6.201000073E9</v>
      </c>
      <c r="F1206" s="3" t="s">
        <v>161</v>
      </c>
      <c r="G1206" s="2" t="s">
        <v>202</v>
      </c>
      <c r="H1206" s="2" t="s">
        <v>79</v>
      </c>
      <c r="I1206" s="3">
        <v>300.0</v>
      </c>
      <c r="J1206" s="3" t="s">
        <v>78</v>
      </c>
      <c r="K1206" s="5">
        <v>149.16666</v>
      </c>
      <c r="L1206" s="6" t="str">
        <f>IF(D1206&lt;&gt;"",VLOOKUP(H1206,TABLEITEM,2,FALSE),"")</f>
        <v>MAT ST</v>
      </c>
      <c r="M1206" s="6" t="str">
        <f>IF(D1206&lt;&gt;"",VLOOKUP(H1206,TABLEITEM,3,FALSE),"")</f>
        <v>เหล็กรางน้ำ U' 3</v>
      </c>
      <c r="N1206" s="7">
        <f>INSTOCK!$I1206*INSTOCK!$K1206</f>
        <v>44749.998</v>
      </c>
      <c r="O1206" s="2" t="s">
        <v>1402</v>
      </c>
      <c r="P1206" s="2"/>
    </row>
    <row r="1207" ht="18.0" hidden="1" customHeight="1">
      <c r="A1207" s="1"/>
      <c r="B1207" s="3"/>
      <c r="C1207" s="4">
        <v>43487.0</v>
      </c>
      <c r="D1207" s="2" t="s">
        <v>1401</v>
      </c>
      <c r="E1207" s="2">
        <v>6.201000073E9</v>
      </c>
      <c r="F1207" s="3" t="s">
        <v>161</v>
      </c>
      <c r="G1207" s="2" t="s">
        <v>202</v>
      </c>
      <c r="H1207" s="2" t="s">
        <v>89</v>
      </c>
      <c r="I1207" s="3">
        <v>300.0</v>
      </c>
      <c r="J1207" s="3" t="s">
        <v>78</v>
      </c>
      <c r="K1207" s="5">
        <v>83.33333</v>
      </c>
      <c r="L1207" s="6" t="str">
        <f>IF(D1207&lt;&gt;"",VLOOKUP(H1207,TABLEITEM,2,FALSE),"")</f>
        <v>MAT ST</v>
      </c>
      <c r="M1207" s="6" t="str">
        <f>IF(D1207&lt;&gt;"",VLOOKUP(H1207,TABLEITEM,3,FALSE),"")</f>
        <v>เหล็กฉาก 2''หนา5 มิล</v>
      </c>
      <c r="N1207" s="7">
        <f>INSTOCK!$I1207*INSTOCK!$K1207</f>
        <v>24999.999</v>
      </c>
      <c r="O1207" s="2" t="s">
        <v>1403</v>
      </c>
      <c r="P1207" s="2"/>
    </row>
    <row r="1208" ht="18.0" hidden="1" customHeight="1">
      <c r="A1208" s="1"/>
      <c r="B1208" s="3"/>
      <c r="C1208" s="4">
        <v>43482.0</v>
      </c>
      <c r="D1208" s="2" t="s">
        <v>1404</v>
      </c>
      <c r="E1208" s="2">
        <v>6.201000112E9</v>
      </c>
      <c r="F1208" s="3" t="s">
        <v>1405</v>
      </c>
      <c r="G1208" s="2" t="s">
        <v>733</v>
      </c>
      <c r="H1208" s="2" t="s">
        <v>1406</v>
      </c>
      <c r="I1208" s="3">
        <v>4.0</v>
      </c>
      <c r="J1208" s="3"/>
      <c r="K1208" s="5">
        <v>25.0</v>
      </c>
      <c r="L1208" s="6" t="str">
        <f>IF(D1208&lt;&gt;"",VLOOKUP(H1208,TABLEITEM,2,FALSE),"")</f>
        <v>MAT GL</v>
      </c>
      <c r="M1208" s="6" t="str">
        <f>IF(D1208&lt;&gt;"",VLOOKUP(H1208,TABLEITEM,3,FALSE),"")</f>
        <v>กระจก 117x117 T 3.0</v>
      </c>
      <c r="N1208" s="7">
        <f>INSTOCK!$I1208*INSTOCK!$K1208</f>
        <v>100</v>
      </c>
      <c r="O1208" s="2"/>
      <c r="P1208" s="2"/>
    </row>
    <row r="1209" ht="18.0" hidden="1" customHeight="1">
      <c r="A1209" s="1"/>
      <c r="B1209" s="3"/>
      <c r="C1209" s="4">
        <v>43482.0</v>
      </c>
      <c r="D1209" s="2" t="s">
        <v>1407</v>
      </c>
      <c r="E1209" s="2">
        <v>6.201000112E9</v>
      </c>
      <c r="F1209" s="3" t="s">
        <v>1408</v>
      </c>
      <c r="G1209" s="2" t="s">
        <v>733</v>
      </c>
      <c r="H1209" s="2" t="s">
        <v>752</v>
      </c>
      <c r="I1209" s="3">
        <v>6.0</v>
      </c>
      <c r="J1209" s="3"/>
      <c r="K1209" s="5">
        <v>25.0</v>
      </c>
      <c r="L1209" s="6" t="str">
        <f>IF(D1209&lt;&gt;"",VLOOKUP(H1209,TABLEITEM,2,FALSE),"")</f>
        <v>MAT GL</v>
      </c>
      <c r="M1209" s="6" t="str">
        <f>IF(D1209&lt;&gt;"",VLOOKUP(H1209,TABLEITEM,3,FALSE),"")</f>
        <v>กระจก128X128T3.0</v>
      </c>
      <c r="N1209" s="7">
        <f>INSTOCK!$I1209*INSTOCK!$K1209</f>
        <v>150</v>
      </c>
      <c r="O1209" s="2"/>
      <c r="P1209" s="2"/>
    </row>
    <row r="1210" ht="18.0" hidden="1" customHeight="1">
      <c r="A1210" s="1"/>
      <c r="B1210" s="3"/>
      <c r="C1210" s="4">
        <v>43489.0</v>
      </c>
      <c r="D1210" s="2" t="s">
        <v>1409</v>
      </c>
      <c r="E1210" s="2">
        <v>6.201000112E9</v>
      </c>
      <c r="F1210" s="3" t="s">
        <v>1410</v>
      </c>
      <c r="G1210" s="2" t="s">
        <v>733</v>
      </c>
      <c r="H1210" s="2" t="s">
        <v>1411</v>
      </c>
      <c r="I1210" s="3">
        <v>1.0</v>
      </c>
      <c r="J1210" s="3"/>
      <c r="K1210" s="5">
        <v>180.0</v>
      </c>
      <c r="L1210" s="6" t="str">
        <f>IF(D1210&lt;&gt;"",VLOOKUP(H1210,TABLEITEM,2,FALSE),"")</f>
        <v>MAT GL</v>
      </c>
      <c r="M1210" s="6" t="str">
        <f>IF(D1210&lt;&gt;"",VLOOKUP(H1210,TABLEITEM,3,FALSE),"")</f>
        <v>กระจก 512x887 T 5.0</v>
      </c>
      <c r="N1210" s="7">
        <f>INSTOCK!$I1210*INSTOCK!$K1210</f>
        <v>180</v>
      </c>
      <c r="O1210" s="2"/>
      <c r="P1210" s="2"/>
    </row>
    <row r="1211" ht="18.0" hidden="1" customHeight="1">
      <c r="A1211" s="1"/>
      <c r="B1211" s="3"/>
      <c r="C1211" s="4">
        <v>43487.0</v>
      </c>
      <c r="D1211" s="2" t="s">
        <v>1412</v>
      </c>
      <c r="E1211" s="2">
        <v>6.201000112E9</v>
      </c>
      <c r="F1211" s="3" t="s">
        <v>1413</v>
      </c>
      <c r="G1211" s="2" t="s">
        <v>733</v>
      </c>
      <c r="H1211" s="2" t="s">
        <v>1414</v>
      </c>
      <c r="I1211" s="3">
        <v>1.0</v>
      </c>
      <c r="J1211" s="3"/>
      <c r="K1211" s="5">
        <v>38.0</v>
      </c>
      <c r="L1211" s="6" t="str">
        <f>IF(D1211&lt;&gt;"",VLOOKUP(H1211,TABLEITEM,2,FALSE),"")</f>
        <v>MAT GL</v>
      </c>
      <c r="M1211" s="6" t="str">
        <f>IF(D1211&lt;&gt;"",VLOOKUP(H1211,TABLEITEM,3,FALSE),"")</f>
        <v>กระจก 212x412 T 5.0</v>
      </c>
      <c r="N1211" s="7">
        <f>INSTOCK!$I1211*INSTOCK!$K1211</f>
        <v>38</v>
      </c>
      <c r="O1211" s="2"/>
      <c r="P1211" s="2"/>
    </row>
    <row r="1212" ht="18.0" hidden="1" customHeight="1">
      <c r="A1212" s="1"/>
      <c r="B1212" s="3"/>
      <c r="C1212" s="4">
        <v>43490.0</v>
      </c>
      <c r="D1212" s="2" t="s">
        <v>1415</v>
      </c>
      <c r="E1212" s="2">
        <v>6.201000106E9</v>
      </c>
      <c r="F1212" s="3" t="s">
        <v>1416</v>
      </c>
      <c r="G1212" s="2" t="s">
        <v>153</v>
      </c>
      <c r="H1212" s="2" t="s">
        <v>107</v>
      </c>
      <c r="I1212" s="3">
        <v>200.0</v>
      </c>
      <c r="J1212" s="3" t="s">
        <v>78</v>
      </c>
      <c r="K1212" s="5">
        <v>13.0</v>
      </c>
      <c r="L1212" s="6" t="str">
        <f>IF(D1212&lt;&gt;"",VLOOKUP(H1212,TABLEITEM,2,FALSE),"")</f>
        <v>MAT ST</v>
      </c>
      <c r="M1212" s="6" t="str">
        <f>IF(D1212&lt;&gt;"",VLOOKUP(H1212,TABLEITEM,3,FALSE),"")</f>
        <v>เหล็กเพลากลม 8มิล</v>
      </c>
      <c r="N1212" s="7">
        <f>INSTOCK!$I1212*INSTOCK!$K1212</f>
        <v>2600</v>
      </c>
      <c r="O1212" s="2" t="s">
        <v>1109</v>
      </c>
      <c r="P1212" s="2"/>
    </row>
    <row r="1213" ht="18.0" hidden="1" customHeight="1">
      <c r="A1213" s="1"/>
      <c r="B1213" s="3"/>
      <c r="C1213" s="4">
        <v>43491.0</v>
      </c>
      <c r="D1213" s="2" t="s">
        <v>1417</v>
      </c>
      <c r="E1213" s="2"/>
      <c r="F1213" s="3" t="s">
        <v>161</v>
      </c>
      <c r="G1213" s="2" t="s">
        <v>456</v>
      </c>
      <c r="H1213" s="2" t="s">
        <v>586</v>
      </c>
      <c r="I1213" s="3">
        <v>45.0</v>
      </c>
      <c r="J1213" s="3"/>
      <c r="K1213" s="5"/>
      <c r="L1213" s="6" t="str">
        <f>IF(D1213&lt;&gt;"",VLOOKUP(H1213,TABLEITEM,2,FALSE),"")</f>
        <v>PART</v>
      </c>
      <c r="M1213" s="6" t="str">
        <f>IF(D1213&lt;&gt;"",VLOOKUP(H1213,TABLEITEM,3,FALSE),"")</f>
        <v>หมวกตู้ 40x775</v>
      </c>
      <c r="N1213" s="7">
        <f>INSTOCK!$I1213*INSTOCK!$K1213</f>
        <v>0</v>
      </c>
      <c r="O1213" s="2"/>
      <c r="P1213" s="2"/>
    </row>
    <row r="1214" ht="18.0" hidden="1" customHeight="1">
      <c r="A1214" s="1"/>
      <c r="B1214" s="3"/>
      <c r="C1214" s="4">
        <v>43493.0</v>
      </c>
      <c r="D1214" s="2" t="s">
        <v>1418</v>
      </c>
      <c r="E1214" s="2"/>
      <c r="F1214" s="3" t="s">
        <v>161</v>
      </c>
      <c r="G1214" s="2" t="s">
        <v>456</v>
      </c>
      <c r="H1214" s="2" t="s">
        <v>495</v>
      </c>
      <c r="I1214" s="3">
        <v>304.0</v>
      </c>
      <c r="J1214" s="3"/>
      <c r="K1214" s="5"/>
      <c r="L1214" s="6" t="str">
        <f>IF(D1214&lt;&gt;"",VLOOKUP(H1214,TABLEITEM,2,FALSE),"")</f>
        <v>PART</v>
      </c>
      <c r="M1214" s="6" t="str">
        <f>IF(D1214&lt;&gt;"",VLOOKUP(H1214,TABLEITEM,3,FALSE),"")</f>
        <v>คานเชื่อม800</v>
      </c>
      <c r="N1214" s="7">
        <f>INSTOCK!$I1214*INSTOCK!$K1214</f>
        <v>0</v>
      </c>
      <c r="O1214" s="2"/>
      <c r="P1214" s="2"/>
    </row>
    <row r="1215" ht="18.0" hidden="1" customHeight="1">
      <c r="A1215" s="1"/>
      <c r="B1215" s="3"/>
      <c r="C1215" s="4">
        <v>43500.0</v>
      </c>
      <c r="D1215" s="2" t="s">
        <v>1418</v>
      </c>
      <c r="E1215" s="2"/>
      <c r="F1215" s="3" t="s">
        <v>161</v>
      </c>
      <c r="G1215" s="2" t="s">
        <v>456</v>
      </c>
      <c r="H1215" s="2" t="s">
        <v>1419</v>
      </c>
      <c r="I1215" s="3">
        <v>68.0</v>
      </c>
      <c r="J1215" s="3"/>
      <c r="K1215" s="5"/>
      <c r="L1215" s="6" t="str">
        <f>IF(D1215&lt;&gt;"",VLOOKUP(H1215,TABLEITEM,2,FALSE),"")</f>
        <v>PART</v>
      </c>
      <c r="M1215" s="6" t="str">
        <f>IF(D1215&lt;&gt;"",VLOOKUP(H1215,TABLEITEM,3,FALSE),"")</f>
        <v>คานเชื่อม1100</v>
      </c>
      <c r="N1215" s="7">
        <f>INSTOCK!$I1215*INSTOCK!$K1215</f>
        <v>0</v>
      </c>
      <c r="O1215" s="2"/>
      <c r="P1215" s="2"/>
    </row>
    <row r="1216" ht="18.0" hidden="1" customHeight="1">
      <c r="A1216" s="1"/>
      <c r="B1216" s="3"/>
      <c r="C1216" s="4">
        <v>43497.0</v>
      </c>
      <c r="D1216" s="2" t="s">
        <v>1420</v>
      </c>
      <c r="E1216" s="2">
        <v>6.201000162E9</v>
      </c>
      <c r="F1216" s="3" t="s">
        <v>1421</v>
      </c>
      <c r="G1216" s="2" t="s">
        <v>153</v>
      </c>
      <c r="H1216" s="2" t="s">
        <v>142</v>
      </c>
      <c r="I1216" s="3">
        <v>30.0</v>
      </c>
      <c r="J1216" s="3" t="s">
        <v>78</v>
      </c>
      <c r="K1216" s="5">
        <v>19.16666</v>
      </c>
      <c r="L1216" s="6" t="str">
        <f>IF(D1216&lt;&gt;"",VLOOKUP(H1216,TABLEITEM,2,FALSE),"")</f>
        <v>MAT ST</v>
      </c>
      <c r="M1216" s="6" t="str">
        <f>IF(D1216&lt;&gt;"",VLOOKUP(H1216,TABLEITEM,3,FALSE),"")</f>
        <v>เพลาสแตนเลส 5 มิล</v>
      </c>
      <c r="N1216" s="7">
        <f>INSTOCK!$I1216*INSTOCK!$K1216</f>
        <v>574.9998</v>
      </c>
      <c r="O1216" s="2" t="s">
        <v>1422</v>
      </c>
      <c r="P1216" s="2"/>
    </row>
    <row r="1217" ht="18.0" hidden="1" customHeight="1">
      <c r="A1217" s="1"/>
      <c r="B1217" s="3"/>
      <c r="C1217" s="4">
        <v>43497.0</v>
      </c>
      <c r="D1217" s="2" t="s">
        <v>1420</v>
      </c>
      <c r="E1217" s="2">
        <v>6.201000162E9</v>
      </c>
      <c r="F1217" s="3" t="s">
        <v>1421</v>
      </c>
      <c r="G1217" s="2" t="s">
        <v>153</v>
      </c>
      <c r="H1217" s="2" t="s">
        <v>105</v>
      </c>
      <c r="I1217" s="3">
        <v>40.0</v>
      </c>
      <c r="J1217" s="3" t="s">
        <v>78</v>
      </c>
      <c r="K1217" s="5">
        <v>7.5</v>
      </c>
      <c r="L1217" s="6" t="str">
        <f>IF(D1217&lt;&gt;"",VLOOKUP(H1217,TABLEITEM,2,FALSE),"")</f>
        <v>MAT ST</v>
      </c>
      <c r="M1217" s="6" t="str">
        <f>IF(D1217&lt;&gt;"",VLOOKUP(H1217,TABLEITEM,3,FALSE),"")</f>
        <v>เหล็กเพลากลม 5มิล</v>
      </c>
      <c r="N1217" s="7">
        <f>INSTOCK!$I1217*INSTOCK!$K1217</f>
        <v>300</v>
      </c>
      <c r="O1217" s="2" t="s">
        <v>1423</v>
      </c>
      <c r="P1217" s="2"/>
    </row>
    <row r="1218" ht="18.0" hidden="1" customHeight="1">
      <c r="A1218" s="1"/>
      <c r="B1218" s="3"/>
      <c r="C1218" s="4">
        <v>43494.0</v>
      </c>
      <c r="D1218" s="2" t="s">
        <v>1424</v>
      </c>
      <c r="E1218" s="2">
        <v>6.201000144E9</v>
      </c>
      <c r="F1218" s="3"/>
      <c r="G1218" s="2" t="s">
        <v>240</v>
      </c>
      <c r="H1218" s="2" t="s">
        <v>134</v>
      </c>
      <c r="I1218" s="3">
        <v>30.0</v>
      </c>
      <c r="J1218" s="3" t="s">
        <v>78</v>
      </c>
      <c r="K1218" s="5">
        <v>4666.6666</v>
      </c>
      <c r="L1218" s="6" t="str">
        <f>IF(D1218&lt;&gt;"",VLOOKUP(H1218,TABLEITEM,2,FALSE),"")</f>
        <v>MAT ST</v>
      </c>
      <c r="M1218" s="6" t="str">
        <f>IF(D1218&lt;&gt;"",VLOOKUP(H1218,TABLEITEM,3,FALSE),"")</f>
        <v>ฉากสแตนเลส 2''หนา6.0</v>
      </c>
      <c r="N1218" s="7">
        <f>INSTOCK!$I1218*INSTOCK!$K1218</f>
        <v>139999.998</v>
      </c>
      <c r="O1218" s="2" t="s">
        <v>1425</v>
      </c>
      <c r="P1218" s="2"/>
    </row>
    <row r="1219" ht="18.0" hidden="1" customHeight="1">
      <c r="A1219" s="1"/>
      <c r="B1219" s="3"/>
      <c r="C1219" s="4">
        <v>43488.0</v>
      </c>
      <c r="D1219" s="2" t="s">
        <v>1305</v>
      </c>
      <c r="E1219" s="2"/>
      <c r="F1219" s="3"/>
      <c r="G1219" s="2" t="s">
        <v>733</v>
      </c>
      <c r="H1219" s="2" t="s">
        <v>1426</v>
      </c>
      <c r="I1219" s="3">
        <v>3.0</v>
      </c>
      <c r="J1219" s="3"/>
      <c r="K1219" s="5">
        <v>210.0</v>
      </c>
      <c r="L1219" s="6" t="str">
        <f>IF(D1219&lt;&gt;"",VLOOKUP(H1219,TABLEITEM,2,FALSE),"")</f>
        <v/>
      </c>
      <c r="M1219" s="6" t="str">
        <f>IF(D1219&lt;&gt;"",VLOOKUP(H1219,TABLEITEM,3,FALSE),"")</f>
        <v>กระจก 512x962 หนา 5.0</v>
      </c>
      <c r="N1219" s="7">
        <f>INSTOCK!$I1219*INSTOCK!$K1219</f>
        <v>630</v>
      </c>
      <c r="O1219" s="2"/>
      <c r="P1219" s="2"/>
    </row>
    <row r="1220" ht="18.0" hidden="1" customHeight="1">
      <c r="A1220" s="1"/>
      <c r="B1220" s="3"/>
      <c r="C1220" s="4">
        <v>43479.0</v>
      </c>
      <c r="D1220" s="2" t="s">
        <v>1427</v>
      </c>
      <c r="E1220" s="2"/>
      <c r="F1220" s="3" t="s">
        <v>1428</v>
      </c>
      <c r="G1220" s="2" t="s">
        <v>953</v>
      </c>
      <c r="H1220" s="2" t="s">
        <v>1429</v>
      </c>
      <c r="I1220" s="3">
        <v>1.0</v>
      </c>
      <c r="J1220" s="3"/>
      <c r="K1220" s="5">
        <v>400.0</v>
      </c>
      <c r="L1220" s="6" t="str">
        <f>IF(D1220&lt;&gt;"",VLOOKUP(H1220,TABLEITEM,2,FALSE),"")</f>
        <v/>
      </c>
      <c r="M1220" s="6" t="str">
        <f>IF(D1220&lt;&gt;"",VLOOKUP(H1220,TABLEITEM,3,FALSE),"")</f>
        <v>กระจกลวด 152x232 หนา 6.0</v>
      </c>
      <c r="N1220" s="7">
        <f>INSTOCK!$I1220*INSTOCK!$K1220</f>
        <v>400</v>
      </c>
      <c r="O1220" s="2"/>
      <c r="P1220" s="2"/>
    </row>
    <row r="1221" ht="18.0" customHeight="1">
      <c r="A1221" s="1"/>
      <c r="B1221" s="3"/>
      <c r="C1221" s="4">
        <v>43494.0</v>
      </c>
      <c r="D1221" s="2" t="s">
        <v>1430</v>
      </c>
      <c r="E1221" s="2">
        <v>6.201000137E9</v>
      </c>
      <c r="F1221" s="3" t="s">
        <v>1421</v>
      </c>
      <c r="G1221" s="2" t="s">
        <v>162</v>
      </c>
      <c r="H1221" s="2" t="s">
        <v>1431</v>
      </c>
      <c r="I1221" s="3">
        <v>10.0</v>
      </c>
      <c r="J1221" s="3"/>
      <c r="K1221" s="5">
        <v>1240.0</v>
      </c>
      <c r="L1221" s="6" t="str">
        <f>IF(D1221&lt;&gt;"",VLOOKUP(H1221,TABLEITEM,2,FALSE),"")</f>
        <v/>
      </c>
      <c r="M1221" s="6" t="str">
        <f>IF(D1221&lt;&gt;"",VLOOKUP(H1221,TABLEITEM,3,FALSE),"")</f>
        <v>แผ่นอคิลิคใส 4'x8' T2.0</v>
      </c>
      <c r="N1221" s="7">
        <f>INSTOCK!$I1221*INSTOCK!$K1221</f>
        <v>12400</v>
      </c>
      <c r="O1221" s="2"/>
      <c r="P1221" s="2"/>
    </row>
    <row r="1222" ht="18.0" hidden="1" customHeight="1">
      <c r="A1222" s="1"/>
      <c r="B1222" s="3"/>
      <c r="C1222" s="4">
        <v>43494.0</v>
      </c>
      <c r="D1222" s="2" t="s">
        <v>1432</v>
      </c>
      <c r="E1222" s="2">
        <v>6.201000138E9</v>
      </c>
      <c r="F1222" s="3" t="s">
        <v>1421</v>
      </c>
      <c r="G1222" s="2" t="s">
        <v>165</v>
      </c>
      <c r="H1222" s="2" t="s">
        <v>1433</v>
      </c>
      <c r="I1222" s="3">
        <v>1.0</v>
      </c>
      <c r="J1222" s="3"/>
      <c r="K1222" s="5">
        <v>1700.0</v>
      </c>
      <c r="L1222" s="6" t="str">
        <f>IF(D1222&lt;&gt;"",VLOOKUP(H1222,TABLEITEM,2,FALSE),"")</f>
        <v/>
      </c>
      <c r="M1222" s="6" t="str">
        <f>IF(D1222&lt;&gt;"",VLOOKUP(H1222,TABLEITEM,3,FALSE),"")</f>
        <v>พลาสติกสีแดง M102 4'x8' T2.0mm</v>
      </c>
      <c r="N1222" s="7">
        <f>INSTOCK!$I1222*INSTOCK!$K1222</f>
        <v>1700</v>
      </c>
      <c r="O1222" s="2"/>
      <c r="P1222" s="2"/>
    </row>
    <row r="1223" ht="18.0" hidden="1" customHeight="1">
      <c r="A1223" s="1"/>
      <c r="B1223" s="3"/>
      <c r="C1223" s="4">
        <v>43497.0</v>
      </c>
      <c r="D1223" s="2" t="s">
        <v>1434</v>
      </c>
      <c r="E1223" s="2">
        <v>6.201000146E9</v>
      </c>
      <c r="F1223" s="3" t="s">
        <v>161</v>
      </c>
      <c r="G1223" s="2" t="s">
        <v>171</v>
      </c>
      <c r="H1223" s="2" t="s">
        <v>17</v>
      </c>
      <c r="I1223" s="3">
        <v>100.0</v>
      </c>
      <c r="J1223" s="3"/>
      <c r="K1223" s="5">
        <v>658.0</v>
      </c>
      <c r="L1223" s="6"/>
      <c r="M1223" s="6" t="str">
        <f>IF(D1223&lt;&gt;"",VLOOKUP(H1223,TABLEITEM,3,FALSE),"")</f>
        <v>เหล็กแผ่นขาว4'x8'T1.2</v>
      </c>
      <c r="N1223" s="7">
        <f>INSTOCK!$I1223*INSTOCK!$K1223</f>
        <v>65800</v>
      </c>
      <c r="O1223" s="2" t="s">
        <v>1435</v>
      </c>
      <c r="P1223" s="2"/>
    </row>
    <row r="1224" ht="18.0" hidden="1" customHeight="1">
      <c r="A1224" s="1"/>
      <c r="B1224" s="3"/>
      <c r="C1224" s="4">
        <v>43502.0</v>
      </c>
      <c r="D1224" s="2" t="s">
        <v>1436</v>
      </c>
      <c r="E1224" s="2">
        <v>6.20100018E9</v>
      </c>
      <c r="F1224" s="3" t="s">
        <v>161</v>
      </c>
      <c r="G1224" s="2" t="s">
        <v>153</v>
      </c>
      <c r="H1224" s="2" t="s">
        <v>100</v>
      </c>
      <c r="I1224" s="3">
        <v>30.0</v>
      </c>
      <c r="J1224" s="3" t="s">
        <v>78</v>
      </c>
      <c r="K1224" s="5">
        <v>158.3333</v>
      </c>
      <c r="L1224" s="6"/>
      <c r="M1224" s="6" t="str">
        <f>IF(D1224&lt;&gt;"",VLOOKUP(H1224,TABLEITEM,3,FALSE),"")</f>
        <v>เหล็กกล่อง 4'' หนา2.3 มิล</v>
      </c>
      <c r="N1224" s="7">
        <f>INSTOCK!$I1224*INSTOCK!$K1224</f>
        <v>4749.999</v>
      </c>
      <c r="O1224" s="2" t="s">
        <v>1437</v>
      </c>
      <c r="P1224" s="2"/>
    </row>
    <row r="1225" ht="18.0" hidden="1" customHeight="1">
      <c r="A1225" s="1"/>
      <c r="B1225" s="3"/>
      <c r="C1225" s="4">
        <v>43502.0</v>
      </c>
      <c r="D1225" s="2" t="s">
        <v>1438</v>
      </c>
      <c r="E1225" s="2">
        <v>6.201000146E9</v>
      </c>
      <c r="F1225" s="3" t="s">
        <v>161</v>
      </c>
      <c r="G1225" s="2" t="s">
        <v>171</v>
      </c>
      <c r="H1225" s="2" t="s">
        <v>35</v>
      </c>
      <c r="I1225" s="3">
        <v>105.0</v>
      </c>
      <c r="J1225" s="3"/>
      <c r="K1225" s="5">
        <v>534.4</v>
      </c>
      <c r="L1225" s="6"/>
      <c r="M1225" s="6" t="str">
        <f>IF(D1225&lt;&gt;"",VLOOKUP(H1225,TABLEITEM,3,FALSE),"")</f>
        <v>เหล็กแผ่นขาว829x2142T1.6</v>
      </c>
      <c r="N1225" s="7">
        <f>INSTOCK!$I1225*INSTOCK!$K1225</f>
        <v>56112</v>
      </c>
      <c r="O1225" s="2" t="s">
        <v>1439</v>
      </c>
      <c r="P1225" s="2"/>
    </row>
    <row r="1226" ht="18.0" hidden="1" customHeight="1">
      <c r="A1226" s="1"/>
      <c r="B1226" s="3"/>
      <c r="C1226" s="4">
        <v>43502.0</v>
      </c>
      <c r="D1226" s="2" t="s">
        <v>1438</v>
      </c>
      <c r="E1226" s="2">
        <v>6.201000146E9</v>
      </c>
      <c r="F1226" s="3" t="s">
        <v>161</v>
      </c>
      <c r="G1226" s="2" t="s">
        <v>171</v>
      </c>
      <c r="H1226" s="2" t="s">
        <v>1440</v>
      </c>
      <c r="I1226" s="3">
        <v>1.0</v>
      </c>
      <c r="J1226" s="3"/>
      <c r="K1226" s="5">
        <v>432.0</v>
      </c>
      <c r="L1226" s="6"/>
      <c r="M1226" s="6" t="str">
        <f>IF(D1226&lt;&gt;"",VLOOKUP(H1226,TABLEITEM,3,FALSE),"")</f>
        <v>เหล็กแผ่นขาว 829x1818 T 1.6</v>
      </c>
      <c r="N1226" s="7">
        <f>INSTOCK!$I1226*INSTOCK!$K1226</f>
        <v>432</v>
      </c>
      <c r="O1226" s="2" t="s">
        <v>1441</v>
      </c>
      <c r="P1226" s="2"/>
    </row>
    <row r="1227" ht="18.0" hidden="1" customHeight="1">
      <c r="A1227" s="1"/>
      <c r="B1227" s="3"/>
      <c r="C1227" s="4">
        <v>43502.0</v>
      </c>
      <c r="D1227" s="2" t="s">
        <v>1438</v>
      </c>
      <c r="E1227" s="2">
        <v>6.201000146E9</v>
      </c>
      <c r="F1227" s="3" t="s">
        <v>161</v>
      </c>
      <c r="G1227" s="2" t="s">
        <v>171</v>
      </c>
      <c r="H1227" s="2" t="s">
        <v>33</v>
      </c>
      <c r="I1227" s="3">
        <v>100.0</v>
      </c>
      <c r="J1227" s="3"/>
      <c r="K1227" s="5">
        <v>404.16</v>
      </c>
      <c r="L1227" s="6"/>
      <c r="M1227" s="6" t="str">
        <f>IF(D1227&lt;&gt;"",VLOOKUP(H1227,TABLEITEM,3,FALSE),"")</f>
        <v>เหล็กแผ่นขาว629x2142T1.6</v>
      </c>
      <c r="N1227" s="7">
        <f>INSTOCK!$I1227*INSTOCK!$K1227</f>
        <v>40416</v>
      </c>
      <c r="O1227" s="2" t="s">
        <v>1442</v>
      </c>
      <c r="P1227" s="2"/>
    </row>
    <row r="1228" ht="18.0" hidden="1" customHeight="1">
      <c r="A1228" s="1"/>
      <c r="B1228" s="3"/>
      <c r="C1228" s="4">
        <v>43502.0</v>
      </c>
      <c r="D1228" s="2" t="s">
        <v>1438</v>
      </c>
      <c r="E1228" s="2">
        <v>6.201000146E9</v>
      </c>
      <c r="F1228" s="3" t="s">
        <v>161</v>
      </c>
      <c r="G1228" s="2" t="s">
        <v>171</v>
      </c>
      <c r="H1228" s="2" t="s">
        <v>1443</v>
      </c>
      <c r="I1228" s="3">
        <v>1.0</v>
      </c>
      <c r="J1228" s="3"/>
      <c r="K1228" s="5">
        <v>336.0</v>
      </c>
      <c r="L1228" s="6"/>
      <c r="M1228" s="6" t="str">
        <f>IF(D1228&lt;&gt;"",VLOOKUP(H1228,TABLEITEM,3,FALSE),"")</f>
        <v>เหล็กแผ่นขาว 629x1872 T 1.6</v>
      </c>
      <c r="N1228" s="7">
        <f>INSTOCK!$I1228*INSTOCK!$K1228</f>
        <v>336</v>
      </c>
      <c r="O1228" s="2" t="s">
        <v>1444</v>
      </c>
      <c r="P1228" s="2"/>
    </row>
    <row r="1229" ht="18.0" hidden="1" customHeight="1">
      <c r="A1229" s="1"/>
      <c r="B1229" s="3"/>
      <c r="C1229" s="4">
        <v>43502.0</v>
      </c>
      <c r="D1229" s="2" t="s">
        <v>1438</v>
      </c>
      <c r="E1229" s="2">
        <v>6.201000146E9</v>
      </c>
      <c r="F1229" s="3" t="s">
        <v>161</v>
      </c>
      <c r="G1229" s="2" t="s">
        <v>171</v>
      </c>
      <c r="H1229" s="2" t="s">
        <v>27</v>
      </c>
      <c r="I1229" s="3">
        <v>93.0</v>
      </c>
      <c r="J1229" s="3"/>
      <c r="K1229" s="5">
        <v>285.16129</v>
      </c>
      <c r="L1229" s="6"/>
      <c r="M1229" s="6" t="str">
        <f>IF(D1229&lt;&gt;"",VLOOKUP(H1229,TABLEITEM,3,FALSE),"")</f>
        <v>เหล็กแผ่นขาว390x2440T1.6</v>
      </c>
      <c r="N1229" s="7">
        <f>INSTOCK!$I1229*INSTOCK!$K1229</f>
        <v>26519.99997</v>
      </c>
      <c r="O1229" s="2" t="s">
        <v>1445</v>
      </c>
      <c r="P1229" s="2"/>
    </row>
    <row r="1230" ht="18.0" hidden="1" customHeight="1">
      <c r="A1230" s="1"/>
      <c r="B1230" s="3"/>
      <c r="C1230" s="4">
        <v>43502.0</v>
      </c>
      <c r="D1230" s="2" t="s">
        <v>1438</v>
      </c>
      <c r="E1230" s="2">
        <v>6.201000146E9</v>
      </c>
      <c r="F1230" s="3" t="s">
        <v>161</v>
      </c>
      <c r="G1230" s="2" t="s">
        <v>171</v>
      </c>
      <c r="H1230" s="2" t="s">
        <v>28</v>
      </c>
      <c r="I1230" s="3">
        <v>89.0</v>
      </c>
      <c r="J1230" s="3"/>
      <c r="K1230" s="5">
        <v>431.46</v>
      </c>
      <c r="L1230" s="6"/>
      <c r="M1230" s="6" t="str">
        <f>IF(D1230&lt;&gt;"",VLOOKUP(H1230,TABLEITEM,3,FALSE),"")</f>
        <v>เหล็กแผ่นขาว590x2440T1.6</v>
      </c>
      <c r="N1230" s="7">
        <f>INSTOCK!$I1230*INSTOCK!$K1230</f>
        <v>38399.94</v>
      </c>
      <c r="O1230" s="2" t="s">
        <v>1446</v>
      </c>
      <c r="P1230" s="2"/>
    </row>
    <row r="1231" ht="18.0" hidden="1" customHeight="1">
      <c r="A1231" s="1"/>
      <c r="B1231" s="3"/>
      <c r="C1231" s="4">
        <v>43502.0</v>
      </c>
      <c r="D1231" s="2" t="s">
        <v>1438</v>
      </c>
      <c r="E1231" s="2">
        <v>6.201000146E9</v>
      </c>
      <c r="F1231" s="3" t="s">
        <v>161</v>
      </c>
      <c r="G1231" s="2" t="s">
        <v>171</v>
      </c>
      <c r="H1231" s="2" t="s">
        <v>301</v>
      </c>
      <c r="I1231" s="3">
        <v>41.0</v>
      </c>
      <c r="J1231" s="3" t="s">
        <v>1003</v>
      </c>
      <c r="K1231" s="5">
        <v>24.0</v>
      </c>
      <c r="L1231" s="6"/>
      <c r="M1231" s="6" t="str">
        <f>IF(D1231&lt;&gt;"",VLOOKUP(H1231,TABLEITEM,3,FALSE),"")</f>
        <v>เหล็กแผ่นขาวT1.6(เศษ)</v>
      </c>
      <c r="N1231" s="7">
        <f>INSTOCK!$I1231*INSTOCK!$K1231</f>
        <v>984</v>
      </c>
      <c r="O1231" s="2"/>
      <c r="P1231" s="2"/>
    </row>
    <row r="1232" ht="18.0" hidden="1" customHeight="1">
      <c r="A1232" s="1"/>
      <c r="B1232" s="3"/>
      <c r="C1232" s="4">
        <v>43500.0</v>
      </c>
      <c r="D1232" s="2" t="s">
        <v>1447</v>
      </c>
      <c r="E1232" s="2">
        <v>6.201000145E9</v>
      </c>
      <c r="F1232" s="3" t="s">
        <v>161</v>
      </c>
      <c r="G1232" s="2" t="s">
        <v>202</v>
      </c>
      <c r="H1232" s="2" t="s">
        <v>54</v>
      </c>
      <c r="I1232" s="3">
        <v>100.0</v>
      </c>
      <c r="J1232" s="3"/>
      <c r="K1232" s="5">
        <v>2450.0</v>
      </c>
      <c r="L1232" s="6"/>
      <c r="M1232" s="6" t="str">
        <f>IF(D1232&lt;&gt;"",VLOOKUP(H1232,TABLEITEM,3,FALSE),"")</f>
        <v>เหล็กแผ่นดำ5'x10'T3.0</v>
      </c>
      <c r="N1232" s="7">
        <f>INSTOCK!$I1232*INSTOCK!$K1232</f>
        <v>245000</v>
      </c>
      <c r="O1232" s="2"/>
      <c r="P1232" s="2"/>
    </row>
    <row r="1233" ht="18.0" hidden="1" customHeight="1">
      <c r="A1233" s="1"/>
      <c r="B1233" s="3"/>
      <c r="C1233" s="4">
        <v>43497.0</v>
      </c>
      <c r="D1233" s="2" t="s">
        <v>1448</v>
      </c>
      <c r="E1233" s="2">
        <v>6.201000124E9</v>
      </c>
      <c r="F1233" s="3" t="s">
        <v>161</v>
      </c>
      <c r="G1233" s="2" t="s">
        <v>171</v>
      </c>
      <c r="H1233" s="2" t="s">
        <v>16</v>
      </c>
      <c r="I1233" s="3">
        <v>400.0</v>
      </c>
      <c r="J1233" s="3"/>
      <c r="K1233" s="5">
        <v>547.55</v>
      </c>
      <c r="L1233" s="6"/>
      <c r="M1233" s="6" t="str">
        <f>IF(D1233&lt;&gt;"",VLOOKUP(H1233,TABLEITEM,3,FALSE),"")</f>
        <v>เหล็กแผ่นขาว4'x8'T1.0</v>
      </c>
      <c r="N1233" s="7">
        <f>INSTOCK!$I1233*INSTOCK!$K1233</f>
        <v>219020</v>
      </c>
      <c r="O1233" s="2" t="s">
        <v>1449</v>
      </c>
      <c r="P1233" s="2"/>
    </row>
    <row r="1234" ht="18.0" hidden="1" customHeight="1">
      <c r="A1234" s="1"/>
      <c r="B1234" s="3"/>
      <c r="C1234" s="4">
        <v>43508.0</v>
      </c>
      <c r="D1234" s="2" t="s">
        <v>1450</v>
      </c>
      <c r="E1234" s="2"/>
      <c r="F1234" s="3" t="s">
        <v>161</v>
      </c>
      <c r="G1234" s="2" t="s">
        <v>456</v>
      </c>
      <c r="H1234" s="2" t="s">
        <v>1292</v>
      </c>
      <c r="I1234" s="3">
        <v>50.0</v>
      </c>
      <c r="J1234" s="3"/>
      <c r="K1234" s="5"/>
      <c r="L1234" s="6"/>
      <c r="M1234" s="6" t="str">
        <f>IF(D1234&lt;&gt;"",VLOOKUP(H1234,TABLEITEM,3,FALSE),"")</f>
        <v>คานเจ 2รู 65x32x804</v>
      </c>
      <c r="N1234" s="7">
        <f>INSTOCK!$I1234*INSTOCK!$K1234</f>
        <v>0</v>
      </c>
      <c r="O1234" s="2"/>
      <c r="P1234" s="2"/>
    </row>
    <row r="1235" ht="18.0" hidden="1" customHeight="1">
      <c r="A1235" s="1"/>
      <c r="B1235" s="3"/>
      <c r="C1235" s="4">
        <v>43508.0</v>
      </c>
      <c r="D1235" s="2" t="s">
        <v>1451</v>
      </c>
      <c r="E1235" s="2"/>
      <c r="F1235" s="3" t="s">
        <v>161</v>
      </c>
      <c r="G1235" s="2" t="s">
        <v>456</v>
      </c>
      <c r="H1235" s="2" t="s">
        <v>1293</v>
      </c>
      <c r="I1235" s="3">
        <v>53.0</v>
      </c>
      <c r="J1235" s="3"/>
      <c r="K1235" s="5"/>
      <c r="L1235" s="6"/>
      <c r="M1235" s="6" t="str">
        <f>IF(D1235&lt;&gt;"",VLOOKUP(H1235,TABLEITEM,3,FALSE),"")</f>
        <v>คานเจ 2รู 65x32x854</v>
      </c>
      <c r="N1235" s="7">
        <f>INSTOCK!$I1235*INSTOCK!$K1235</f>
        <v>0</v>
      </c>
      <c r="O1235" s="2"/>
      <c r="P1235" s="2"/>
    </row>
    <row r="1236" ht="18.0" hidden="1" customHeight="1">
      <c r="A1236" s="1"/>
      <c r="B1236" s="3"/>
      <c r="C1236" s="4">
        <v>43500.0</v>
      </c>
      <c r="D1236" s="2" t="s">
        <v>1452</v>
      </c>
      <c r="E1236" s="2">
        <v>6.202000217E9</v>
      </c>
      <c r="F1236" s="3" t="s">
        <v>161</v>
      </c>
      <c r="G1236" s="2" t="s">
        <v>733</v>
      </c>
      <c r="H1236" s="2" t="s">
        <v>1453</v>
      </c>
      <c r="I1236" s="3">
        <v>30.0</v>
      </c>
      <c r="J1236" s="3"/>
      <c r="K1236" s="5">
        <v>25.0</v>
      </c>
      <c r="L1236" s="6"/>
      <c r="M1236" s="6" t="str">
        <f>IF(D1236&lt;&gt;"",VLOOKUP(H1236,TABLEITEM,3,FALSE),"")</f>
        <v>กระจก 142x142 หนา 3.0 มิล</v>
      </c>
      <c r="N1236" s="7">
        <f>INSTOCK!$I1236*INSTOCK!$K1236</f>
        <v>750</v>
      </c>
      <c r="O1236" s="2"/>
      <c r="P1236" s="2"/>
    </row>
    <row r="1237" ht="18.0" hidden="1" customHeight="1">
      <c r="A1237" s="1"/>
      <c r="B1237" s="3"/>
      <c r="C1237" s="4">
        <v>43500.0</v>
      </c>
      <c r="D1237" s="2" t="s">
        <v>1452</v>
      </c>
      <c r="E1237" s="2">
        <v>6.202000217E9</v>
      </c>
      <c r="F1237" s="3" t="s">
        <v>161</v>
      </c>
      <c r="G1237" s="2" t="s">
        <v>733</v>
      </c>
      <c r="H1237" s="2" t="s">
        <v>1454</v>
      </c>
      <c r="I1237" s="3">
        <v>30.0</v>
      </c>
      <c r="J1237" s="3"/>
      <c r="K1237" s="5">
        <v>25.0</v>
      </c>
      <c r="L1237" s="6"/>
      <c r="M1237" s="6" t="str">
        <f>IF(D1237&lt;&gt;"",VLOOKUP(H1237,TABLEITEM,3,FALSE),"")</f>
        <v>กระจก132X132T3.0</v>
      </c>
      <c r="N1237" s="7">
        <f>INSTOCK!$I1237*INSTOCK!$K1237</f>
        <v>750</v>
      </c>
      <c r="O1237" s="2"/>
      <c r="P1237" s="2"/>
    </row>
    <row r="1238" ht="18.0" hidden="1" customHeight="1">
      <c r="A1238" s="1"/>
      <c r="B1238" s="3"/>
      <c r="C1238" s="4">
        <v>43504.0</v>
      </c>
      <c r="D1238" s="2" t="s">
        <v>1455</v>
      </c>
      <c r="E1238" s="2">
        <v>6.202000217E9</v>
      </c>
      <c r="F1238" s="3" t="s">
        <v>1456</v>
      </c>
      <c r="G1238" s="2" t="s">
        <v>733</v>
      </c>
      <c r="H1238" s="2" t="s">
        <v>1457</v>
      </c>
      <c r="I1238" s="3">
        <v>1.0</v>
      </c>
      <c r="J1238" s="3"/>
      <c r="K1238" s="5">
        <v>25.0</v>
      </c>
      <c r="L1238" s="6"/>
      <c r="M1238" s="6" t="str">
        <f>IF(D1238&lt;&gt;"",VLOOKUP(H1238,TABLEITEM,3,FALSE),"")</f>
        <v>กระจก 108x158 หนา 3.0 มิล</v>
      </c>
      <c r="N1238" s="7">
        <f>INSTOCK!$I1238*INSTOCK!$K1238</f>
        <v>25</v>
      </c>
      <c r="O1238" s="2"/>
      <c r="P1238" s="2"/>
    </row>
    <row r="1239" ht="18.0" hidden="1" customHeight="1">
      <c r="A1239" s="1"/>
      <c r="B1239" s="3"/>
      <c r="C1239" s="4">
        <v>43504.0</v>
      </c>
      <c r="D1239" s="2" t="s">
        <v>1455</v>
      </c>
      <c r="E1239" s="2">
        <v>6.202000217E9</v>
      </c>
      <c r="F1239" s="3" t="s">
        <v>1456</v>
      </c>
      <c r="G1239" s="2" t="s">
        <v>733</v>
      </c>
      <c r="H1239" s="2" t="s">
        <v>1458</v>
      </c>
      <c r="I1239" s="3">
        <v>1.0</v>
      </c>
      <c r="J1239" s="3"/>
      <c r="K1239" s="5">
        <v>25.0</v>
      </c>
      <c r="L1239" s="6"/>
      <c r="M1239" s="6" t="str">
        <f>IF(D1239&lt;&gt;"",VLOOKUP(H1239,TABLEITEM,3,FALSE),"")</f>
        <v>กระจก 146x196 หนา 3.0 มิล</v>
      </c>
      <c r="N1239" s="7">
        <f>INSTOCK!$I1239*INSTOCK!$K1239</f>
        <v>25</v>
      </c>
      <c r="O1239" s="2"/>
      <c r="P1239" s="2"/>
    </row>
    <row r="1240" ht="18.0" hidden="1" customHeight="1">
      <c r="A1240" s="1"/>
      <c r="B1240" s="3"/>
      <c r="C1240" s="4">
        <v>43502.0</v>
      </c>
      <c r="D1240" s="2" t="s">
        <v>1459</v>
      </c>
      <c r="E1240" s="2">
        <v>6.202000217E9</v>
      </c>
      <c r="F1240" s="3" t="s">
        <v>1460</v>
      </c>
      <c r="G1240" s="2" t="s">
        <v>733</v>
      </c>
      <c r="H1240" s="2" t="s">
        <v>1461</v>
      </c>
      <c r="I1240" s="3">
        <v>1.0</v>
      </c>
      <c r="J1240" s="3"/>
      <c r="K1240" s="5">
        <v>38.0</v>
      </c>
      <c r="L1240" s="6"/>
      <c r="M1240" s="6" t="str">
        <f>IF(D1240&lt;&gt;"",VLOOKUP(H1240,TABLEITEM,3,FALSE),"")</f>
        <v>กระจก 208x308 หนา 3.0 มิล</v>
      </c>
      <c r="N1240" s="7">
        <f>INSTOCK!$I1240*INSTOCK!$K1240</f>
        <v>38</v>
      </c>
      <c r="O1240" s="2"/>
      <c r="P1240" s="2"/>
    </row>
    <row r="1241" ht="18.0" hidden="1" customHeight="1">
      <c r="A1241" s="1"/>
      <c r="B1241" s="3"/>
      <c r="C1241" s="4">
        <v>43498.0</v>
      </c>
      <c r="D1241" s="2" t="s">
        <v>1462</v>
      </c>
      <c r="E1241" s="2">
        <v>6.202000217E9</v>
      </c>
      <c r="F1241" s="3" t="s">
        <v>1463</v>
      </c>
      <c r="G1241" s="2" t="s">
        <v>733</v>
      </c>
      <c r="H1241" s="2" t="s">
        <v>1464</v>
      </c>
      <c r="I1241" s="3">
        <v>2.0</v>
      </c>
      <c r="J1241" s="3"/>
      <c r="K1241" s="5">
        <v>360.0</v>
      </c>
      <c r="L1241" s="6"/>
      <c r="M1241" s="6" t="str">
        <f>IF(D1241&lt;&gt;"",VLOOKUP(H1241,TABLEITEM,3,FALSE),"")</f>
        <v>กระจก 547x1587 หนา 5.0 มิล</v>
      </c>
      <c r="N1241" s="7">
        <f>INSTOCK!$I1241*INSTOCK!$K1241</f>
        <v>720</v>
      </c>
      <c r="O1241" s="2"/>
      <c r="P1241" s="2"/>
    </row>
    <row r="1242" ht="18.0" hidden="1" customHeight="1">
      <c r="A1242" s="1"/>
      <c r="B1242" s="3"/>
      <c r="C1242" s="4">
        <v>43493.0</v>
      </c>
      <c r="D1242" s="2" t="s">
        <v>1465</v>
      </c>
      <c r="E1242" s="2">
        <v>6.202000217E9</v>
      </c>
      <c r="F1242" s="3" t="s">
        <v>1466</v>
      </c>
      <c r="G1242" s="2" t="s">
        <v>733</v>
      </c>
      <c r="H1242" s="2" t="s">
        <v>1464</v>
      </c>
      <c r="I1242" s="3">
        <v>2.0</v>
      </c>
      <c r="J1242" s="3"/>
      <c r="K1242" s="5">
        <v>360.0</v>
      </c>
      <c r="L1242" s="6"/>
      <c r="M1242" s="6" t="str">
        <f>IF(D1242&lt;&gt;"",VLOOKUP(H1242,TABLEITEM,3,FALSE),"")</f>
        <v>กระจก 547x1587 หนา 5.0 มิล</v>
      </c>
      <c r="N1242" s="7">
        <f>INSTOCK!$I1242*INSTOCK!$K1242</f>
        <v>720</v>
      </c>
      <c r="O1242" s="2"/>
      <c r="P1242" s="2"/>
    </row>
    <row r="1243" ht="18.0" hidden="1" customHeight="1">
      <c r="A1243" s="1"/>
      <c r="B1243" s="3"/>
      <c r="C1243" s="4">
        <v>43496.0</v>
      </c>
      <c r="D1243" s="2" t="s">
        <v>1467</v>
      </c>
      <c r="E1243" s="2">
        <v>6.202000217E9</v>
      </c>
      <c r="F1243" s="3" t="s">
        <v>1468</v>
      </c>
      <c r="G1243" s="2" t="s">
        <v>733</v>
      </c>
      <c r="H1243" s="2" t="s">
        <v>1464</v>
      </c>
      <c r="I1243" s="3">
        <v>2.0</v>
      </c>
      <c r="J1243" s="3"/>
      <c r="K1243" s="5">
        <v>360.0</v>
      </c>
      <c r="L1243" s="6"/>
      <c r="M1243" s="6" t="str">
        <f>IF(D1243&lt;&gt;"",VLOOKUP(H1243,TABLEITEM,3,FALSE),"")</f>
        <v>กระจก 547x1587 หนา 5.0 มิล</v>
      </c>
      <c r="N1243" s="7">
        <f>INSTOCK!$I1243*INSTOCK!$K1243</f>
        <v>720</v>
      </c>
      <c r="O1243" s="2"/>
      <c r="P1243" s="2"/>
    </row>
    <row r="1244" ht="18.0" hidden="1" customHeight="1">
      <c r="A1244" s="1"/>
      <c r="B1244" s="3"/>
      <c r="C1244" s="4">
        <v>43494.0</v>
      </c>
      <c r="D1244" s="2" t="s">
        <v>1469</v>
      </c>
      <c r="E1244" s="2">
        <v>6.202000217E9</v>
      </c>
      <c r="F1244" s="3" t="s">
        <v>1470</v>
      </c>
      <c r="G1244" s="2" t="s">
        <v>733</v>
      </c>
      <c r="H1244" s="2" t="s">
        <v>1464</v>
      </c>
      <c r="I1244" s="3">
        <v>2.0</v>
      </c>
      <c r="J1244" s="3"/>
      <c r="K1244" s="5">
        <v>360.0</v>
      </c>
      <c r="L1244" s="6"/>
      <c r="M1244" s="6" t="str">
        <f>IF(D1244&lt;&gt;"",VLOOKUP(H1244,TABLEITEM,3,FALSE),"")</f>
        <v>กระจก 547x1587 หนา 5.0 มิล</v>
      </c>
      <c r="N1244" s="7">
        <f>INSTOCK!$I1244*INSTOCK!$K1244</f>
        <v>720</v>
      </c>
      <c r="O1244" s="2"/>
      <c r="P1244" s="2"/>
    </row>
    <row r="1245" ht="18.0" hidden="1" customHeight="1">
      <c r="A1245" s="1"/>
      <c r="B1245" s="3"/>
      <c r="C1245" s="4">
        <v>43496.0</v>
      </c>
      <c r="D1245" s="2" t="s">
        <v>1471</v>
      </c>
      <c r="E1245" s="2">
        <v>6.202000217E9</v>
      </c>
      <c r="F1245" s="3" t="s">
        <v>1472</v>
      </c>
      <c r="G1245" s="2" t="s">
        <v>733</v>
      </c>
      <c r="H1245" s="2" t="s">
        <v>1464</v>
      </c>
      <c r="I1245" s="3">
        <v>4.0</v>
      </c>
      <c r="J1245" s="3"/>
      <c r="K1245" s="5">
        <v>360.0</v>
      </c>
      <c r="L1245" s="6"/>
      <c r="M1245" s="6" t="str">
        <f>IF(D1245&lt;&gt;"",VLOOKUP(H1245,TABLEITEM,3,FALSE),"")</f>
        <v>กระจก 547x1587 หนา 5.0 มิล</v>
      </c>
      <c r="N1245" s="7">
        <f>INSTOCK!$I1245*INSTOCK!$K1245</f>
        <v>1440</v>
      </c>
      <c r="O1245" s="2"/>
      <c r="P1245" s="2"/>
    </row>
    <row r="1246" ht="18.0" hidden="1" customHeight="1">
      <c r="A1246" s="1"/>
      <c r="B1246" s="3"/>
      <c r="C1246" s="4">
        <v>43505.0</v>
      </c>
      <c r="D1246" s="2" t="s">
        <v>1473</v>
      </c>
      <c r="E1246" s="2">
        <v>6.202000198E9</v>
      </c>
      <c r="F1246" s="3" t="s">
        <v>1421</v>
      </c>
      <c r="G1246" s="2" t="s">
        <v>153</v>
      </c>
      <c r="H1246" s="2" t="s">
        <v>1474</v>
      </c>
      <c r="I1246" s="3">
        <v>24.0</v>
      </c>
      <c r="J1246" s="3" t="s">
        <v>78</v>
      </c>
      <c r="K1246" s="5">
        <v>48.3333</v>
      </c>
      <c r="L1246" s="6"/>
      <c r="M1246" s="6" t="str">
        <f>IF(D1246&lt;&gt;"",VLOOKUP(H1246,TABLEITEM,3,FALSE),"")</f>
        <v>เหล็กกล่อง 2" หนา 1.2 มิล</v>
      </c>
      <c r="N1246" s="7">
        <f>INSTOCK!$I1246*INSTOCK!$K1246</f>
        <v>1159.9992</v>
      </c>
      <c r="O1246" s="2" t="s">
        <v>1475</v>
      </c>
      <c r="P1246" s="2"/>
    </row>
    <row r="1247" ht="18.0" hidden="1" customHeight="1">
      <c r="A1247" s="1"/>
      <c r="B1247" s="3"/>
      <c r="C1247" s="4">
        <v>43505.0</v>
      </c>
      <c r="D1247" s="2" t="s">
        <v>1476</v>
      </c>
      <c r="E1247" s="2">
        <v>6.202000197E9</v>
      </c>
      <c r="F1247" s="3" t="s">
        <v>1477</v>
      </c>
      <c r="G1247" s="2" t="s">
        <v>146</v>
      </c>
      <c r="H1247" s="2" t="s">
        <v>77</v>
      </c>
      <c r="I1247" s="3">
        <v>60.0</v>
      </c>
      <c r="J1247" s="3" t="s">
        <v>78</v>
      </c>
      <c r="K1247" s="5">
        <v>80.0</v>
      </c>
      <c r="L1247" s="6"/>
      <c r="M1247" s="6" t="str">
        <f>IF(D1247&lt;&gt;"",VLOOKUP(H1247,TABLEITEM,3,FALSE),"")</f>
        <v>เหล็กรางน้ำ U' 2</v>
      </c>
      <c r="N1247" s="7">
        <f>INSTOCK!$I1247*INSTOCK!$K1247</f>
        <v>4800</v>
      </c>
      <c r="O1247" s="2" t="s">
        <v>1478</v>
      </c>
      <c r="P1247" s="2"/>
    </row>
    <row r="1248" ht="18.0" hidden="1" customHeight="1">
      <c r="A1248" s="1"/>
      <c r="B1248" s="3"/>
      <c r="C1248" s="4">
        <v>43503.0</v>
      </c>
      <c r="D1248" s="2" t="s">
        <v>1479</v>
      </c>
      <c r="E1248" s="2">
        <v>6.20200017E9</v>
      </c>
      <c r="F1248" s="3" t="s">
        <v>161</v>
      </c>
      <c r="G1248" s="2" t="s">
        <v>202</v>
      </c>
      <c r="H1248" s="2" t="s">
        <v>80</v>
      </c>
      <c r="I1248" s="3">
        <v>300.0</v>
      </c>
      <c r="J1248" s="3" t="s">
        <v>78</v>
      </c>
      <c r="K1248" s="5">
        <v>194.16666</v>
      </c>
      <c r="L1248" s="6"/>
      <c r="M1248" s="6" t="str">
        <f>IF(D1248&lt;&gt;"",VLOOKUP(H1248,TABLEITEM,3,FALSE),"")</f>
        <v>เหล็กรางน้ำ U' 4</v>
      </c>
      <c r="N1248" s="7">
        <f>INSTOCK!$I1248*INSTOCK!$K1248</f>
        <v>58249.998</v>
      </c>
      <c r="O1248" s="2" t="s">
        <v>1480</v>
      </c>
      <c r="P1248" s="2"/>
    </row>
    <row r="1249" ht="18.0" hidden="1" customHeight="1">
      <c r="A1249" s="1"/>
      <c r="B1249" s="3"/>
      <c r="C1249" s="4">
        <v>43503.0</v>
      </c>
      <c r="D1249" s="2" t="s">
        <v>1481</v>
      </c>
      <c r="E1249" s="2">
        <v>6.201000171E9</v>
      </c>
      <c r="F1249" s="3" t="s">
        <v>161</v>
      </c>
      <c r="G1249" s="2" t="s">
        <v>171</v>
      </c>
      <c r="H1249" s="2" t="s">
        <v>19</v>
      </c>
      <c r="I1249" s="3">
        <v>300.0</v>
      </c>
      <c r="J1249" s="3"/>
      <c r="K1249" s="5">
        <v>876.55</v>
      </c>
      <c r="L1249" s="6"/>
      <c r="M1249" s="6" t="str">
        <f>IF(D1249&lt;&gt;"",VLOOKUP(H1249,TABLEITEM,3,FALSE),"")</f>
        <v>เหล็กแผ่นขาว4'x8'T1.6</v>
      </c>
      <c r="N1249" s="7">
        <f>INSTOCK!$I1249*INSTOCK!$K1249</f>
        <v>262965</v>
      </c>
      <c r="O1249" s="2" t="s">
        <v>1482</v>
      </c>
      <c r="P1249" s="2"/>
    </row>
    <row r="1250" ht="18.0" hidden="1" customHeight="1">
      <c r="A1250" s="1"/>
      <c r="B1250" s="3"/>
      <c r="C1250" s="4">
        <v>43503.0</v>
      </c>
      <c r="D1250" s="2" t="s">
        <v>1481</v>
      </c>
      <c r="E1250" s="2">
        <v>6.201000171E9</v>
      </c>
      <c r="F1250" s="3" t="s">
        <v>161</v>
      </c>
      <c r="G1250" s="2" t="s">
        <v>171</v>
      </c>
      <c r="H1250" s="2" t="s">
        <v>21</v>
      </c>
      <c r="I1250" s="3">
        <v>300.0</v>
      </c>
      <c r="J1250" s="3"/>
      <c r="K1250" s="5">
        <v>1106.316</v>
      </c>
      <c r="L1250" s="6"/>
      <c r="M1250" s="6" t="str">
        <f>IF(D1250&lt;&gt;"",VLOOKUP(H1250,TABLEITEM,3,FALSE),"")</f>
        <v>เหล็กแผ่นขาว4'x8'T2.0</v>
      </c>
      <c r="N1250" s="7">
        <f>INSTOCK!$I1250*INSTOCK!$K1250</f>
        <v>331894.8</v>
      </c>
      <c r="O1250" s="2" t="s">
        <v>1483</v>
      </c>
      <c r="P1250" s="2"/>
    </row>
    <row r="1251" ht="18.0" hidden="1" customHeight="1">
      <c r="A1251" s="1"/>
      <c r="B1251" s="3"/>
      <c r="C1251" s="4">
        <v>43508.0</v>
      </c>
      <c r="D1251" s="2" t="s">
        <v>1484</v>
      </c>
      <c r="E1251" s="2">
        <v>6.202000209E9</v>
      </c>
      <c r="F1251" s="3" t="s">
        <v>1485</v>
      </c>
      <c r="G1251" s="2" t="s">
        <v>240</v>
      </c>
      <c r="H1251" s="2" t="s">
        <v>142</v>
      </c>
      <c r="I1251" s="3">
        <v>12.0</v>
      </c>
      <c r="J1251" s="3" t="s">
        <v>78</v>
      </c>
      <c r="K1251" s="5">
        <v>21.6666</v>
      </c>
      <c r="L1251" s="6"/>
      <c r="M1251" s="6" t="str">
        <f>IF(D1251&lt;&gt;"",VLOOKUP(H1251,TABLEITEM,3,FALSE),"")</f>
        <v>เพลาสแตนเลส 5 มิล</v>
      </c>
      <c r="N1251" s="7">
        <f>INSTOCK!$I1251*INSTOCK!$K1251</f>
        <v>259.9992</v>
      </c>
      <c r="O1251" s="2" t="s">
        <v>1486</v>
      </c>
      <c r="P1251" s="2"/>
    </row>
    <row r="1252" ht="18.0" hidden="1" customHeight="1">
      <c r="A1252" s="1"/>
      <c r="B1252" s="3"/>
      <c r="C1252" s="4">
        <v>43510.0</v>
      </c>
      <c r="D1252" s="2" t="s">
        <v>1487</v>
      </c>
      <c r="E1252" s="2"/>
      <c r="F1252" s="3" t="s">
        <v>161</v>
      </c>
      <c r="G1252" s="2" t="s">
        <v>456</v>
      </c>
      <c r="H1252" s="2" t="s">
        <v>513</v>
      </c>
      <c r="I1252" s="3">
        <v>180.0</v>
      </c>
      <c r="J1252" s="3"/>
      <c r="K1252" s="5"/>
      <c r="L1252" s="6"/>
      <c r="M1252" s="6" t="str">
        <f>IF(D1252&lt;&gt;"",VLOOKUP(H1252,TABLEITEM,3,FALSE),"")</f>
        <v>เสาเชื่อม1925x40x50</v>
      </c>
      <c r="N1252" s="7">
        <f>INSTOCK!$I1252*INSTOCK!$K1252</f>
        <v>0</v>
      </c>
      <c r="O1252" s="2"/>
      <c r="P1252" s="2"/>
    </row>
    <row r="1253" ht="18.0" hidden="1" customHeight="1">
      <c r="A1253" s="1"/>
      <c r="B1253" s="3"/>
      <c r="C1253" s="4">
        <v>43517.0</v>
      </c>
      <c r="D1253" s="2" t="s">
        <v>1417</v>
      </c>
      <c r="E1253" s="2"/>
      <c r="F1253" s="3" t="s">
        <v>161</v>
      </c>
      <c r="G1253" s="2" t="s">
        <v>456</v>
      </c>
      <c r="H1253" s="2" t="s">
        <v>1488</v>
      </c>
      <c r="I1253" s="3">
        <v>107.0</v>
      </c>
      <c r="J1253" s="3"/>
      <c r="K1253" s="5"/>
      <c r="L1253" s="6"/>
      <c r="M1253" s="6" t="str">
        <f>IF(D1253&lt;&gt;"",VLOOKUP(H1253,TABLEITEM,3,FALSE),"")</f>
        <v>หมวกตู้ 40x575</v>
      </c>
      <c r="N1253" s="7">
        <f>INSTOCK!$I1253*INSTOCK!$K1253</f>
        <v>0</v>
      </c>
      <c r="O1253" s="2"/>
      <c r="P1253" s="2"/>
    </row>
    <row r="1254" ht="18.0" hidden="1" customHeight="1">
      <c r="A1254" s="1"/>
      <c r="B1254" s="3"/>
      <c r="C1254" s="4">
        <v>43517.0</v>
      </c>
      <c r="D1254" s="2" t="s">
        <v>1417</v>
      </c>
      <c r="E1254" s="2"/>
      <c r="F1254" s="3" t="s">
        <v>161</v>
      </c>
      <c r="G1254" s="2" t="s">
        <v>456</v>
      </c>
      <c r="H1254" s="2" t="s">
        <v>499</v>
      </c>
      <c r="I1254" s="3">
        <v>54.0</v>
      </c>
      <c r="J1254" s="3"/>
      <c r="K1254" s="5"/>
      <c r="L1254" s="6"/>
      <c r="M1254" s="6" t="str">
        <f>IF(D1254&lt;&gt;"",VLOOKUP(H1254,TABLEITEM,3,FALSE),"")</f>
        <v>หมวกตู้ 40x675</v>
      </c>
      <c r="N1254" s="7">
        <f>INSTOCK!$I1254*INSTOCK!$K1254</f>
        <v>0</v>
      </c>
      <c r="O1254" s="2"/>
      <c r="P1254" s="2"/>
    </row>
    <row r="1255" ht="18.0" hidden="1" customHeight="1">
      <c r="A1255" s="1"/>
      <c r="B1255" s="3"/>
      <c r="C1255" s="4">
        <v>43517.0</v>
      </c>
      <c r="D1255" s="2" t="s">
        <v>1417</v>
      </c>
      <c r="E1255" s="2"/>
      <c r="F1255" s="3" t="s">
        <v>161</v>
      </c>
      <c r="G1255" s="2" t="s">
        <v>456</v>
      </c>
      <c r="H1255" s="2" t="s">
        <v>586</v>
      </c>
      <c r="I1255" s="3">
        <v>65.0</v>
      </c>
      <c r="J1255" s="3"/>
      <c r="K1255" s="5"/>
      <c r="L1255" s="6"/>
      <c r="M1255" s="6" t="str">
        <f>IF(D1255&lt;&gt;"",VLOOKUP(H1255,TABLEITEM,3,FALSE),"")</f>
        <v>หมวกตู้ 40x775</v>
      </c>
      <c r="N1255" s="7">
        <f>INSTOCK!$I1255*INSTOCK!$K1255</f>
        <v>0</v>
      </c>
      <c r="O1255" s="2"/>
      <c r="P1255" s="2"/>
    </row>
    <row r="1256" ht="18.0" hidden="1" customHeight="1">
      <c r="A1256" s="1"/>
      <c r="B1256" s="3"/>
      <c r="C1256" s="4">
        <v>43517.0</v>
      </c>
      <c r="D1256" s="2" t="s">
        <v>1417</v>
      </c>
      <c r="E1256" s="2"/>
      <c r="F1256" s="3" t="s">
        <v>161</v>
      </c>
      <c r="G1256" s="2" t="s">
        <v>456</v>
      </c>
      <c r="H1256" s="2" t="s">
        <v>1489</v>
      </c>
      <c r="I1256" s="3">
        <v>54.0</v>
      </c>
      <c r="J1256" s="3"/>
      <c r="K1256" s="5"/>
      <c r="L1256" s="6"/>
      <c r="M1256" s="6" t="str">
        <f>IF(D1256&lt;&gt;"",VLOOKUP(H1256,TABLEITEM,3,FALSE),"")</f>
        <v>หมวกตู้ 40x1075</v>
      </c>
      <c r="N1256" s="7">
        <f>INSTOCK!$I1256*INSTOCK!$K1256</f>
        <v>0</v>
      </c>
      <c r="O1256" s="2"/>
      <c r="P1256" s="2"/>
    </row>
    <row r="1257" ht="18.0" hidden="1" customHeight="1">
      <c r="A1257" s="1"/>
      <c r="B1257" s="3"/>
      <c r="C1257" s="4">
        <v>43512.0</v>
      </c>
      <c r="D1257" s="2" t="s">
        <v>1490</v>
      </c>
      <c r="E1257" s="2">
        <v>6.202000237E9</v>
      </c>
      <c r="F1257" s="3" t="s">
        <v>1491</v>
      </c>
      <c r="G1257" s="2" t="s">
        <v>171</v>
      </c>
      <c r="H1257" s="2" t="s">
        <v>16</v>
      </c>
      <c r="I1257" s="3">
        <v>400.0</v>
      </c>
      <c r="J1257" s="3"/>
      <c r="K1257" s="5">
        <v>553.425</v>
      </c>
      <c r="L1257" s="6"/>
      <c r="M1257" s="6" t="str">
        <f>IF(D1257&lt;&gt;"",VLOOKUP(H1257,TABLEITEM,3,FALSE),"")</f>
        <v>เหล็กแผ่นขาว4'x8'T1.0</v>
      </c>
      <c r="N1257" s="7">
        <f>INSTOCK!$I1257*INSTOCK!$K1257</f>
        <v>221370</v>
      </c>
      <c r="O1257" s="2" t="s">
        <v>1492</v>
      </c>
      <c r="P1257" s="2"/>
    </row>
    <row r="1258" ht="18.0" hidden="1" customHeight="1">
      <c r="A1258" s="1"/>
      <c r="B1258" s="3"/>
      <c r="C1258" s="4">
        <v>43509.0</v>
      </c>
      <c r="D1258" s="2" t="s">
        <v>1493</v>
      </c>
      <c r="E1258" s="2">
        <v>6.202000218E9</v>
      </c>
      <c r="F1258" s="3" t="s">
        <v>1485</v>
      </c>
      <c r="G1258" s="2" t="s">
        <v>165</v>
      </c>
      <c r="H1258" s="2" t="s">
        <v>1433</v>
      </c>
      <c r="I1258" s="3">
        <v>1.0</v>
      </c>
      <c r="J1258" s="3"/>
      <c r="K1258" s="5">
        <v>1700.0</v>
      </c>
      <c r="L1258" s="6"/>
      <c r="M1258" s="6" t="str">
        <f>IF(D1258&lt;&gt;"",VLOOKUP(H1258,TABLEITEM,3,FALSE),"")</f>
        <v>พลาสติกสีแดง M102 4'x8' T2.0mm</v>
      </c>
      <c r="N1258" s="7">
        <f>INSTOCK!$I1258*INSTOCK!$K1258</f>
        <v>1700</v>
      </c>
      <c r="O1258" s="2" t="s">
        <v>1494</v>
      </c>
      <c r="P1258" s="2"/>
    </row>
    <row r="1259" ht="18.0" hidden="1" customHeight="1">
      <c r="A1259" s="1"/>
      <c r="B1259" s="3"/>
      <c r="C1259" s="4">
        <v>43508.0</v>
      </c>
      <c r="D1259" s="2" t="s">
        <v>1495</v>
      </c>
      <c r="E1259" s="2">
        <v>6.202000204E9</v>
      </c>
      <c r="F1259" s="3" t="s">
        <v>1485</v>
      </c>
      <c r="G1259" s="2" t="s">
        <v>171</v>
      </c>
      <c r="H1259" s="2" t="s">
        <v>16</v>
      </c>
      <c r="I1259" s="3">
        <v>400.0</v>
      </c>
      <c r="J1259" s="3"/>
      <c r="K1259" s="5">
        <v>547.55</v>
      </c>
      <c r="L1259" s="6"/>
      <c r="M1259" s="6" t="str">
        <f>IF(D1259&lt;&gt;"",VLOOKUP(H1259,TABLEITEM,3,FALSE),"")</f>
        <v>เหล็กแผ่นขาว4'x8'T1.0</v>
      </c>
      <c r="N1259" s="7">
        <f>INSTOCK!$I1259*INSTOCK!$K1259</f>
        <v>219020</v>
      </c>
      <c r="O1259" s="2" t="s">
        <v>1496</v>
      </c>
      <c r="P1259" s="2"/>
    </row>
    <row r="1260" ht="18.0" hidden="1" customHeight="1">
      <c r="A1260" s="1"/>
      <c r="B1260" s="3"/>
      <c r="C1260" s="4">
        <v>43508.0</v>
      </c>
      <c r="D1260" s="2" t="s">
        <v>1497</v>
      </c>
      <c r="E1260" s="2">
        <v>6.202000201E9</v>
      </c>
      <c r="F1260" s="3" t="s">
        <v>1498</v>
      </c>
      <c r="G1260" s="2" t="s">
        <v>165</v>
      </c>
      <c r="H1260" s="2" t="s">
        <v>332</v>
      </c>
      <c r="I1260" s="3">
        <v>1.0</v>
      </c>
      <c r="J1260" s="3"/>
      <c r="K1260" s="5">
        <v>3500.0</v>
      </c>
      <c r="L1260" s="6"/>
      <c r="M1260" s="6" t="str">
        <f>IF(D1260&lt;&gt;"",VLOOKUP(H1260,TABLEITEM,3,FALSE),"")</f>
        <v>แผ่นโพลีคาร์บอเนต 4'x8' T4</v>
      </c>
      <c r="N1260" s="7">
        <f>INSTOCK!$I1260*INSTOCK!$K1260</f>
        <v>3500</v>
      </c>
      <c r="O1260" s="2"/>
      <c r="P1260" s="2"/>
    </row>
    <row r="1261" ht="18.0" hidden="1" customHeight="1">
      <c r="A1261" s="1"/>
      <c r="B1261" s="3"/>
      <c r="C1261" s="4">
        <v>43508.0</v>
      </c>
      <c r="D1261" s="2" t="s">
        <v>1499</v>
      </c>
      <c r="E1261" s="2">
        <v>6.202000218E9</v>
      </c>
      <c r="F1261" s="3" t="s">
        <v>1485</v>
      </c>
      <c r="G1261" s="2" t="s">
        <v>165</v>
      </c>
      <c r="H1261" s="2" t="s">
        <v>73</v>
      </c>
      <c r="I1261" s="3">
        <v>6.0</v>
      </c>
      <c r="J1261" s="3"/>
      <c r="K1261" s="5">
        <v>1240.0</v>
      </c>
      <c r="L1261" s="6"/>
      <c r="M1261" s="6" t="str">
        <f>IF(D1261&lt;&gt;"",VLOOKUP(H1261,TABLEITEM,3,FALSE),"")</f>
        <v>แผ่นPVC ใส4'x8'T2.0</v>
      </c>
      <c r="N1261" s="7">
        <f>INSTOCK!$I1261*INSTOCK!$K1261</f>
        <v>7440</v>
      </c>
      <c r="O1261" s="2"/>
      <c r="P1261" s="2"/>
    </row>
    <row r="1262" ht="18.0" hidden="1" customHeight="1">
      <c r="A1262" s="1"/>
      <c r="B1262" s="3"/>
      <c r="C1262" s="4">
        <v>43507.0</v>
      </c>
      <c r="D1262" s="2" t="s">
        <v>1500</v>
      </c>
      <c r="E1262" s="2">
        <v>6.202000182E9</v>
      </c>
      <c r="F1262" s="3" t="s">
        <v>161</v>
      </c>
      <c r="G1262" s="2" t="s">
        <v>158</v>
      </c>
      <c r="H1262" s="2" t="s">
        <v>76</v>
      </c>
      <c r="I1262" s="3">
        <v>30.0</v>
      </c>
      <c r="J1262" s="3"/>
      <c r="K1262" s="5">
        <v>490.0</v>
      </c>
      <c r="L1262" s="6"/>
      <c r="M1262" s="6" t="str">
        <f>IF(D1262&lt;&gt;"",VLOOKUP(H1262,TABLEITEM,3,FALSE),"")</f>
        <v>แผ่นตระแกรงระบาย 4x8รู 3มิลT0.6</v>
      </c>
      <c r="N1262" s="7">
        <f>INSTOCK!$I1262*INSTOCK!$K1262</f>
        <v>14700</v>
      </c>
      <c r="O1262" s="2"/>
      <c r="P1262" s="2"/>
    </row>
    <row r="1263" ht="18.0" hidden="1" customHeight="1">
      <c r="A1263" s="1"/>
      <c r="B1263" s="3"/>
      <c r="C1263" s="4">
        <v>43509.0</v>
      </c>
      <c r="D1263" s="2">
        <v>197.0</v>
      </c>
      <c r="E1263" s="2"/>
      <c r="F1263" s="3" t="s">
        <v>1501</v>
      </c>
      <c r="G1263" s="2" t="s">
        <v>1502</v>
      </c>
      <c r="H1263" s="2" t="s">
        <v>961</v>
      </c>
      <c r="I1263" s="3">
        <v>1.0</v>
      </c>
      <c r="J1263" s="3"/>
      <c r="K1263" s="5">
        <v>400.0</v>
      </c>
      <c r="L1263" s="6"/>
      <c r="M1263" s="6" t="str">
        <f>IF(D1263&lt;&gt;"",VLOOKUP(H1263,TABLEITEM,3,FALSE),"")</f>
        <v>กระจกลวด150X230T6.0</v>
      </c>
      <c r="N1263" s="7">
        <f>INSTOCK!$I1263*INSTOCK!$K1263</f>
        <v>400</v>
      </c>
      <c r="O1263" s="2"/>
      <c r="P1263" s="2"/>
    </row>
    <row r="1264" ht="18.0" hidden="1" customHeight="1">
      <c r="A1264" s="1"/>
      <c r="B1264" s="3"/>
      <c r="C1264" s="4">
        <v>43509.0</v>
      </c>
      <c r="D1264" s="2">
        <v>197.0</v>
      </c>
      <c r="E1264" s="2"/>
      <c r="F1264" s="3" t="s">
        <v>1501</v>
      </c>
      <c r="G1264" s="2" t="s">
        <v>1502</v>
      </c>
      <c r="H1264" s="2" t="s">
        <v>1350</v>
      </c>
      <c r="I1264" s="3">
        <v>10.0</v>
      </c>
      <c r="J1264" s="3"/>
      <c r="K1264" s="5">
        <v>480.0</v>
      </c>
      <c r="L1264" s="6"/>
      <c r="M1264" s="6" t="str">
        <f>IF(D1264&lt;&gt;"",VLOOKUP(H1264,TABLEITEM,3,FALSE),"")</f>
        <v>กระจกลวด190X290T6.0</v>
      </c>
      <c r="N1264" s="7">
        <f>INSTOCK!$I1264*INSTOCK!$K1264</f>
        <v>4800</v>
      </c>
      <c r="O1264" s="2"/>
      <c r="P1264" s="2"/>
    </row>
    <row r="1265" ht="18.0" hidden="1" customHeight="1">
      <c r="A1265" s="1"/>
      <c r="B1265" s="3"/>
      <c r="C1265" s="4">
        <v>43514.0</v>
      </c>
      <c r="D1265" s="2" t="s">
        <v>1503</v>
      </c>
      <c r="E1265" s="2">
        <v>6.202000243E9</v>
      </c>
      <c r="F1265" s="3" t="s">
        <v>1504</v>
      </c>
      <c r="G1265" s="2" t="s">
        <v>153</v>
      </c>
      <c r="H1265" s="2" t="s">
        <v>105</v>
      </c>
      <c r="I1265" s="3">
        <v>240.0</v>
      </c>
      <c r="J1265" s="3" t="s">
        <v>78</v>
      </c>
      <c r="K1265" s="5">
        <v>7.0</v>
      </c>
      <c r="L1265" s="6"/>
      <c r="M1265" s="6" t="str">
        <f>IF(D1265&lt;&gt;"",VLOOKUP(H1265,TABLEITEM,3,FALSE),"")</f>
        <v>เหล็กเพลากลม 5มิล</v>
      </c>
      <c r="N1265" s="7">
        <f>INSTOCK!$I1265*INSTOCK!$K1265</f>
        <v>1680</v>
      </c>
      <c r="O1265" s="2" t="s">
        <v>1505</v>
      </c>
      <c r="P1265" s="2"/>
    </row>
    <row r="1266" ht="18.0" hidden="1" customHeight="1">
      <c r="A1266" s="1"/>
      <c r="B1266" s="3"/>
      <c r="C1266" s="4">
        <v>43516.0</v>
      </c>
      <c r="D1266" s="2" t="s">
        <v>1506</v>
      </c>
      <c r="E1266" s="2">
        <v>6.202000252E9</v>
      </c>
      <c r="F1266" s="3" t="s">
        <v>1507</v>
      </c>
      <c r="G1266" s="2" t="s">
        <v>153</v>
      </c>
      <c r="H1266" s="2" t="s">
        <v>1474</v>
      </c>
      <c r="I1266" s="3">
        <v>1062.0</v>
      </c>
      <c r="J1266" s="3" t="s">
        <v>78</v>
      </c>
      <c r="K1266" s="5">
        <v>46.666666</v>
      </c>
      <c r="L1266" s="6"/>
      <c r="M1266" s="6" t="str">
        <f>IF(D1266&lt;&gt;"",VLOOKUP(H1266,TABLEITEM,3,FALSE),"")</f>
        <v>เหล็กกล่อง 2" หนา 1.2 มิล</v>
      </c>
      <c r="N1266" s="7">
        <f>INSTOCK!$I1266*INSTOCK!$K1266</f>
        <v>49559.99929</v>
      </c>
      <c r="O1266" s="2" t="s">
        <v>1508</v>
      </c>
      <c r="P1266" s="2"/>
    </row>
    <row r="1267" ht="18.0" hidden="1" customHeight="1">
      <c r="A1267" s="1"/>
      <c r="B1267" s="3"/>
      <c r="C1267" s="4">
        <v>43510.0</v>
      </c>
      <c r="D1267" s="2" t="s">
        <v>1509</v>
      </c>
      <c r="E1267" s="2"/>
      <c r="F1267" s="3" t="s">
        <v>1510</v>
      </c>
      <c r="G1267" s="2" t="s">
        <v>1511</v>
      </c>
      <c r="H1267" s="2" t="s">
        <v>961</v>
      </c>
      <c r="I1267" s="3">
        <v>8.0</v>
      </c>
      <c r="J1267" s="3"/>
      <c r="K1267" s="5">
        <v>480.0</v>
      </c>
      <c r="L1267" s="6"/>
      <c r="M1267" s="6" t="str">
        <f>IF(D1267&lt;&gt;"",VLOOKUP(H1267,TABLEITEM,3,FALSE),"")</f>
        <v>กระจกลวด150X230T6.0</v>
      </c>
      <c r="N1267" s="7">
        <f>INSTOCK!$I1267*INSTOCK!$K1267</f>
        <v>3840</v>
      </c>
      <c r="O1267" s="2"/>
      <c r="P1267" s="2"/>
    </row>
    <row r="1268" ht="18.0" hidden="1" customHeight="1">
      <c r="A1268" s="1"/>
      <c r="B1268" s="3"/>
      <c r="C1268" s="4">
        <v>43516.0</v>
      </c>
      <c r="D1268" s="2" t="s">
        <v>1512</v>
      </c>
      <c r="E1268" s="2">
        <v>6.20200024E9</v>
      </c>
      <c r="F1268" s="3" t="s">
        <v>1504</v>
      </c>
      <c r="G1268" s="2" t="s">
        <v>165</v>
      </c>
      <c r="H1268" s="2" t="s">
        <v>1433</v>
      </c>
      <c r="I1268" s="3">
        <v>6.0</v>
      </c>
      <c r="J1268" s="3"/>
      <c r="K1268" s="5">
        <v>1650.0</v>
      </c>
      <c r="L1268" s="6"/>
      <c r="M1268" s="6" t="str">
        <f>IF(D1268&lt;&gt;"",VLOOKUP(H1268,TABLEITEM,3,FALSE),"")</f>
        <v>พลาสติกสีแดง M102 4'x8' T2.0mm</v>
      </c>
      <c r="N1268" s="7">
        <f>INSTOCK!$I1268*INSTOCK!$K1268</f>
        <v>9900</v>
      </c>
      <c r="O1268" s="2" t="s">
        <v>1513</v>
      </c>
      <c r="P1268" s="2"/>
    </row>
    <row r="1269" ht="18.0" customHeight="1">
      <c r="A1269" s="1"/>
      <c r="B1269" s="3"/>
      <c r="C1269" s="4">
        <v>43516.0</v>
      </c>
      <c r="D1269" s="2" t="s">
        <v>1512</v>
      </c>
      <c r="E1269" s="2">
        <v>6.20200024E9</v>
      </c>
      <c r="F1269" s="3" t="s">
        <v>1504</v>
      </c>
      <c r="G1269" s="2" t="s">
        <v>165</v>
      </c>
      <c r="H1269" s="2" t="s">
        <v>1431</v>
      </c>
      <c r="I1269" s="3">
        <v>50.0</v>
      </c>
      <c r="J1269" s="3"/>
      <c r="K1269" s="5">
        <v>1200.0</v>
      </c>
      <c r="L1269" s="6"/>
      <c r="M1269" s="6" t="str">
        <f>IF(D1269&lt;&gt;"",VLOOKUP(H1269,TABLEITEM,3,FALSE),"")</f>
        <v>แผ่นอคิลิคใส 4'x8' T2.0</v>
      </c>
      <c r="N1269" s="7">
        <f>INSTOCK!$I1269*INSTOCK!$K1269</f>
        <v>60000</v>
      </c>
      <c r="O1269" s="2"/>
      <c r="P1269" s="2"/>
    </row>
    <row r="1270" ht="18.0" hidden="1" customHeight="1">
      <c r="A1270" s="1"/>
      <c r="B1270" s="3"/>
      <c r="C1270" s="4">
        <v>43509.0</v>
      </c>
      <c r="D1270" s="2" t="s">
        <v>1514</v>
      </c>
      <c r="E1270" s="2">
        <v>6.202000277E9</v>
      </c>
      <c r="F1270" s="3" t="s">
        <v>1515</v>
      </c>
      <c r="G1270" s="2" t="s">
        <v>733</v>
      </c>
      <c r="H1270" s="2" t="s">
        <v>1516</v>
      </c>
      <c r="I1270" s="3">
        <v>3.0</v>
      </c>
      <c r="J1270" s="3"/>
      <c r="K1270" s="5">
        <v>25.0</v>
      </c>
      <c r="L1270" s="6"/>
      <c r="M1270" s="6" t="str">
        <f>IF(D1270&lt;&gt;"",VLOOKUP(H1270,TABLEITEM,3,FALSE),"")</f>
        <v>กระจก138x248T3.0</v>
      </c>
      <c r="N1270" s="7">
        <f>INSTOCK!$I1270*INSTOCK!$K1270</f>
        <v>75</v>
      </c>
      <c r="O1270" s="2"/>
      <c r="P1270" s="2"/>
    </row>
    <row r="1271" ht="18.0" hidden="1" customHeight="1">
      <c r="A1271" s="1"/>
      <c r="B1271" s="3"/>
      <c r="C1271" s="4">
        <v>43509.0</v>
      </c>
      <c r="D1271" s="2" t="s">
        <v>1517</v>
      </c>
      <c r="E1271" s="2">
        <v>6.202000277E9</v>
      </c>
      <c r="F1271" s="3" t="s">
        <v>1518</v>
      </c>
      <c r="G1271" s="2" t="s">
        <v>733</v>
      </c>
      <c r="H1271" s="2" t="s">
        <v>1519</v>
      </c>
      <c r="I1271" s="3">
        <v>3.0</v>
      </c>
      <c r="J1271" s="3"/>
      <c r="K1271" s="5">
        <v>25.0</v>
      </c>
      <c r="L1271" s="6"/>
      <c r="M1271" s="6" t="str">
        <f>IF(D1271&lt;&gt;"",VLOOKUP(H1271,TABLEITEM,3,FALSE),"")</f>
        <v>กระจก 88x248 T3.0</v>
      </c>
      <c r="N1271" s="7">
        <f>INSTOCK!$I1271*INSTOCK!$K1271</f>
        <v>75</v>
      </c>
      <c r="O1271" s="2"/>
      <c r="P1271" s="2"/>
    </row>
    <row r="1272" ht="18.0" hidden="1" customHeight="1">
      <c r="A1272" s="1"/>
      <c r="B1272" s="3"/>
      <c r="C1272" s="4">
        <v>43517.0</v>
      </c>
      <c r="D1272" s="2" t="s">
        <v>1520</v>
      </c>
      <c r="E1272" s="2">
        <v>6.202000277E9</v>
      </c>
      <c r="F1272" s="3" t="s">
        <v>1521</v>
      </c>
      <c r="G1272" s="2" t="s">
        <v>733</v>
      </c>
      <c r="H1272" s="2" t="s">
        <v>1522</v>
      </c>
      <c r="I1272" s="3">
        <v>1.0</v>
      </c>
      <c r="J1272" s="3"/>
      <c r="K1272" s="5">
        <v>25.0</v>
      </c>
      <c r="L1272" s="6"/>
      <c r="M1272" s="6" t="str">
        <f>IF(D1272&lt;&gt;"",VLOOKUP(H1272,TABLEITEM,3,FALSE),"")</f>
        <v>กระจก 128x268 T3.0</v>
      </c>
      <c r="N1272" s="7">
        <f>INSTOCK!$I1272*INSTOCK!$K1272</f>
        <v>25</v>
      </c>
      <c r="O1272" s="2"/>
      <c r="P1272" s="2"/>
    </row>
    <row r="1273" ht="18.0" hidden="1" customHeight="1">
      <c r="A1273" s="1"/>
      <c r="B1273" s="3"/>
      <c r="C1273" s="4">
        <v>43514.0</v>
      </c>
      <c r="D1273" s="2" t="s">
        <v>1523</v>
      </c>
      <c r="E1273" s="2">
        <v>6.202000277E9</v>
      </c>
      <c r="F1273" s="3" t="s">
        <v>1521</v>
      </c>
      <c r="G1273" s="2" t="s">
        <v>733</v>
      </c>
      <c r="H1273" s="2" t="s">
        <v>1524</v>
      </c>
      <c r="I1273" s="3">
        <v>1.0</v>
      </c>
      <c r="J1273" s="3"/>
      <c r="K1273" s="5">
        <v>25.0</v>
      </c>
      <c r="L1273" s="6"/>
      <c r="M1273" s="6" t="str">
        <f>IF(D1273&lt;&gt;"",VLOOKUP(H1273,TABLEITEM,3,FALSE),"")</f>
        <v>กระจก 132x272 T3.0</v>
      </c>
      <c r="N1273" s="7">
        <f>INSTOCK!$I1273*INSTOCK!$K1273</f>
        <v>25</v>
      </c>
      <c r="O1273" s="2"/>
      <c r="P1273" s="2"/>
    </row>
    <row r="1274" ht="18.0" hidden="1" customHeight="1">
      <c r="A1274" s="1"/>
      <c r="B1274" s="3"/>
      <c r="C1274" s="4">
        <v>43504.0</v>
      </c>
      <c r="D1274" s="2" t="s">
        <v>1525</v>
      </c>
      <c r="E1274" s="2">
        <v>6.202000277E9</v>
      </c>
      <c r="F1274" s="3" t="s">
        <v>1526</v>
      </c>
      <c r="G1274" s="2" t="s">
        <v>733</v>
      </c>
      <c r="H1274" s="2" t="s">
        <v>1116</v>
      </c>
      <c r="I1274" s="3">
        <v>1.0</v>
      </c>
      <c r="J1274" s="3"/>
      <c r="K1274" s="5">
        <v>90.0</v>
      </c>
      <c r="L1274" s="6"/>
      <c r="M1274" s="6" t="str">
        <f>IF(D1274&lt;&gt;"",VLOOKUP(H1274,TABLEITEM,3,FALSE),"")</f>
        <v>กระจก 412x562 T5.0</v>
      </c>
      <c r="N1274" s="7">
        <f>INSTOCK!$I1274*INSTOCK!$K1274</f>
        <v>90</v>
      </c>
      <c r="O1274" s="2"/>
      <c r="P1274" s="2"/>
    </row>
    <row r="1275" ht="18.0" hidden="1" customHeight="1">
      <c r="A1275" s="1"/>
      <c r="B1275" s="3"/>
      <c r="C1275" s="4">
        <v>43505.0</v>
      </c>
      <c r="D1275" s="2" t="s">
        <v>1527</v>
      </c>
      <c r="E1275" s="2">
        <v>6.202000277E9</v>
      </c>
      <c r="F1275" s="3" t="s">
        <v>1528</v>
      </c>
      <c r="G1275" s="2" t="s">
        <v>733</v>
      </c>
      <c r="H1275" s="2" t="s">
        <v>1529</v>
      </c>
      <c r="I1275" s="3">
        <v>1.0</v>
      </c>
      <c r="J1275" s="3"/>
      <c r="K1275" s="5">
        <v>140.0</v>
      </c>
      <c r="L1275" s="6"/>
      <c r="M1275" s="6" t="str">
        <f>IF(D1275&lt;&gt;"",VLOOKUP(H1275,TABLEITEM,3,FALSE),"")</f>
        <v>กระจก 362x712 T5.0</v>
      </c>
      <c r="N1275" s="7">
        <f>INSTOCK!$I1275*INSTOCK!$K1275</f>
        <v>140</v>
      </c>
      <c r="O1275" s="2"/>
      <c r="P1275" s="2"/>
    </row>
    <row r="1276" ht="18.0" hidden="1" customHeight="1">
      <c r="A1276" s="1"/>
      <c r="B1276" s="3"/>
      <c r="C1276" s="4">
        <v>43508.0</v>
      </c>
      <c r="D1276" s="2" t="s">
        <v>1530</v>
      </c>
      <c r="E1276" s="2">
        <v>6.202000277E9</v>
      </c>
      <c r="F1276" s="3" t="s">
        <v>1531</v>
      </c>
      <c r="G1276" s="2" t="s">
        <v>733</v>
      </c>
      <c r="H1276" s="2" t="s">
        <v>1532</v>
      </c>
      <c r="I1276" s="3">
        <v>1.0</v>
      </c>
      <c r="J1276" s="3"/>
      <c r="K1276" s="5">
        <v>240.0</v>
      </c>
      <c r="L1276" s="6"/>
      <c r="M1276" s="6" t="str">
        <f>IF(D1276&lt;&gt;"",VLOOKUP(H1276,TABLEITEM,3,FALSE),"")</f>
        <v>กระจก562X962T5.0</v>
      </c>
      <c r="N1276" s="7">
        <f>INSTOCK!$I1276*INSTOCK!$K1276</f>
        <v>240</v>
      </c>
      <c r="O1276" s="2"/>
      <c r="P1276" s="2"/>
    </row>
    <row r="1277" ht="18.0" hidden="1" customHeight="1">
      <c r="A1277" s="1"/>
      <c r="B1277" s="3"/>
      <c r="C1277" s="4">
        <v>43519.0</v>
      </c>
      <c r="D1277" s="2" t="s">
        <v>1533</v>
      </c>
      <c r="E1277" s="2"/>
      <c r="F1277" s="3" t="s">
        <v>161</v>
      </c>
      <c r="G1277" s="2" t="s">
        <v>456</v>
      </c>
      <c r="H1277" s="2" t="s">
        <v>1534</v>
      </c>
      <c r="I1277" s="3">
        <v>113.0</v>
      </c>
      <c r="J1277" s="3"/>
      <c r="K1277" s="5"/>
      <c r="L1277" s="6"/>
      <c r="M1277" s="6" t="str">
        <f>IF(D1277&lt;&gt;"",VLOOKUP(H1277,TABLEITEM,3,FALSE),"")</f>
        <v>คานเจ 2รู 65x32x554</v>
      </c>
      <c r="N1277" s="7">
        <f>INSTOCK!$I1277*INSTOCK!$K1277</f>
        <v>0</v>
      </c>
      <c r="O1277" s="2"/>
      <c r="P1277" s="2"/>
    </row>
    <row r="1278" ht="18.0" hidden="1" customHeight="1">
      <c r="A1278" s="1"/>
      <c r="B1278" s="3"/>
      <c r="C1278" s="4">
        <v>43519.0</v>
      </c>
      <c r="D1278" s="2" t="s">
        <v>1389</v>
      </c>
      <c r="E1278" s="2"/>
      <c r="F1278" s="3" t="s">
        <v>161</v>
      </c>
      <c r="G1278" s="2" t="s">
        <v>456</v>
      </c>
      <c r="H1278" s="2" t="s">
        <v>623</v>
      </c>
      <c r="I1278" s="3">
        <v>151.0</v>
      </c>
      <c r="J1278" s="3"/>
      <c r="K1278" s="5"/>
      <c r="L1278" s="6"/>
      <c r="M1278" s="6" t="str">
        <f>IF(D1278&lt;&gt;"",VLOOKUP(H1278,TABLEITEM,3,FALSE),"")</f>
        <v>คานต่อโครง3mm 68x45x920</v>
      </c>
      <c r="N1278" s="7">
        <f>INSTOCK!$I1278*INSTOCK!$K1278</f>
        <v>0</v>
      </c>
      <c r="O1278" s="2"/>
      <c r="P1278" s="2"/>
    </row>
    <row r="1279" ht="18.0" hidden="1" customHeight="1">
      <c r="A1279" s="1"/>
      <c r="B1279" s="3"/>
      <c r="C1279" s="4">
        <v>43519.0</v>
      </c>
      <c r="D1279" s="2" t="s">
        <v>1535</v>
      </c>
      <c r="E1279" s="2"/>
      <c r="F1279" s="3" t="s">
        <v>161</v>
      </c>
      <c r="G1279" s="2" t="s">
        <v>456</v>
      </c>
      <c r="H1279" s="2" t="s">
        <v>1226</v>
      </c>
      <c r="I1279" s="3">
        <v>174.0</v>
      </c>
      <c r="J1279" s="3"/>
      <c r="K1279" s="5"/>
      <c r="L1279" s="6"/>
      <c r="M1279" s="6" t="str">
        <f>IF(D1279&lt;&gt;"",VLOOKUP(H1279,TABLEITEM,3,FALSE),"")</f>
        <v>คานฝาหน้า 50x22x520</v>
      </c>
      <c r="N1279" s="7">
        <f>INSTOCK!$I1279*INSTOCK!$K1279</f>
        <v>0</v>
      </c>
      <c r="O1279" s="2"/>
      <c r="P1279" s="2"/>
    </row>
    <row r="1280" ht="18.0" hidden="1" customHeight="1">
      <c r="A1280" s="1"/>
      <c r="B1280" s="3"/>
      <c r="C1280" s="4">
        <v>43519.0</v>
      </c>
      <c r="D1280" s="2" t="s">
        <v>1536</v>
      </c>
      <c r="E1280" s="2"/>
      <c r="F1280" s="3" t="s">
        <v>161</v>
      </c>
      <c r="G1280" s="2" t="s">
        <v>456</v>
      </c>
      <c r="H1280" s="2" t="s">
        <v>710</v>
      </c>
      <c r="I1280" s="3">
        <v>230.0</v>
      </c>
      <c r="J1280" s="3"/>
      <c r="K1280" s="5"/>
      <c r="L1280" s="6"/>
      <c r="M1280" s="6" t="str">
        <f>IF(D1280&lt;&gt;"",VLOOKUP(H1280,TABLEITEM,3,FALSE),"")</f>
        <v>คานฝาหน้า 50x22x720</v>
      </c>
      <c r="N1280" s="7">
        <f>INSTOCK!$I1280*INSTOCK!$K1280</f>
        <v>0</v>
      </c>
      <c r="O1280" s="2"/>
      <c r="P1280" s="2"/>
    </row>
    <row r="1281" ht="18.0" hidden="1" customHeight="1">
      <c r="A1281" s="1"/>
      <c r="B1281" s="3"/>
      <c r="C1281" s="4">
        <v>43516.0</v>
      </c>
      <c r="D1281" s="2" t="s">
        <v>1537</v>
      </c>
      <c r="E1281" s="2">
        <v>6.202000287E9</v>
      </c>
      <c r="F1281" s="3" t="s">
        <v>1538</v>
      </c>
      <c r="G1281" s="2" t="s">
        <v>733</v>
      </c>
      <c r="H1281" s="2" t="s">
        <v>1539</v>
      </c>
      <c r="I1281" s="3">
        <v>1.0</v>
      </c>
      <c r="J1281" s="3"/>
      <c r="K1281" s="5">
        <v>90.0</v>
      </c>
      <c r="L1281" s="6"/>
      <c r="M1281" s="6" t="str">
        <f>IF(D1281&lt;&gt;"",VLOOKUP(H1281,TABLEITEM,3,FALSE),"")</f>
        <v>กระจก 362x512 T5.0</v>
      </c>
      <c r="N1281" s="7">
        <f>INSTOCK!$I1281*INSTOCK!$K1281</f>
        <v>90</v>
      </c>
      <c r="O1281" s="2"/>
      <c r="P1281" s="2"/>
    </row>
    <row r="1282" ht="18.0" hidden="1" customHeight="1">
      <c r="A1282" s="1"/>
      <c r="B1282" s="3"/>
      <c r="C1282" s="4">
        <v>43508.0</v>
      </c>
      <c r="D1282" s="2" t="s">
        <v>1540</v>
      </c>
      <c r="E1282" s="2">
        <v>6.202000287E9</v>
      </c>
      <c r="F1282" s="3" t="s">
        <v>1541</v>
      </c>
      <c r="G1282" s="2" t="s">
        <v>733</v>
      </c>
      <c r="H1282" s="2" t="s">
        <v>1542</v>
      </c>
      <c r="I1282" s="3">
        <v>1.0</v>
      </c>
      <c r="J1282" s="3"/>
      <c r="K1282" s="5">
        <v>150.0</v>
      </c>
      <c r="L1282" s="6"/>
      <c r="M1282" s="6" t="str">
        <f>IF(D1282&lt;&gt;"",VLOOKUP(H1282,TABLEITEM,3,FALSE),"")</f>
        <v>กระจก 462x762 T5.0</v>
      </c>
      <c r="N1282" s="7">
        <f>INSTOCK!$I1282*INSTOCK!$K1282</f>
        <v>150</v>
      </c>
      <c r="O1282" s="2"/>
      <c r="P1282" s="2"/>
    </row>
    <row r="1283" ht="18.0" hidden="1" customHeight="1">
      <c r="A1283" s="1"/>
      <c r="B1283" s="3"/>
      <c r="C1283" s="4">
        <v>43505.0</v>
      </c>
      <c r="D1283" s="2" t="s">
        <v>1543</v>
      </c>
      <c r="E1283" s="2">
        <v>6.202000287E9</v>
      </c>
      <c r="F1283" s="3" t="s">
        <v>1544</v>
      </c>
      <c r="G1283" s="2" t="s">
        <v>733</v>
      </c>
      <c r="H1283" s="2" t="s">
        <v>1545</v>
      </c>
      <c r="I1283" s="3">
        <v>1.0</v>
      </c>
      <c r="J1283" s="3"/>
      <c r="K1283" s="5">
        <v>60.0</v>
      </c>
      <c r="L1283" s="6"/>
      <c r="M1283" s="6" t="str">
        <f>IF(D1283&lt;&gt;"",VLOOKUP(H1283,TABLEITEM,3,FALSE),"")</f>
        <v>กระจก 305x536 T5.0</v>
      </c>
      <c r="N1283" s="7">
        <f>INSTOCK!$I1283*INSTOCK!$K1283</f>
        <v>60</v>
      </c>
      <c r="O1283" s="2"/>
      <c r="P1283" s="2"/>
    </row>
    <row r="1284" ht="18.0" hidden="1" customHeight="1">
      <c r="A1284" s="1"/>
      <c r="B1284" s="3"/>
      <c r="C1284" s="4">
        <v>43502.0</v>
      </c>
      <c r="D1284" s="2" t="s">
        <v>1546</v>
      </c>
      <c r="E1284" s="2">
        <v>6.202000287E9</v>
      </c>
      <c r="F1284" s="3" t="s">
        <v>1544</v>
      </c>
      <c r="G1284" s="2" t="s">
        <v>733</v>
      </c>
      <c r="H1284" s="2" t="s">
        <v>1545</v>
      </c>
      <c r="I1284" s="3">
        <v>4.0</v>
      </c>
      <c r="J1284" s="3"/>
      <c r="K1284" s="5">
        <v>60.0</v>
      </c>
      <c r="L1284" s="6"/>
      <c r="M1284" s="6" t="str">
        <f>IF(D1284&lt;&gt;"",VLOOKUP(H1284,TABLEITEM,3,FALSE),"")</f>
        <v>กระจก 305x536 T5.0</v>
      </c>
      <c r="N1284" s="7">
        <f>INSTOCK!$I1284*INSTOCK!$K1284</f>
        <v>240</v>
      </c>
      <c r="O1284" s="2"/>
      <c r="P1284" s="2"/>
    </row>
    <row r="1285" ht="18.0" hidden="1" customHeight="1">
      <c r="A1285" s="1"/>
      <c r="B1285" s="3"/>
      <c r="C1285" s="4">
        <v>43498.0</v>
      </c>
      <c r="D1285" s="2" t="s">
        <v>1547</v>
      </c>
      <c r="E1285" s="2">
        <v>6.202000287E9</v>
      </c>
      <c r="F1285" s="3" t="s">
        <v>1548</v>
      </c>
      <c r="G1285" s="2" t="s">
        <v>733</v>
      </c>
      <c r="H1285" s="2" t="s">
        <v>1549</v>
      </c>
      <c r="I1285" s="3">
        <v>70.0</v>
      </c>
      <c r="J1285" s="3"/>
      <c r="K1285" s="5">
        <v>130.0</v>
      </c>
      <c r="L1285" s="6"/>
      <c r="M1285" s="6" t="str">
        <f>IF(D1285&lt;&gt;"",VLOOKUP(H1285,TABLEITEM,3,FALSE),"")</f>
        <v>กระจก 372x912 T5.0</v>
      </c>
      <c r="N1285" s="7">
        <f>INSTOCK!$I1285*INSTOCK!$K1285</f>
        <v>9100</v>
      </c>
      <c r="O1285" s="2"/>
      <c r="P1285" s="2"/>
    </row>
    <row r="1286" ht="18.0" hidden="1" customHeight="1">
      <c r="A1286" s="1"/>
      <c r="B1286" s="3"/>
      <c r="C1286" s="4">
        <v>43519.0</v>
      </c>
      <c r="D1286" s="2" t="s">
        <v>1550</v>
      </c>
      <c r="E1286" s="2">
        <v>6.202000299E9</v>
      </c>
      <c r="F1286" s="3" t="s">
        <v>1551</v>
      </c>
      <c r="G1286" s="2" t="s">
        <v>733</v>
      </c>
      <c r="H1286" s="2" t="s">
        <v>1552</v>
      </c>
      <c r="I1286" s="3">
        <v>1.0</v>
      </c>
      <c r="J1286" s="3"/>
      <c r="K1286" s="5">
        <v>240.0</v>
      </c>
      <c r="L1286" s="6"/>
      <c r="M1286" s="6" t="str">
        <f>IF(D1286&lt;&gt;"",VLOOKUP(H1286,TABLEITEM,3,FALSE),"")</f>
        <v>กระจก 512x1012 T5.0</v>
      </c>
      <c r="N1286" s="7">
        <f>INSTOCK!$I1286*INSTOCK!$K1286</f>
        <v>240</v>
      </c>
      <c r="O1286" s="2"/>
      <c r="P1286" s="2"/>
    </row>
    <row r="1287" ht="18.0" hidden="1" customHeight="1">
      <c r="A1287" s="1"/>
      <c r="B1287" s="3"/>
      <c r="C1287" s="4">
        <v>43511.0</v>
      </c>
      <c r="D1287" s="2" t="s">
        <v>1553</v>
      </c>
      <c r="E1287" s="2">
        <v>6.202000299E9</v>
      </c>
      <c r="F1287" s="3" t="s">
        <v>1554</v>
      </c>
      <c r="G1287" s="2" t="s">
        <v>733</v>
      </c>
      <c r="H1287" s="2" t="s">
        <v>1555</v>
      </c>
      <c r="I1287" s="3">
        <v>1.0</v>
      </c>
      <c r="J1287" s="3"/>
      <c r="K1287" s="5">
        <v>68.0</v>
      </c>
      <c r="L1287" s="6"/>
      <c r="M1287" s="6" t="str">
        <f>IF(D1287&lt;&gt;"",VLOOKUP(H1287,TABLEITEM,3,FALSE),"")</f>
        <v>กระจก 362x442 T5.0</v>
      </c>
      <c r="N1287" s="7">
        <f>INSTOCK!$I1287*INSTOCK!$K1287</f>
        <v>68</v>
      </c>
      <c r="O1287" s="2"/>
      <c r="P1287" s="2"/>
    </row>
    <row r="1288" ht="18.0" customHeight="1">
      <c r="A1288" s="1"/>
      <c r="B1288" s="3"/>
      <c r="C1288" s="4">
        <v>43512.0</v>
      </c>
      <c r="D1288" s="2" t="s">
        <v>1556</v>
      </c>
      <c r="E1288" s="2" t="s">
        <v>1557</v>
      </c>
      <c r="F1288" s="3" t="s">
        <v>1504</v>
      </c>
      <c r="G1288" s="2" t="s">
        <v>165</v>
      </c>
      <c r="H1288" s="2" t="s">
        <v>1431</v>
      </c>
      <c r="I1288" s="3">
        <v>20.0</v>
      </c>
      <c r="J1288" s="3"/>
      <c r="K1288" s="5">
        <v>1200.0</v>
      </c>
      <c r="L1288" s="6"/>
      <c r="M1288" s="6" t="str">
        <f>IF(D1288&lt;&gt;"",VLOOKUP(H1288,TABLEITEM,3,FALSE),"")</f>
        <v>แผ่นอคิลิคใส 4'x8' T2.0</v>
      </c>
      <c r="N1288" s="7">
        <f>INSTOCK!$I1288*INSTOCK!$K1288</f>
        <v>24000</v>
      </c>
      <c r="O1288" s="2"/>
      <c r="P1288" s="2"/>
    </row>
    <row r="1289" ht="18.0" hidden="1" customHeight="1">
      <c r="A1289" s="1"/>
      <c r="B1289" s="3"/>
      <c r="C1289" s="4">
        <v>43522.0</v>
      </c>
      <c r="D1289" s="2" t="s">
        <v>1558</v>
      </c>
      <c r="E1289" s="2">
        <v>6.202000282E9</v>
      </c>
      <c r="F1289" s="3" t="s">
        <v>161</v>
      </c>
      <c r="G1289" s="2" t="s">
        <v>202</v>
      </c>
      <c r="H1289" s="2" t="s">
        <v>85</v>
      </c>
      <c r="I1289" s="3">
        <v>300.0</v>
      </c>
      <c r="J1289" s="3" t="s">
        <v>78</v>
      </c>
      <c r="K1289" s="5">
        <v>42.5</v>
      </c>
      <c r="L1289" s="6"/>
      <c r="M1289" s="6" t="str">
        <f>IF(D1289&lt;&gt;"",VLOOKUP(H1289,TABLEITEM,3,FALSE),"")</f>
        <v>เหล็กฉาก 1''1/2'หนา3 มิล</v>
      </c>
      <c r="N1289" s="7">
        <f>INSTOCK!$I1289*INSTOCK!$K1289</f>
        <v>12750</v>
      </c>
      <c r="O1289" s="2" t="s">
        <v>1559</v>
      </c>
      <c r="P1289" s="2"/>
    </row>
    <row r="1290" ht="18.0" hidden="1" customHeight="1">
      <c r="A1290" s="1"/>
      <c r="B1290" s="3"/>
      <c r="C1290" s="4">
        <v>43522.0</v>
      </c>
      <c r="D1290" s="2" t="s">
        <v>1560</v>
      </c>
      <c r="E1290" s="2">
        <v>6.202000286E9</v>
      </c>
      <c r="F1290" s="3" t="s">
        <v>456</v>
      </c>
      <c r="G1290" s="2" t="s">
        <v>153</v>
      </c>
      <c r="H1290" s="2" t="s">
        <v>1561</v>
      </c>
      <c r="I1290" s="3">
        <v>1.0</v>
      </c>
      <c r="J1290" s="3" t="s">
        <v>1562</v>
      </c>
      <c r="K1290" s="5">
        <v>2620.0</v>
      </c>
      <c r="L1290" s="6"/>
      <c r="M1290" s="6" t="str">
        <f>IF(D1290&lt;&gt;"",VLOOKUP(H1290,TABLEITEM,3,FALSE),"")</f>
        <v>เหล็กตะแกรงไวร์เมช 20cmx20cmx5.6mmx2.0Mx25M</v>
      </c>
      <c r="N1290" s="7">
        <f>INSTOCK!$I1290*INSTOCK!$K1290</f>
        <v>2620</v>
      </c>
      <c r="O1290" s="2"/>
      <c r="P1290" s="2"/>
    </row>
    <row r="1291" ht="18.0" hidden="1" customHeight="1">
      <c r="A1291" s="1"/>
      <c r="B1291" s="3"/>
      <c r="C1291" s="4">
        <v>43525.0</v>
      </c>
      <c r="D1291" s="2" t="s">
        <v>1563</v>
      </c>
      <c r="E1291" s="2">
        <v>6.202000306E9</v>
      </c>
      <c r="F1291" s="3" t="s">
        <v>1504</v>
      </c>
      <c r="G1291" s="2" t="s">
        <v>171</v>
      </c>
      <c r="H1291" s="2" t="s">
        <v>16</v>
      </c>
      <c r="I1291" s="3">
        <v>600.0</v>
      </c>
      <c r="J1291" s="3"/>
      <c r="K1291" s="5">
        <v>542.88</v>
      </c>
      <c r="L1291" s="6"/>
      <c r="M1291" s="6" t="str">
        <f>IF(D1291&lt;&gt;"",VLOOKUP(H1291,TABLEITEM,3,FALSE),"")</f>
        <v>เหล็กแผ่นขาว4'x8'T1.0</v>
      </c>
      <c r="N1291" s="7">
        <f>INSTOCK!$I1291*INSTOCK!$K1291</f>
        <v>325728</v>
      </c>
      <c r="O1291" s="2" t="s">
        <v>1564</v>
      </c>
      <c r="P1291" s="2"/>
    </row>
    <row r="1292" ht="18.0" customHeight="1">
      <c r="A1292" s="1"/>
      <c r="B1292" s="3"/>
      <c r="C1292" s="4">
        <v>43525.0</v>
      </c>
      <c r="D1292" s="2" t="s">
        <v>1565</v>
      </c>
      <c r="E1292" s="2">
        <v>6.202000241E9</v>
      </c>
      <c r="F1292" s="3" t="s">
        <v>1504</v>
      </c>
      <c r="G1292" s="2" t="s">
        <v>165</v>
      </c>
      <c r="H1292" s="2" t="s">
        <v>1431</v>
      </c>
      <c r="I1292" s="3">
        <v>75.0</v>
      </c>
      <c r="J1292" s="3"/>
      <c r="K1292" s="5">
        <v>1200.0</v>
      </c>
      <c r="L1292" s="6"/>
      <c r="M1292" s="6" t="str">
        <f>IF(D1292&lt;&gt;"",VLOOKUP(H1292,TABLEITEM,3,FALSE),"")</f>
        <v>แผ่นอคิลิคใส 4'x8' T2.0</v>
      </c>
      <c r="N1292" s="7">
        <f>INSTOCK!$I1292*INSTOCK!$K1292</f>
        <v>90000</v>
      </c>
      <c r="O1292" s="2"/>
      <c r="P1292" s="2"/>
    </row>
    <row r="1293" ht="18.0" hidden="1" customHeight="1">
      <c r="A1293" s="1"/>
      <c r="B1293" s="3"/>
      <c r="C1293" s="4">
        <v>43526.0</v>
      </c>
      <c r="D1293" s="2" t="s">
        <v>1566</v>
      </c>
      <c r="E1293" s="2">
        <v>6.2020003E9</v>
      </c>
      <c r="F1293" s="3" t="s">
        <v>161</v>
      </c>
      <c r="G1293" s="2" t="s">
        <v>171</v>
      </c>
      <c r="H1293" s="2" t="s">
        <v>19</v>
      </c>
      <c r="I1293" s="3">
        <v>200.0</v>
      </c>
      <c r="J1293" s="3"/>
      <c r="K1293" s="5">
        <v>863.62</v>
      </c>
      <c r="L1293" s="6"/>
      <c r="M1293" s="6" t="str">
        <f>IF(D1293&lt;&gt;"",VLOOKUP(H1293,TABLEITEM,3,FALSE),"")</f>
        <v>เหล็กแผ่นขาว4'x8'T1.6</v>
      </c>
      <c r="N1293" s="7">
        <f>INSTOCK!$I1293*INSTOCK!$K1293</f>
        <v>172724</v>
      </c>
      <c r="O1293" s="2" t="s">
        <v>1567</v>
      </c>
      <c r="P1293" s="2"/>
    </row>
    <row r="1294" ht="18.0" hidden="1" customHeight="1">
      <c r="A1294" s="1"/>
      <c r="B1294" s="3"/>
      <c r="C1294" s="4">
        <v>43526.0</v>
      </c>
      <c r="D1294" s="2" t="s">
        <v>1566</v>
      </c>
      <c r="E1294" s="2">
        <v>6.2020003E9</v>
      </c>
      <c r="F1294" s="3" t="s">
        <v>161</v>
      </c>
      <c r="G1294" s="2" t="s">
        <v>171</v>
      </c>
      <c r="H1294" s="2" t="s">
        <v>42</v>
      </c>
      <c r="I1294" s="3">
        <v>100.0</v>
      </c>
      <c r="J1294" s="3"/>
      <c r="K1294" s="5">
        <v>1259.5</v>
      </c>
      <c r="L1294" s="6"/>
      <c r="M1294" s="6" t="str">
        <f>IF(D1294&lt;&gt;"",VLOOKUP(H1294,TABLEITEM,3,FALSE),"")</f>
        <v>เหล็กแผ่นEG4'x8'T2.0</v>
      </c>
      <c r="N1294" s="7">
        <f>INSTOCK!$I1294*INSTOCK!$K1294</f>
        <v>125950</v>
      </c>
      <c r="O1294" s="2" t="s">
        <v>1568</v>
      </c>
      <c r="P1294" s="2"/>
    </row>
    <row r="1295" ht="18.0" hidden="1" customHeight="1">
      <c r="A1295" s="1"/>
      <c r="B1295" s="3"/>
      <c r="C1295" s="4">
        <v>43529.0</v>
      </c>
      <c r="D1295" s="2" t="s">
        <v>1569</v>
      </c>
      <c r="E1295" s="2">
        <v>6.203000318E9</v>
      </c>
      <c r="F1295" s="3" t="s">
        <v>161</v>
      </c>
      <c r="G1295" s="2" t="s">
        <v>171</v>
      </c>
      <c r="H1295" s="2" t="s">
        <v>17</v>
      </c>
      <c r="I1295" s="3">
        <v>100.0</v>
      </c>
      <c r="J1295" s="3"/>
      <c r="K1295" s="5">
        <v>651.92</v>
      </c>
      <c r="L1295" s="6"/>
      <c r="M1295" s="6" t="str">
        <f>IF(D1295&lt;&gt;"",VLOOKUP(H1295,TABLEITEM,3,FALSE),"")</f>
        <v>เหล็กแผ่นขาว4'x8'T1.2</v>
      </c>
      <c r="N1295" s="7">
        <f>INSTOCK!$I1295*INSTOCK!$K1295</f>
        <v>65192</v>
      </c>
      <c r="O1295" s="2" t="s">
        <v>1570</v>
      </c>
      <c r="P1295" s="2"/>
    </row>
    <row r="1296" ht="18.0" hidden="1" customHeight="1">
      <c r="A1296" s="1"/>
      <c r="B1296" s="3"/>
      <c r="C1296" s="4">
        <v>43528.0</v>
      </c>
      <c r="D1296" s="2" t="s">
        <v>1571</v>
      </c>
      <c r="E1296" s="2">
        <v>6.203000319E9</v>
      </c>
      <c r="F1296" s="3" t="s">
        <v>1507</v>
      </c>
      <c r="G1296" s="2" t="s">
        <v>240</v>
      </c>
      <c r="H1296" s="2" t="s">
        <v>1474</v>
      </c>
      <c r="I1296" s="3">
        <v>150.0</v>
      </c>
      <c r="J1296" s="3" t="s">
        <v>78</v>
      </c>
      <c r="K1296" s="5">
        <v>46.66666</v>
      </c>
      <c r="L1296" s="6"/>
      <c r="M1296" s="6" t="str">
        <f>IF(D1296&lt;&gt;"",VLOOKUP(H1296,TABLEITEM,3,FALSE),"")</f>
        <v>เหล็กกล่อง 2" หนา 1.2 มิล</v>
      </c>
      <c r="N1296" s="7">
        <f>INSTOCK!$I1296*INSTOCK!$K1296</f>
        <v>6999.999</v>
      </c>
      <c r="O1296" s="2" t="s">
        <v>1572</v>
      </c>
      <c r="P1296" s="2"/>
    </row>
    <row r="1297" ht="18.0" hidden="1" customHeight="1">
      <c r="A1297" s="1"/>
      <c r="B1297" s="3"/>
      <c r="C1297" s="4">
        <v>43530.0</v>
      </c>
      <c r="D1297" s="2" t="s">
        <v>1573</v>
      </c>
      <c r="E1297" s="2">
        <v>6.203000335E9</v>
      </c>
      <c r="F1297" s="3" t="s">
        <v>1507</v>
      </c>
      <c r="G1297" s="2" t="s">
        <v>146</v>
      </c>
      <c r="H1297" s="2" t="s">
        <v>1474</v>
      </c>
      <c r="I1297" s="3">
        <v>72.0</v>
      </c>
      <c r="J1297" s="3" t="s">
        <v>78</v>
      </c>
      <c r="K1297" s="5">
        <v>46.66666</v>
      </c>
      <c r="L1297" s="6"/>
      <c r="M1297" s="6" t="str">
        <f>IF(D1297&lt;&gt;"",VLOOKUP(H1297,TABLEITEM,3,FALSE),"")</f>
        <v>เหล็กกล่อง 2" หนา 1.2 มิล</v>
      </c>
      <c r="N1297" s="7">
        <f>INSTOCK!$I1297*INSTOCK!$K1297</f>
        <v>3359.99952</v>
      </c>
      <c r="O1297" s="2" t="s">
        <v>1574</v>
      </c>
      <c r="P1297" s="2"/>
    </row>
    <row r="1298" ht="18.0" hidden="1" customHeight="1">
      <c r="A1298" s="1"/>
      <c r="B1298" s="3"/>
      <c r="C1298" s="4">
        <v>43532.0</v>
      </c>
      <c r="D1298" s="2" t="s">
        <v>1575</v>
      </c>
      <c r="E1298" s="2">
        <v>6.202000306E9</v>
      </c>
      <c r="F1298" s="3" t="s">
        <v>161</v>
      </c>
      <c r="G1298" s="2" t="s">
        <v>171</v>
      </c>
      <c r="H1298" s="2" t="s">
        <v>16</v>
      </c>
      <c r="I1298" s="3">
        <v>600.0</v>
      </c>
      <c r="J1298" s="3"/>
      <c r="K1298" s="5">
        <v>542.106666</v>
      </c>
      <c r="L1298" s="6"/>
      <c r="M1298" s="6" t="str">
        <f>IF(D1298&lt;&gt;"",VLOOKUP(H1298,TABLEITEM,3,FALSE),"")</f>
        <v>เหล็กแผ่นขาว4'x8'T1.0</v>
      </c>
      <c r="N1298" s="7">
        <f>INSTOCK!$I1298*INSTOCK!$K1298</f>
        <v>325263.9996</v>
      </c>
      <c r="O1298" s="2" t="s">
        <v>1576</v>
      </c>
      <c r="P1298" s="2"/>
    </row>
    <row r="1299" ht="18.0" hidden="1" customHeight="1">
      <c r="A1299" s="1"/>
      <c r="B1299" s="3"/>
      <c r="C1299" s="4">
        <v>43532.0</v>
      </c>
      <c r="D1299" s="2" t="s">
        <v>1577</v>
      </c>
      <c r="E1299" s="2">
        <v>6.203000337E9</v>
      </c>
      <c r="F1299" s="3" t="s">
        <v>161</v>
      </c>
      <c r="G1299" s="2" t="s">
        <v>171</v>
      </c>
      <c r="H1299" s="2" t="s">
        <v>1578</v>
      </c>
      <c r="I1299" s="3">
        <v>30.0</v>
      </c>
      <c r="J1299" s="3"/>
      <c r="K1299" s="5">
        <v>328.5333</v>
      </c>
      <c r="L1299" s="6"/>
      <c r="M1299" s="6" t="str">
        <f>IF(D1299&lt;&gt;"",VLOOKUP(H1299,TABLEITEM,3,FALSE),"")</f>
        <v>เหล็กแผ่น ซิลิคอน 1200x2440 T 0.5MM</v>
      </c>
      <c r="N1299" s="7">
        <f>INSTOCK!$I1299*INSTOCK!$K1299</f>
        <v>9855.999</v>
      </c>
      <c r="O1299" s="2" t="s">
        <v>1579</v>
      </c>
      <c r="P1299" s="2"/>
    </row>
    <row r="1300" ht="18.0" hidden="1" customHeight="1">
      <c r="A1300" s="1"/>
      <c r="B1300" s="3"/>
      <c r="C1300" s="4">
        <v>43530.0</v>
      </c>
      <c r="D1300" s="2" t="s">
        <v>1580</v>
      </c>
      <c r="E1300" s="2">
        <v>6.203000335E9</v>
      </c>
      <c r="F1300" s="3" t="s">
        <v>161</v>
      </c>
      <c r="G1300" s="2" t="s">
        <v>146</v>
      </c>
      <c r="H1300" s="2" t="s">
        <v>1474</v>
      </c>
      <c r="I1300" s="3">
        <v>72.0</v>
      </c>
      <c r="J1300" s="3" t="s">
        <v>78</v>
      </c>
      <c r="K1300" s="5">
        <v>46.6666</v>
      </c>
      <c r="L1300" s="6"/>
      <c r="M1300" s="6" t="str">
        <f>IF(D1300&lt;&gt;"",VLOOKUP(H1300,TABLEITEM,3,FALSE),"")</f>
        <v>เหล็กกล่อง 2" หนา 1.2 มิล</v>
      </c>
      <c r="N1300" s="7">
        <f>INSTOCK!$I1300*INSTOCK!$K1300</f>
        <v>3359.9952</v>
      </c>
      <c r="O1300" s="2" t="s">
        <v>1574</v>
      </c>
      <c r="P1300" s="2"/>
    </row>
    <row r="1301" ht="18.0" hidden="1" customHeight="1">
      <c r="A1301" s="1"/>
      <c r="B1301" s="3"/>
      <c r="C1301" s="4">
        <v>43535.0</v>
      </c>
      <c r="D1301" s="2" t="s">
        <v>1581</v>
      </c>
      <c r="E1301" s="2">
        <v>6.203000356E9</v>
      </c>
      <c r="F1301" s="3" t="s">
        <v>161</v>
      </c>
      <c r="G1301" s="2" t="s">
        <v>171</v>
      </c>
      <c r="H1301" s="2" t="s">
        <v>1578</v>
      </c>
      <c r="I1301" s="3">
        <v>100.0</v>
      </c>
      <c r="J1301" s="3"/>
      <c r="K1301" s="5">
        <v>322.0</v>
      </c>
      <c r="L1301" s="6"/>
      <c r="M1301" s="6" t="str">
        <f>IF(D1301&lt;&gt;"",VLOOKUP(H1301,TABLEITEM,3,FALSE),"")</f>
        <v>เหล็กแผ่น ซิลิคอน 1200x2440 T 0.5MM</v>
      </c>
      <c r="N1301" s="7">
        <f>INSTOCK!$I1301*INSTOCK!$K1301</f>
        <v>32200</v>
      </c>
      <c r="O1301" s="2" t="s">
        <v>1582</v>
      </c>
      <c r="P1301" s="2"/>
    </row>
    <row r="1302" ht="18.0" hidden="1" customHeight="1">
      <c r="A1302" s="1"/>
      <c r="B1302" s="3"/>
      <c r="C1302" s="4">
        <v>43533.0</v>
      </c>
      <c r="D1302" s="2" t="s">
        <v>1583</v>
      </c>
      <c r="E1302" s="2">
        <v>6.2020003E9</v>
      </c>
      <c r="F1302" s="3" t="s">
        <v>161</v>
      </c>
      <c r="G1302" s="2" t="s">
        <v>171</v>
      </c>
      <c r="H1302" s="2" t="s">
        <v>46</v>
      </c>
      <c r="I1302" s="3">
        <v>50.0</v>
      </c>
      <c r="J1302" s="3"/>
      <c r="K1302" s="5">
        <v>2345.0</v>
      </c>
      <c r="L1302" s="6"/>
      <c r="M1302" s="6" t="str">
        <f>IF(D1302&lt;&gt;"",VLOOKUP(H1302,TABLEITEM,3,FALSE),"")</f>
        <v>เหล็กแผ่นEG4'x8'T3.0</v>
      </c>
      <c r="N1302" s="7">
        <f>INSTOCK!$I1302*INSTOCK!$K1302</f>
        <v>117250</v>
      </c>
      <c r="O1302" s="2" t="s">
        <v>1584</v>
      </c>
      <c r="P1302" s="2"/>
    </row>
    <row r="1303" ht="18.0" hidden="1" customHeight="1">
      <c r="A1303" s="1"/>
      <c r="B1303" s="3"/>
      <c r="C1303" s="4">
        <v>43533.0</v>
      </c>
      <c r="D1303" s="2" t="s">
        <v>1583</v>
      </c>
      <c r="E1303" s="2">
        <v>6.2020003E9</v>
      </c>
      <c r="F1303" s="3" t="s">
        <v>161</v>
      </c>
      <c r="G1303" s="2" t="s">
        <v>171</v>
      </c>
      <c r="H1303" s="2" t="s">
        <v>47</v>
      </c>
      <c r="I1303" s="3">
        <v>50.0</v>
      </c>
      <c r="J1303" s="3"/>
      <c r="K1303" s="5">
        <v>2881.0</v>
      </c>
      <c r="L1303" s="6"/>
      <c r="M1303" s="6" t="str">
        <f>IF(D1303&lt;&gt;"",VLOOKUP(H1303,TABLEITEM,3,FALSE),"")</f>
        <v>เหล็กแผ่นEG4'x3000T3.0</v>
      </c>
      <c r="N1303" s="7">
        <f>INSTOCK!$I1303*INSTOCK!$K1303</f>
        <v>144050</v>
      </c>
      <c r="O1303" s="2" t="s">
        <v>1585</v>
      </c>
      <c r="P1303" s="2"/>
    </row>
    <row r="1304" ht="18.0" hidden="1" customHeight="1">
      <c r="A1304" s="1"/>
      <c r="B1304" s="3"/>
      <c r="C1304" s="4">
        <v>43535.0</v>
      </c>
      <c r="D1304" s="2" t="s">
        <v>1586</v>
      </c>
      <c r="E1304" s="2">
        <v>6.203000346E9</v>
      </c>
      <c r="F1304" s="3" t="s">
        <v>1507</v>
      </c>
      <c r="G1304" s="2" t="s">
        <v>146</v>
      </c>
      <c r="H1304" s="2" t="s">
        <v>1474</v>
      </c>
      <c r="I1304" s="3">
        <v>1500.0</v>
      </c>
      <c r="J1304" s="3" t="s">
        <v>78</v>
      </c>
      <c r="K1304" s="5">
        <v>44.83333</v>
      </c>
      <c r="L1304" s="6"/>
      <c r="M1304" s="6" t="str">
        <f>IF(D1304&lt;&gt;"",VLOOKUP(H1304,TABLEITEM,3,FALSE),"")</f>
        <v>เหล็กกล่อง 2" หนา 1.2 มิล</v>
      </c>
      <c r="N1304" s="7">
        <f>INSTOCK!$I1304*INSTOCK!$K1304</f>
        <v>67249.995</v>
      </c>
      <c r="O1304" s="2" t="s">
        <v>1587</v>
      </c>
      <c r="P1304" s="2"/>
    </row>
    <row r="1305" ht="18.0" hidden="1" customHeight="1">
      <c r="A1305" s="1"/>
      <c r="B1305" s="3"/>
      <c r="C1305" s="4">
        <v>43535.0</v>
      </c>
      <c r="D1305" s="2" t="s">
        <v>1588</v>
      </c>
      <c r="E1305" s="2">
        <v>6.203000346E9</v>
      </c>
      <c r="F1305" s="3" t="s">
        <v>1507</v>
      </c>
      <c r="G1305" s="2" t="s">
        <v>146</v>
      </c>
      <c r="H1305" s="2" t="s">
        <v>1474</v>
      </c>
      <c r="I1305" s="3">
        <v>1500.0</v>
      </c>
      <c r="J1305" s="3" t="s">
        <v>78</v>
      </c>
      <c r="K1305" s="5">
        <v>44.83333</v>
      </c>
      <c r="L1305" s="6"/>
      <c r="M1305" s="6" t="str">
        <f>IF(D1305&lt;&gt;"",VLOOKUP(H1305,TABLEITEM,3,FALSE),"")</f>
        <v>เหล็กกล่อง 2" หนา 1.2 มิล</v>
      </c>
      <c r="N1305" s="7">
        <f>INSTOCK!$I1305*INSTOCK!$K1305</f>
        <v>67249.995</v>
      </c>
      <c r="O1305" s="2" t="s">
        <v>1587</v>
      </c>
      <c r="P1305" s="2"/>
    </row>
    <row r="1306" ht="18.0" hidden="1" customHeight="1">
      <c r="A1306" s="1"/>
      <c r="B1306" s="3"/>
      <c r="C1306" s="4">
        <v>43519.0</v>
      </c>
      <c r="D1306" s="2" t="s">
        <v>1589</v>
      </c>
      <c r="E1306" s="2">
        <v>6.203000362E9</v>
      </c>
      <c r="F1306" s="3" t="s">
        <v>1590</v>
      </c>
      <c r="G1306" s="2" t="s">
        <v>733</v>
      </c>
      <c r="H1306" s="2" t="s">
        <v>1591</v>
      </c>
      <c r="I1306" s="3">
        <v>2.0</v>
      </c>
      <c r="J1306" s="3"/>
      <c r="K1306" s="5">
        <v>50.0</v>
      </c>
      <c r="L1306" s="6"/>
      <c r="M1306" s="6" t="str">
        <f>IF(D1306&lt;&gt;"",VLOOKUP(H1306,TABLEITEM,3,FALSE),"")</f>
        <v>กระจก 258x508 T 3.0 </v>
      </c>
      <c r="N1306" s="7">
        <f>INSTOCK!$I1306*INSTOCK!$K1306</f>
        <v>100</v>
      </c>
      <c r="O1306" s="2"/>
      <c r="P1306" s="2"/>
    </row>
    <row r="1307" ht="18.0" hidden="1" customHeight="1">
      <c r="A1307" s="1"/>
      <c r="B1307" s="3"/>
      <c r="C1307" s="4">
        <v>43526.0</v>
      </c>
      <c r="D1307" s="2" t="s">
        <v>1592</v>
      </c>
      <c r="E1307" s="2">
        <v>6.203000362E9</v>
      </c>
      <c r="F1307" s="3" t="s">
        <v>1593</v>
      </c>
      <c r="G1307" s="2" t="s">
        <v>733</v>
      </c>
      <c r="H1307" s="2" t="s">
        <v>1591</v>
      </c>
      <c r="I1307" s="3">
        <v>1.0</v>
      </c>
      <c r="J1307" s="3"/>
      <c r="K1307" s="5">
        <v>50.0</v>
      </c>
      <c r="L1307" s="6"/>
      <c r="M1307" s="6" t="str">
        <f>IF(D1307&lt;&gt;"",VLOOKUP(H1307,TABLEITEM,3,FALSE),"")</f>
        <v>กระจก 258x508 T 3.0 </v>
      </c>
      <c r="N1307" s="7">
        <f>INSTOCK!$I1307*INSTOCK!$K1307</f>
        <v>50</v>
      </c>
      <c r="O1307" s="2"/>
      <c r="P1307" s="2"/>
    </row>
    <row r="1308" ht="18.0" hidden="1" customHeight="1">
      <c r="A1308" s="1"/>
      <c r="B1308" s="3"/>
      <c r="C1308" s="4">
        <v>43503.0</v>
      </c>
      <c r="D1308" s="2" t="s">
        <v>1594</v>
      </c>
      <c r="E1308" s="2">
        <v>6.203000362E9</v>
      </c>
      <c r="F1308" s="3" t="s">
        <v>1595</v>
      </c>
      <c r="G1308" s="2" t="s">
        <v>733</v>
      </c>
      <c r="H1308" s="2" t="s">
        <v>768</v>
      </c>
      <c r="I1308" s="3">
        <v>3.0</v>
      </c>
      <c r="J1308" s="3"/>
      <c r="K1308" s="5">
        <v>38.0</v>
      </c>
      <c r="L1308" s="6"/>
      <c r="M1308" s="6" t="str">
        <f>IF(D1308&lt;&gt;"",VLOOKUP(H1308,TABLEITEM,3,FALSE),"")</f>
        <v>กระจก158x308T3.0</v>
      </c>
      <c r="N1308" s="7">
        <f>INSTOCK!$I1308*INSTOCK!$K1308</f>
        <v>114</v>
      </c>
      <c r="O1308" s="2"/>
      <c r="P1308" s="2"/>
    </row>
    <row r="1309" ht="18.0" hidden="1" customHeight="1">
      <c r="A1309" s="1"/>
      <c r="B1309" s="3"/>
      <c r="C1309" s="4">
        <v>43525.0</v>
      </c>
      <c r="D1309" s="2" t="s">
        <v>1596</v>
      </c>
      <c r="E1309" s="2">
        <v>6.203000362E9</v>
      </c>
      <c r="F1309" s="3" t="s">
        <v>1597</v>
      </c>
      <c r="G1309" s="2" t="s">
        <v>733</v>
      </c>
      <c r="H1309" s="2" t="s">
        <v>1598</v>
      </c>
      <c r="I1309" s="3">
        <v>1.0</v>
      </c>
      <c r="J1309" s="3"/>
      <c r="K1309" s="5">
        <v>25.0</v>
      </c>
      <c r="L1309" s="6"/>
      <c r="M1309" s="6" t="str">
        <f>IF(D1309&lt;&gt;"",VLOOKUP(H1309,TABLEITEM,3,FALSE),"")</f>
        <v>กระจก 273x293 T 3.0</v>
      </c>
      <c r="N1309" s="7">
        <f>INSTOCK!$I1309*INSTOCK!$K1309</f>
        <v>25</v>
      </c>
      <c r="O1309" s="2"/>
      <c r="P1309" s="2"/>
    </row>
    <row r="1310" ht="18.0" hidden="1" customHeight="1">
      <c r="A1310" s="1"/>
      <c r="B1310" s="3"/>
      <c r="C1310" s="4">
        <v>43560.0</v>
      </c>
      <c r="D1310" s="2" t="s">
        <v>1599</v>
      </c>
      <c r="E1310" s="2">
        <v>6.203000362E9</v>
      </c>
      <c r="F1310" s="3" t="s">
        <v>1600</v>
      </c>
      <c r="G1310" s="2" t="s">
        <v>733</v>
      </c>
      <c r="H1310" s="2" t="s">
        <v>1601</v>
      </c>
      <c r="I1310" s="3">
        <v>2.0</v>
      </c>
      <c r="J1310" s="3"/>
      <c r="K1310" s="5">
        <v>240.0</v>
      </c>
      <c r="L1310" s="6"/>
      <c r="M1310" s="6" t="str">
        <f>IF(D1310&lt;&gt;"",VLOOKUP(H1310,TABLEITEM,3,FALSE),"")</f>
        <v>กระจก 542x1012 T 5.0</v>
      </c>
      <c r="N1310" s="7">
        <f>INSTOCK!$I1310*INSTOCK!$K1310</f>
        <v>480</v>
      </c>
      <c r="O1310" s="2"/>
      <c r="P1310" s="2"/>
    </row>
    <row r="1311" ht="18.0" hidden="1" customHeight="1">
      <c r="A1311" s="1"/>
      <c r="B1311" s="3"/>
      <c r="C1311" s="4">
        <v>43530.0</v>
      </c>
      <c r="D1311" s="2" t="s">
        <v>1602</v>
      </c>
      <c r="E1311" s="2">
        <v>6.203000362E9</v>
      </c>
      <c r="F1311" s="3" t="s">
        <v>1603</v>
      </c>
      <c r="G1311" s="2" t="s">
        <v>733</v>
      </c>
      <c r="H1311" s="2" t="s">
        <v>932</v>
      </c>
      <c r="I1311" s="3">
        <v>1.0</v>
      </c>
      <c r="J1311" s="3"/>
      <c r="K1311" s="5">
        <v>150.0</v>
      </c>
      <c r="L1311" s="6"/>
      <c r="M1311" s="6" t="str">
        <f>IF(D1311&lt;&gt;"",VLOOKUP(H1311,TABLEITEM,3,FALSE),"")</f>
        <v>กระจก512x762T5.0</v>
      </c>
      <c r="N1311" s="7">
        <f>INSTOCK!$I1311*INSTOCK!$K1311</f>
        <v>150</v>
      </c>
      <c r="O1311" s="2"/>
      <c r="P1311" s="2"/>
    </row>
    <row r="1312" ht="18.0" hidden="1" customHeight="1">
      <c r="A1312" s="1"/>
      <c r="B1312" s="3"/>
      <c r="C1312" s="4">
        <v>43523.0</v>
      </c>
      <c r="D1312" s="2" t="s">
        <v>1604</v>
      </c>
      <c r="E1312" s="2">
        <v>6.203000362E9</v>
      </c>
      <c r="F1312" s="3" t="s">
        <v>1605</v>
      </c>
      <c r="G1312" s="2" t="s">
        <v>733</v>
      </c>
      <c r="H1312" s="2" t="s">
        <v>1606</v>
      </c>
      <c r="I1312" s="3">
        <v>1.0</v>
      </c>
      <c r="J1312" s="3"/>
      <c r="K1312" s="5">
        <v>90.0</v>
      </c>
      <c r="L1312" s="6"/>
      <c r="M1312" s="6" t="str">
        <f>IF(D1312&lt;&gt;"",VLOOKUP(H1312,TABLEITEM,3,FALSE),"")</f>
        <v>กระจก 412x512 T 5.0</v>
      </c>
      <c r="N1312" s="7">
        <f>INSTOCK!$I1312*INSTOCK!$K1312</f>
        <v>90</v>
      </c>
      <c r="O1312" s="2"/>
      <c r="P1312" s="2"/>
    </row>
    <row r="1313" ht="18.0" hidden="1" customHeight="1">
      <c r="A1313" s="1"/>
      <c r="B1313" s="3"/>
      <c r="C1313" s="4">
        <v>43528.0</v>
      </c>
      <c r="D1313" s="2" t="s">
        <v>1607</v>
      </c>
      <c r="E1313" s="2">
        <v>6.203000362E9</v>
      </c>
      <c r="F1313" s="3" t="s">
        <v>1608</v>
      </c>
      <c r="G1313" s="2" t="s">
        <v>733</v>
      </c>
      <c r="H1313" s="2" t="s">
        <v>1609</v>
      </c>
      <c r="I1313" s="3">
        <v>2.0</v>
      </c>
      <c r="J1313" s="3"/>
      <c r="K1313" s="5">
        <v>240.0</v>
      </c>
      <c r="L1313" s="6"/>
      <c r="M1313" s="6" t="str">
        <f>IF(D1313&lt;&gt;"",VLOOKUP(H1313,TABLEITEM,3,FALSE),"")</f>
        <v>กระจก 492x1152 T 5.0</v>
      </c>
      <c r="N1313" s="7">
        <f>INSTOCK!$I1313*INSTOCK!$K1313</f>
        <v>480</v>
      </c>
      <c r="O1313" s="2"/>
      <c r="P1313" s="2"/>
    </row>
    <row r="1314" ht="18.0" hidden="1" customHeight="1">
      <c r="A1314" s="1"/>
      <c r="B1314" s="3"/>
      <c r="C1314" s="4">
        <v>43538.0</v>
      </c>
      <c r="D1314" s="2" t="s">
        <v>1610</v>
      </c>
      <c r="E1314" s="2"/>
      <c r="F1314" s="3" t="s">
        <v>161</v>
      </c>
      <c r="G1314" s="2" t="s">
        <v>456</v>
      </c>
      <c r="H1314" s="2" t="s">
        <v>525</v>
      </c>
      <c r="I1314" s="3">
        <v>90.0</v>
      </c>
      <c r="J1314" s="3"/>
      <c r="K1314" s="5"/>
      <c r="L1314" s="6"/>
      <c r="M1314" s="6" t="str">
        <f>IF(D1314&lt;&gt;"",VLOOKUP(H1314,TABLEITEM,3,FALSE),"")</f>
        <v>เสาเชื่อม2275x40x50</v>
      </c>
      <c r="N1314" s="7">
        <f>INSTOCK!$I1314*INSTOCK!$K1314</f>
        <v>0</v>
      </c>
      <c r="O1314" s="2"/>
      <c r="P1314" s="2"/>
    </row>
    <row r="1315" ht="18.0" hidden="1" customHeight="1">
      <c r="A1315" s="1"/>
      <c r="B1315" s="3"/>
      <c r="C1315" s="4">
        <v>43535.0</v>
      </c>
      <c r="D1315" s="2" t="s">
        <v>1611</v>
      </c>
      <c r="E1315" s="2">
        <v>6.203000363E9</v>
      </c>
      <c r="F1315" s="3" t="s">
        <v>161</v>
      </c>
      <c r="G1315" s="2" t="s">
        <v>202</v>
      </c>
      <c r="H1315" s="2" t="s">
        <v>79</v>
      </c>
      <c r="I1315" s="3">
        <v>300.0</v>
      </c>
      <c r="J1315" s="3" t="s">
        <v>78</v>
      </c>
      <c r="K1315" s="5">
        <v>146.66666</v>
      </c>
      <c r="L1315" s="6"/>
      <c r="M1315" s="6" t="str">
        <f>IF(D1315&lt;&gt;"",VLOOKUP(H1315,TABLEITEM,3,FALSE),"")</f>
        <v>เหล็กรางน้ำ U' 3</v>
      </c>
      <c r="N1315" s="7">
        <f>INSTOCK!$I1315*INSTOCK!$K1315</f>
        <v>43999.998</v>
      </c>
      <c r="O1315" s="2"/>
      <c r="P1315" s="2"/>
    </row>
    <row r="1316" ht="18.0" hidden="1" customHeight="1">
      <c r="A1316" s="1"/>
      <c r="B1316" s="3"/>
      <c r="C1316" s="4">
        <v>43537.0</v>
      </c>
      <c r="D1316" s="2" t="s">
        <v>1612</v>
      </c>
      <c r="E1316" s="2">
        <v>6.203000364E9</v>
      </c>
      <c r="F1316" s="3" t="s">
        <v>1613</v>
      </c>
      <c r="G1316" s="2" t="s">
        <v>240</v>
      </c>
      <c r="H1316" s="2" t="s">
        <v>72</v>
      </c>
      <c r="I1316" s="3">
        <v>10.0</v>
      </c>
      <c r="J1316" s="3"/>
      <c r="K1316" s="5">
        <v>4900.0</v>
      </c>
      <c r="L1316" s="6"/>
      <c r="M1316" s="6" t="str">
        <f>IF(D1316&lt;&gt;"",VLOOKUP(H1316,TABLEITEM,3,FALSE),"")</f>
        <v>แผ่นอลูมิเนียม4'x8'T6.0</v>
      </c>
      <c r="N1316" s="7">
        <f>INSTOCK!$I1316*INSTOCK!$K1316</f>
        <v>49000</v>
      </c>
      <c r="O1316" s="2"/>
      <c r="P1316" s="2"/>
    </row>
    <row r="1317" ht="18.0" hidden="1" customHeight="1">
      <c r="A1317" s="1"/>
      <c r="B1317" s="3"/>
      <c r="C1317" s="4">
        <v>43536.0</v>
      </c>
      <c r="D1317" s="2" t="s">
        <v>1614</v>
      </c>
      <c r="E1317" s="2">
        <v>6.203000355E9</v>
      </c>
      <c r="F1317" s="3" t="s">
        <v>456</v>
      </c>
      <c r="G1317" s="2" t="s">
        <v>153</v>
      </c>
      <c r="H1317" s="2" t="s">
        <v>1561</v>
      </c>
      <c r="I1317" s="3">
        <v>1.0</v>
      </c>
      <c r="J1317" s="3" t="s">
        <v>1562</v>
      </c>
      <c r="K1317" s="5">
        <v>2620.0</v>
      </c>
      <c r="L1317" s="6"/>
      <c r="M1317" s="6" t="str">
        <f>IF(D1317&lt;&gt;"",VLOOKUP(H1317,TABLEITEM,3,FALSE),"")</f>
        <v>เหล็กตะแกรงไวร์เมช 20cmx20cmx5.6mmx2.0Mx25M</v>
      </c>
      <c r="N1317" s="7">
        <f>INSTOCK!$I1317*INSTOCK!$K1317</f>
        <v>2620</v>
      </c>
      <c r="O1317" s="2"/>
      <c r="P1317" s="2"/>
    </row>
    <row r="1318" ht="18.0" hidden="1" customHeight="1">
      <c r="A1318" s="1"/>
      <c r="B1318" s="3"/>
      <c r="C1318" s="4">
        <v>43540.0</v>
      </c>
      <c r="D1318" s="2" t="s">
        <v>1615</v>
      </c>
      <c r="E1318" s="2">
        <v>6.203000375E9</v>
      </c>
      <c r="F1318" s="3" t="s">
        <v>161</v>
      </c>
      <c r="G1318" s="2" t="s">
        <v>171</v>
      </c>
      <c r="H1318" s="2" t="s">
        <v>25</v>
      </c>
      <c r="I1318" s="3">
        <v>166.0</v>
      </c>
      <c r="J1318" s="3"/>
      <c r="K1318" s="5">
        <v>1729.40963</v>
      </c>
      <c r="L1318" s="6"/>
      <c r="M1318" s="6" t="str">
        <f>IF(D1318&lt;&gt;"",VLOOKUP(H1318,TABLEITEM,3,FALSE),"")</f>
        <v>เหล็กแผ่นขาว4'x8'T3.0</v>
      </c>
      <c r="N1318" s="7">
        <f>INSTOCK!$I1318*INSTOCK!$K1318</f>
        <v>287081.9986</v>
      </c>
      <c r="O1318" s="2" t="s">
        <v>1616</v>
      </c>
      <c r="P1318" s="2"/>
    </row>
    <row r="1319" ht="18.0" hidden="1" customHeight="1">
      <c r="A1319" s="1"/>
      <c r="B1319" s="3"/>
      <c r="C1319" s="4">
        <v>43540.0</v>
      </c>
      <c r="D1319" s="2" t="s">
        <v>1617</v>
      </c>
      <c r="E1319" s="2">
        <v>6.203000375E9</v>
      </c>
      <c r="F1319" s="3" t="s">
        <v>161</v>
      </c>
      <c r="G1319" s="2" t="s">
        <v>171</v>
      </c>
      <c r="H1319" s="2" t="s">
        <v>25</v>
      </c>
      <c r="I1319" s="3">
        <v>34.0</v>
      </c>
      <c r="J1319" s="3"/>
      <c r="K1319" s="5">
        <v>1726.34117</v>
      </c>
      <c r="L1319" s="6"/>
      <c r="M1319" s="6" t="str">
        <f>IF(D1319&lt;&gt;"",VLOOKUP(H1319,TABLEITEM,3,FALSE),"")</f>
        <v>เหล็กแผ่นขาว4'x8'T3.0</v>
      </c>
      <c r="N1319" s="7">
        <f>INSTOCK!$I1319*INSTOCK!$K1319</f>
        <v>58695.59978</v>
      </c>
      <c r="O1319" s="2" t="s">
        <v>1618</v>
      </c>
      <c r="P1319" s="2"/>
    </row>
    <row r="1320" ht="18.0" hidden="1" customHeight="1">
      <c r="A1320" s="1"/>
      <c r="B1320" s="3"/>
      <c r="C1320" s="4">
        <v>43540.0</v>
      </c>
      <c r="D1320" s="2" t="s">
        <v>1617</v>
      </c>
      <c r="E1320" s="2">
        <v>6.203000375E9</v>
      </c>
      <c r="F1320" s="3" t="s">
        <v>161</v>
      </c>
      <c r="G1320" s="2" t="s">
        <v>171</v>
      </c>
      <c r="H1320" s="2" t="s">
        <v>17</v>
      </c>
      <c r="I1320" s="3">
        <v>100.0</v>
      </c>
      <c r="J1320" s="3"/>
      <c r="K1320" s="5">
        <v>647.744</v>
      </c>
      <c r="L1320" s="6"/>
      <c r="M1320" s="6" t="str">
        <f>IF(D1320&lt;&gt;"",VLOOKUP(H1320,TABLEITEM,3,FALSE),"")</f>
        <v>เหล็กแผ่นขาว4'x8'T1.2</v>
      </c>
      <c r="N1320" s="7">
        <f>INSTOCK!$I1320*INSTOCK!$K1320</f>
        <v>64774.4</v>
      </c>
      <c r="O1320" s="2" t="s">
        <v>1619</v>
      </c>
      <c r="P1320" s="2"/>
    </row>
    <row r="1321" ht="18.0" hidden="1" customHeight="1">
      <c r="A1321" s="1"/>
      <c r="B1321" s="3"/>
      <c r="C1321" s="4">
        <v>43544.0</v>
      </c>
      <c r="D1321" s="2" t="s">
        <v>1620</v>
      </c>
      <c r="E1321" s="2"/>
      <c r="F1321" s="3" t="s">
        <v>161</v>
      </c>
      <c r="G1321" s="2" t="s">
        <v>456</v>
      </c>
      <c r="H1321" s="2" t="s">
        <v>1192</v>
      </c>
      <c r="I1321" s="3">
        <v>104.0</v>
      </c>
      <c r="J1321" s="3"/>
      <c r="K1321" s="5"/>
      <c r="L1321" s="6"/>
      <c r="M1321" s="6" t="str">
        <f>IF(D1321&lt;&gt;"",VLOOKUP(H1321,TABLEITEM,3,FALSE),"")</f>
        <v>คานเชื่อม700</v>
      </c>
      <c r="N1321" s="7">
        <f>INSTOCK!$I1321*INSTOCK!$K1321</f>
        <v>0</v>
      </c>
      <c r="O1321" s="2"/>
      <c r="P1321" s="2"/>
    </row>
    <row r="1322" ht="18.0" hidden="1" customHeight="1">
      <c r="A1322" s="1"/>
      <c r="B1322" s="3"/>
      <c r="C1322" s="4">
        <v>43545.0</v>
      </c>
      <c r="D1322" s="2" t="s">
        <v>1620</v>
      </c>
      <c r="E1322" s="2"/>
      <c r="F1322" s="3" t="s">
        <v>161</v>
      </c>
      <c r="G1322" s="2" t="s">
        <v>456</v>
      </c>
      <c r="H1322" s="2" t="s">
        <v>495</v>
      </c>
      <c r="I1322" s="3">
        <v>108.0</v>
      </c>
      <c r="J1322" s="3"/>
      <c r="K1322" s="5"/>
      <c r="L1322" s="6"/>
      <c r="M1322" s="6" t="str">
        <f>IF(D1322&lt;&gt;"",VLOOKUP(H1322,TABLEITEM,3,FALSE),"")</f>
        <v>คานเชื่อม800</v>
      </c>
      <c r="N1322" s="7">
        <f>INSTOCK!$I1322*INSTOCK!$K1322</f>
        <v>0</v>
      </c>
      <c r="O1322" s="2"/>
      <c r="P1322" s="2"/>
    </row>
    <row r="1323" ht="18.0" hidden="1" customHeight="1">
      <c r="A1323" s="1"/>
      <c r="B1323" s="3"/>
      <c r="C1323" s="4">
        <v>43540.0</v>
      </c>
      <c r="D1323" s="2" t="s">
        <v>1621</v>
      </c>
      <c r="E1323" s="2">
        <v>6.20300043E9</v>
      </c>
      <c r="F1323" s="3" t="s">
        <v>1622</v>
      </c>
      <c r="G1323" s="2" t="s">
        <v>733</v>
      </c>
      <c r="H1323" s="2" t="s">
        <v>829</v>
      </c>
      <c r="I1323" s="3">
        <v>1.0</v>
      </c>
      <c r="J1323" s="3"/>
      <c r="K1323" s="5">
        <v>75.0</v>
      </c>
      <c r="L1323" s="6"/>
      <c r="M1323" s="6" t="str">
        <f>IF(D1323&lt;&gt;"",VLOOKUP(H1323,TABLEITEM,3,FALSE),"")</f>
        <v>กระจก358x508T3.0</v>
      </c>
      <c r="N1323" s="7">
        <f>INSTOCK!$I1323*INSTOCK!$K1323</f>
        <v>75</v>
      </c>
      <c r="O1323" s="2"/>
      <c r="P1323" s="2"/>
    </row>
    <row r="1324" ht="18.0" hidden="1" customHeight="1">
      <c r="A1324" s="1"/>
      <c r="B1324" s="3"/>
      <c r="C1324" s="4">
        <v>43538.0</v>
      </c>
      <c r="D1324" s="2" t="s">
        <v>1623</v>
      </c>
      <c r="E1324" s="2">
        <v>6.20300043E9</v>
      </c>
      <c r="F1324" s="3" t="s">
        <v>1624</v>
      </c>
      <c r="G1324" s="2" t="s">
        <v>733</v>
      </c>
      <c r="H1324" s="2" t="s">
        <v>819</v>
      </c>
      <c r="I1324" s="3">
        <v>1.0</v>
      </c>
      <c r="J1324" s="3"/>
      <c r="K1324" s="5">
        <v>56.0</v>
      </c>
      <c r="L1324" s="6"/>
      <c r="M1324" s="6" t="str">
        <f>IF(D1324&lt;&gt;"",VLOOKUP(H1324,TABLEITEM,3,FALSE),"")</f>
        <v>กระจก308x308T3.0</v>
      </c>
      <c r="N1324" s="7">
        <f>INSTOCK!$I1324*INSTOCK!$K1324</f>
        <v>56</v>
      </c>
      <c r="O1324" s="2"/>
      <c r="P1324" s="2"/>
    </row>
    <row r="1325" ht="18.0" hidden="1" customHeight="1">
      <c r="A1325" s="1"/>
      <c r="B1325" s="3"/>
      <c r="C1325" s="4">
        <v>43539.0</v>
      </c>
      <c r="D1325" s="2" t="s">
        <v>1625</v>
      </c>
      <c r="E1325" s="2">
        <v>6.20300043E9</v>
      </c>
      <c r="F1325" s="3" t="s">
        <v>1626</v>
      </c>
      <c r="G1325" s="2" t="s">
        <v>733</v>
      </c>
      <c r="H1325" s="2" t="s">
        <v>1380</v>
      </c>
      <c r="I1325" s="3">
        <v>9.0</v>
      </c>
      <c r="J1325" s="3"/>
      <c r="K1325" s="5">
        <v>115.0</v>
      </c>
      <c r="L1325" s="6"/>
      <c r="M1325" s="6" t="str">
        <f>IF(D1325&lt;&gt;"",VLOOKUP(H1325,TABLEITEM,3,FALSE),"")</f>
        <v>กระจก 312x662 T 5.0</v>
      </c>
      <c r="N1325" s="7">
        <f>INSTOCK!$I1325*INSTOCK!$K1325</f>
        <v>1035</v>
      </c>
      <c r="O1325" s="2"/>
      <c r="P1325" s="2"/>
    </row>
    <row r="1326" ht="18.0" hidden="1" customHeight="1">
      <c r="A1326" s="1"/>
      <c r="B1326" s="3"/>
      <c r="C1326" s="4">
        <v>43536.0</v>
      </c>
      <c r="D1326" s="2" t="s">
        <v>1627</v>
      </c>
      <c r="E1326" s="2">
        <v>6.20300043E9</v>
      </c>
      <c r="F1326" s="3" t="s">
        <v>1628</v>
      </c>
      <c r="G1326" s="2" t="s">
        <v>733</v>
      </c>
      <c r="H1326" s="2" t="s">
        <v>1629</v>
      </c>
      <c r="I1326" s="3">
        <v>1.0</v>
      </c>
      <c r="J1326" s="3"/>
      <c r="K1326" s="5">
        <v>188.0</v>
      </c>
      <c r="L1326" s="6"/>
      <c r="M1326" s="6" t="str">
        <f>IF(D1326&lt;&gt;"",VLOOKUP(H1326,TABLEITEM,3,FALSE),"")</f>
        <v>กระจก 712x712 T 5.0</v>
      </c>
      <c r="N1326" s="7">
        <f>INSTOCK!$I1326*INSTOCK!$K1326</f>
        <v>188</v>
      </c>
      <c r="O1326" s="2"/>
      <c r="P1326" s="2"/>
    </row>
    <row r="1327" ht="18.0" hidden="1" customHeight="1">
      <c r="A1327" s="1"/>
      <c r="B1327" s="3"/>
      <c r="C1327" s="4">
        <v>43536.0</v>
      </c>
      <c r="D1327" s="2" t="s">
        <v>1627</v>
      </c>
      <c r="E1327" s="2">
        <v>6.20300043E9</v>
      </c>
      <c r="F1327" s="3" t="s">
        <v>1628</v>
      </c>
      <c r="G1327" s="2" t="s">
        <v>733</v>
      </c>
      <c r="H1327" s="2" t="s">
        <v>1630</v>
      </c>
      <c r="I1327" s="3">
        <v>1.0</v>
      </c>
      <c r="J1327" s="3"/>
      <c r="K1327" s="5">
        <v>68.0</v>
      </c>
      <c r="L1327" s="6"/>
      <c r="M1327" s="6" t="str">
        <f>IF(D1327&lt;&gt;"",VLOOKUP(H1327,TABLEITEM,3,FALSE),"")</f>
        <v>กระจก 312x412 T5.0</v>
      </c>
      <c r="N1327" s="7">
        <f>INSTOCK!$I1327*INSTOCK!$K1327</f>
        <v>68</v>
      </c>
      <c r="O1327" s="2"/>
      <c r="P1327" s="2"/>
    </row>
    <row r="1328" ht="18.0" hidden="1" customHeight="1">
      <c r="A1328" s="1"/>
      <c r="B1328" s="3"/>
      <c r="C1328" s="4">
        <v>43533.0</v>
      </c>
      <c r="D1328" s="2" t="s">
        <v>1631</v>
      </c>
      <c r="E1328" s="2">
        <v>6.20300043E9</v>
      </c>
      <c r="F1328" s="3" t="s">
        <v>1632</v>
      </c>
      <c r="G1328" s="2" t="s">
        <v>733</v>
      </c>
      <c r="H1328" s="2" t="s">
        <v>909</v>
      </c>
      <c r="I1328" s="3">
        <v>1.0</v>
      </c>
      <c r="J1328" s="3"/>
      <c r="K1328" s="5">
        <v>100.0</v>
      </c>
      <c r="L1328" s="6"/>
      <c r="M1328" s="6" t="str">
        <f>IF(D1328&lt;&gt;"",VLOOKUP(H1328,TABLEITEM,3,FALSE),"")</f>
        <v>กระจก412x612T5.0</v>
      </c>
      <c r="N1328" s="7">
        <f>INSTOCK!$I1328*INSTOCK!$K1328</f>
        <v>100</v>
      </c>
      <c r="O1328" s="2"/>
      <c r="P1328" s="2"/>
    </row>
    <row r="1329" ht="18.0" hidden="1" customHeight="1">
      <c r="A1329" s="1"/>
      <c r="B1329" s="3"/>
      <c r="C1329" s="4">
        <v>43509.0</v>
      </c>
      <c r="D1329" s="2" t="s">
        <v>1633</v>
      </c>
      <c r="E1329" s="2">
        <v>6.20300043E9</v>
      </c>
      <c r="F1329" s="3" t="s">
        <v>1634</v>
      </c>
      <c r="G1329" s="2" t="s">
        <v>733</v>
      </c>
      <c r="H1329" s="2" t="s">
        <v>1635</v>
      </c>
      <c r="I1329" s="3">
        <v>1.0</v>
      </c>
      <c r="J1329" s="3"/>
      <c r="K1329" s="5">
        <v>90.0</v>
      </c>
      <c r="L1329" s="6"/>
      <c r="M1329" s="6" t="str">
        <f>IF(D1329&lt;&gt;"",VLOOKUP(H1329,TABLEITEM,3,FALSE),"")</f>
        <v>กระจก 362x492 T 5.0</v>
      </c>
      <c r="N1329" s="7">
        <f>INSTOCK!$I1329*INSTOCK!$K1329</f>
        <v>90</v>
      </c>
      <c r="O1329" s="2"/>
      <c r="P1329" s="2"/>
    </row>
    <row r="1330" ht="18.0" hidden="1" customHeight="1">
      <c r="A1330" s="1"/>
      <c r="B1330" s="3"/>
      <c r="C1330" s="4">
        <v>43538.0</v>
      </c>
      <c r="D1330" s="2" t="s">
        <v>1636</v>
      </c>
      <c r="E1330" s="2">
        <v>6.20300043E9</v>
      </c>
      <c r="F1330" s="3" t="s">
        <v>1637</v>
      </c>
      <c r="G1330" s="2" t="s">
        <v>733</v>
      </c>
      <c r="H1330" s="2" t="s">
        <v>1638</v>
      </c>
      <c r="I1330" s="3">
        <v>1.0</v>
      </c>
      <c r="J1330" s="3"/>
      <c r="K1330" s="5">
        <v>90.0</v>
      </c>
      <c r="L1330" s="6"/>
      <c r="M1330" s="6" t="str">
        <f>IF(D1330&lt;&gt;"",VLOOKUP(H1330,TABLEITEM,3,FALSE),"")</f>
        <v>กระจก 382x512 T 5.0</v>
      </c>
      <c r="N1330" s="7">
        <f>INSTOCK!$I1330*INSTOCK!$K1330</f>
        <v>90</v>
      </c>
      <c r="O1330" s="2"/>
      <c r="P1330" s="2"/>
    </row>
    <row r="1331" ht="18.0" hidden="1" customHeight="1">
      <c r="A1331" s="1"/>
      <c r="B1331" s="3"/>
      <c r="C1331" s="4">
        <v>43545.0</v>
      </c>
      <c r="D1331" s="2" t="s">
        <v>1639</v>
      </c>
      <c r="E1331" s="2">
        <v>6.203000418E9</v>
      </c>
      <c r="F1331" s="3" t="s">
        <v>161</v>
      </c>
      <c r="G1331" s="2" t="s">
        <v>202</v>
      </c>
      <c r="H1331" s="2" t="s">
        <v>85</v>
      </c>
      <c r="I1331" s="3">
        <v>300.0</v>
      </c>
      <c r="J1331" s="3" t="s">
        <v>78</v>
      </c>
      <c r="K1331" s="5">
        <v>42.5</v>
      </c>
      <c r="L1331" s="6"/>
      <c r="M1331" s="6" t="str">
        <f>IF(D1331&lt;&gt;"",VLOOKUP(H1331,TABLEITEM,3,FALSE),"")</f>
        <v>เหล็กฉาก 1''1/2'หนา3 มิล</v>
      </c>
      <c r="N1331" s="7">
        <f>INSTOCK!$I1331*INSTOCK!$K1331</f>
        <v>12750</v>
      </c>
      <c r="O1331" s="2" t="s">
        <v>1559</v>
      </c>
      <c r="P1331" s="2"/>
    </row>
    <row r="1332" ht="18.0" hidden="1" customHeight="1">
      <c r="A1332" s="1"/>
      <c r="B1332" s="3"/>
      <c r="C1332" s="4">
        <v>43545.0</v>
      </c>
      <c r="D1332" s="2" t="s">
        <v>1640</v>
      </c>
      <c r="E1332" s="2">
        <v>6.203000424E9</v>
      </c>
      <c r="F1332" s="3" t="s">
        <v>161</v>
      </c>
      <c r="G1332" s="2" t="s">
        <v>240</v>
      </c>
      <c r="H1332" s="2" t="s">
        <v>1641</v>
      </c>
      <c r="I1332" s="3">
        <v>180.0</v>
      </c>
      <c r="J1332" s="3" t="s">
        <v>78</v>
      </c>
      <c r="K1332" s="5">
        <v>66.66666</v>
      </c>
      <c r="L1332" s="6"/>
      <c r="M1332" s="6" t="str">
        <f>IF(D1332&lt;&gt;"",VLOOKUP(H1332,TABLEITEM,3,FALSE),"")</f>
        <v>เหล็กกล่อง 2" หนา 1.9 มิล</v>
      </c>
      <c r="N1332" s="7">
        <f>INSTOCK!$I1332*INSTOCK!$K1332</f>
        <v>11999.9988</v>
      </c>
      <c r="O1332" s="2"/>
      <c r="P1332" s="2"/>
    </row>
    <row r="1333" ht="18.0" hidden="1" customHeight="1">
      <c r="A1333" s="1"/>
      <c r="B1333" s="3"/>
      <c r="C1333" s="4">
        <v>43547.0</v>
      </c>
      <c r="D1333" s="2" t="s">
        <v>1620</v>
      </c>
      <c r="E1333" s="2"/>
      <c r="F1333" s="3" t="s">
        <v>161</v>
      </c>
      <c r="G1333" s="2" t="s">
        <v>456</v>
      </c>
      <c r="H1333" s="2" t="s">
        <v>495</v>
      </c>
      <c r="I1333" s="3">
        <v>215.0</v>
      </c>
      <c r="J1333" s="3"/>
      <c r="K1333" s="5"/>
      <c r="L1333" s="6"/>
      <c r="M1333" s="6" t="str">
        <f>IF(D1333&lt;&gt;"",VLOOKUP(H1333,TABLEITEM,3,FALSE),"")</f>
        <v>คานเชื่อม800</v>
      </c>
      <c r="N1333" s="7">
        <f>INSTOCK!$I1333*INSTOCK!$K1333</f>
        <v>0</v>
      </c>
      <c r="O1333" s="2"/>
      <c r="P1333" s="2"/>
    </row>
    <row r="1334" ht="18.0" hidden="1" customHeight="1">
      <c r="A1334" s="1"/>
      <c r="B1334" s="3"/>
      <c r="C1334" s="4">
        <v>43547.0</v>
      </c>
      <c r="D1334" s="2" t="s">
        <v>1642</v>
      </c>
      <c r="E1334" s="2"/>
      <c r="F1334" s="3" t="s">
        <v>161</v>
      </c>
      <c r="G1334" s="2" t="s">
        <v>456</v>
      </c>
      <c r="H1334" s="2" t="s">
        <v>523</v>
      </c>
      <c r="I1334" s="3">
        <v>200.0</v>
      </c>
      <c r="J1334" s="3"/>
      <c r="K1334" s="5"/>
      <c r="L1334" s="6"/>
      <c r="M1334" s="6" t="str">
        <f>IF(D1334&lt;&gt;"",VLOOKUP(H1334,TABLEITEM,3,FALSE),"")</f>
        <v>คานเชื่อม1000</v>
      </c>
      <c r="N1334" s="7">
        <f>INSTOCK!$I1334*INSTOCK!$K1334</f>
        <v>0</v>
      </c>
      <c r="O1334" s="2"/>
      <c r="P1334" s="2"/>
    </row>
    <row r="1335" ht="18.0" hidden="1" customHeight="1">
      <c r="A1335" s="1"/>
      <c r="B1335" s="3"/>
      <c r="C1335" s="4">
        <v>43549.0</v>
      </c>
      <c r="D1335" s="2" t="s">
        <v>1643</v>
      </c>
      <c r="E1335" s="2"/>
      <c r="F1335" s="3" t="s">
        <v>161</v>
      </c>
      <c r="G1335" s="2" t="s">
        <v>456</v>
      </c>
      <c r="H1335" s="2" t="s">
        <v>493</v>
      </c>
      <c r="I1335" s="3">
        <v>180.0</v>
      </c>
      <c r="J1335" s="3"/>
      <c r="K1335" s="5"/>
      <c r="L1335" s="6"/>
      <c r="M1335" s="6" t="str">
        <f>IF(D1335&lt;&gt;"",VLOOKUP(H1335,TABLEITEM,3,FALSE),"")</f>
        <v>เสาเชื่อม2125x40x50</v>
      </c>
      <c r="N1335" s="7">
        <f>INSTOCK!$I1335*INSTOCK!$K1335</f>
        <v>0</v>
      </c>
      <c r="O1335" s="2"/>
      <c r="P1335" s="2"/>
    </row>
    <row r="1336" ht="18.0" hidden="1" customHeight="1">
      <c r="A1336" s="1"/>
      <c r="B1336" s="3"/>
      <c r="C1336" s="4">
        <v>43549.0</v>
      </c>
      <c r="D1336" s="2" t="s">
        <v>1644</v>
      </c>
      <c r="E1336" s="2"/>
      <c r="F1336" s="3" t="s">
        <v>161</v>
      </c>
      <c r="G1336" s="2" t="s">
        <v>456</v>
      </c>
      <c r="H1336" s="2" t="s">
        <v>513</v>
      </c>
      <c r="I1336" s="3">
        <v>180.0</v>
      </c>
      <c r="J1336" s="3"/>
      <c r="K1336" s="5"/>
      <c r="L1336" s="6"/>
      <c r="M1336" s="6" t="str">
        <f>IF(D1336&lt;&gt;"",VLOOKUP(H1336,TABLEITEM,3,FALSE),"")</f>
        <v>เสาเชื่อม1925x40x50</v>
      </c>
      <c r="N1336" s="7">
        <f>INSTOCK!$I1336*INSTOCK!$K1336</f>
        <v>0</v>
      </c>
      <c r="O1336" s="2"/>
      <c r="P1336" s="2"/>
    </row>
    <row r="1337" ht="18.0" hidden="1" customHeight="1">
      <c r="A1337" s="1"/>
      <c r="B1337" s="3"/>
      <c r="C1337" s="4">
        <v>43550.0</v>
      </c>
      <c r="D1337" s="2">
        <v>6.2030201E7</v>
      </c>
      <c r="E1337" s="2"/>
      <c r="F1337" s="3" t="s">
        <v>1374</v>
      </c>
      <c r="G1337" s="2" t="s">
        <v>1645</v>
      </c>
      <c r="H1337" s="2" t="s">
        <v>105</v>
      </c>
      <c r="I1337" s="3">
        <v>40.0</v>
      </c>
      <c r="J1337" s="3" t="s">
        <v>78</v>
      </c>
      <c r="K1337" s="5">
        <v>10.0</v>
      </c>
      <c r="L1337" s="6"/>
      <c r="M1337" s="6" t="str">
        <f>IF(D1337&lt;&gt;"",VLOOKUP(H1337,TABLEITEM,3,FALSE),"")</f>
        <v>เหล็กเพลากลม 5มิล</v>
      </c>
      <c r="N1337" s="7">
        <f>INSTOCK!$I1337*INSTOCK!$K1337</f>
        <v>400</v>
      </c>
      <c r="O1337" s="2"/>
      <c r="P1337" s="2"/>
    </row>
    <row r="1338" ht="18.0" hidden="1" customHeight="1">
      <c r="A1338" s="1"/>
      <c r="B1338" s="3"/>
      <c r="C1338" s="4">
        <v>43552.0</v>
      </c>
      <c r="D1338" s="2" t="s">
        <v>1646</v>
      </c>
      <c r="E1338" s="2">
        <v>6.203000463E9</v>
      </c>
      <c r="F1338" s="3" t="s">
        <v>1647</v>
      </c>
      <c r="G1338" s="2" t="s">
        <v>153</v>
      </c>
      <c r="H1338" s="2" t="s">
        <v>1648</v>
      </c>
      <c r="I1338" s="3">
        <v>60.0</v>
      </c>
      <c r="J1338" s="3" t="s">
        <v>78</v>
      </c>
      <c r="K1338" s="5">
        <v>80.0</v>
      </c>
      <c r="L1338" s="6"/>
      <c r="M1338" s="6" t="str">
        <f>IF(D1338&lt;&gt;"",VLOOKUP(H1338,TABLEITEM,3,FALSE),"")</f>
        <v>เหล็กกล่อง 1.1/2"x1.1/2" T 3.2mm</v>
      </c>
      <c r="N1338" s="7">
        <f>INSTOCK!$I1338*INSTOCK!$K1338</f>
        <v>4800</v>
      </c>
      <c r="O1338" s="2"/>
      <c r="P1338" s="2"/>
    </row>
    <row r="1339" ht="18.0" hidden="1" customHeight="1">
      <c r="A1339" s="1"/>
      <c r="B1339" s="3"/>
      <c r="C1339" s="4">
        <v>43549.0</v>
      </c>
      <c r="D1339" s="2" t="s">
        <v>1649</v>
      </c>
      <c r="E1339" s="2">
        <v>6.202000306E9</v>
      </c>
      <c r="F1339" s="3" t="s">
        <v>161</v>
      </c>
      <c r="G1339" s="2" t="s">
        <v>171</v>
      </c>
      <c r="H1339" s="2" t="s">
        <v>16</v>
      </c>
      <c r="I1339" s="3">
        <v>600.0</v>
      </c>
      <c r="J1339" s="3"/>
      <c r="K1339" s="5">
        <v>541.72</v>
      </c>
      <c r="L1339" s="6"/>
      <c r="M1339" s="6" t="str">
        <f>IF(D1339&lt;&gt;"",VLOOKUP(H1339,TABLEITEM,3,FALSE),"")</f>
        <v>เหล็กแผ่นขาว4'x8'T1.0</v>
      </c>
      <c r="N1339" s="7">
        <f>INSTOCK!$I1339*INSTOCK!$K1339</f>
        <v>325032</v>
      </c>
      <c r="O1339" s="2"/>
      <c r="P1339" s="2"/>
    </row>
    <row r="1340" ht="18.0" hidden="1" customHeight="1">
      <c r="A1340" s="1"/>
      <c r="B1340" s="3"/>
      <c r="C1340" s="4">
        <v>43547.0</v>
      </c>
      <c r="D1340" s="2" t="s">
        <v>1650</v>
      </c>
      <c r="E1340" s="2">
        <v>6.203000431E9</v>
      </c>
      <c r="F1340" s="3" t="s">
        <v>1651</v>
      </c>
      <c r="G1340" s="2" t="s">
        <v>153</v>
      </c>
      <c r="H1340" s="2" t="s">
        <v>1652</v>
      </c>
      <c r="I1340" s="3">
        <v>30.0</v>
      </c>
      <c r="J1340" s="3" t="s">
        <v>78</v>
      </c>
      <c r="K1340" s="5">
        <v>105.83333</v>
      </c>
      <c r="L1340" s="6"/>
      <c r="M1340" s="6" t="str">
        <f>IF(D1340&lt;&gt;"",VLOOKUP(H1340,TABLEITEM,3,FALSE),"")</f>
        <v>เหล็กกล่อง2''หนา3.2มิล</v>
      </c>
      <c r="N1340" s="7">
        <f>INSTOCK!$I1340*INSTOCK!$K1340</f>
        <v>3174.9999</v>
      </c>
      <c r="O1340" s="2" t="s">
        <v>1653</v>
      </c>
      <c r="P1340" s="2"/>
    </row>
    <row r="1341" ht="18.0" hidden="1" customHeight="1">
      <c r="A1341" s="1"/>
      <c r="B1341" s="3"/>
      <c r="C1341" s="4">
        <v>43547.0</v>
      </c>
      <c r="D1341" s="2" t="s">
        <v>1650</v>
      </c>
      <c r="E1341" s="2">
        <v>6.203000431E9</v>
      </c>
      <c r="F1341" s="3" t="s">
        <v>1651</v>
      </c>
      <c r="G1341" s="2" t="s">
        <v>153</v>
      </c>
      <c r="H1341" s="2" t="s">
        <v>1648</v>
      </c>
      <c r="I1341" s="3">
        <v>240.0</v>
      </c>
      <c r="J1341" s="3" t="s">
        <v>78</v>
      </c>
      <c r="K1341" s="5">
        <v>78.33333</v>
      </c>
      <c r="L1341" s="6"/>
      <c r="M1341" s="6" t="str">
        <f>IF(D1341&lt;&gt;"",VLOOKUP(H1341,TABLEITEM,3,FALSE),"")</f>
        <v>เหล็กกล่อง 1.1/2"x1.1/2" T 3.2mm</v>
      </c>
      <c r="N1341" s="7">
        <f>INSTOCK!$I1341*INSTOCK!$K1341</f>
        <v>18799.9992</v>
      </c>
      <c r="O1341" s="2" t="s">
        <v>1654</v>
      </c>
      <c r="P1341" s="2"/>
    </row>
    <row r="1342" ht="18.0" hidden="1" customHeight="1">
      <c r="A1342" s="1"/>
      <c r="B1342" s="3"/>
      <c r="C1342" s="4">
        <v>43547.0</v>
      </c>
      <c r="D1342" s="2" t="s">
        <v>1650</v>
      </c>
      <c r="E1342" s="2">
        <v>6.203000431E9</v>
      </c>
      <c r="F1342" s="3" t="s">
        <v>1651</v>
      </c>
      <c r="G1342" s="2" t="s">
        <v>153</v>
      </c>
      <c r="H1342" s="2" t="s">
        <v>1655</v>
      </c>
      <c r="I1342" s="3">
        <v>60.0</v>
      </c>
      <c r="J1342" s="3" t="s">
        <v>78</v>
      </c>
      <c r="K1342" s="5">
        <v>134.16666</v>
      </c>
      <c r="L1342" s="6"/>
      <c r="M1342" s="6" t="str">
        <f>IF(D1342&lt;&gt;"",VLOOKUP(H1342,TABLEITEM,3,FALSE),"")</f>
        <v>เหล็กกล่อง 75x45 T 3.2mm</v>
      </c>
      <c r="N1342" s="7">
        <f>INSTOCK!$I1342*INSTOCK!$K1342</f>
        <v>8049.9996</v>
      </c>
      <c r="O1342" s="2" t="s">
        <v>1656</v>
      </c>
      <c r="P1342" s="2"/>
    </row>
    <row r="1343" ht="18.0" hidden="1" customHeight="1">
      <c r="A1343" s="1"/>
      <c r="B1343" s="3"/>
      <c r="C1343" s="4">
        <v>43547.0</v>
      </c>
      <c r="D1343" s="2" t="s">
        <v>1650</v>
      </c>
      <c r="E1343" s="2">
        <v>6.203000431E9</v>
      </c>
      <c r="F1343" s="3" t="s">
        <v>1651</v>
      </c>
      <c r="G1343" s="2" t="s">
        <v>153</v>
      </c>
      <c r="H1343" s="2" t="s">
        <v>1657</v>
      </c>
      <c r="I1343" s="3">
        <v>24.0</v>
      </c>
      <c r="J1343" s="3" t="s">
        <v>78</v>
      </c>
      <c r="K1343" s="5">
        <v>168.33333</v>
      </c>
      <c r="L1343" s="6"/>
      <c r="M1343" s="6" t="str">
        <f>IF(D1343&lt;&gt;"",VLOOKUP(H1343,TABLEITEM,3,FALSE),"")</f>
        <v>เหล็กกล่อง 3"x3" T 3.2mm</v>
      </c>
      <c r="N1343" s="7">
        <f>INSTOCK!$I1343*INSTOCK!$K1343</f>
        <v>4039.99992</v>
      </c>
      <c r="O1343" s="2" t="s">
        <v>1658</v>
      </c>
      <c r="P1343" s="2"/>
    </row>
    <row r="1344" ht="18.0" hidden="1" customHeight="1">
      <c r="A1344" s="1"/>
      <c r="B1344" s="3"/>
      <c r="C1344" s="4">
        <v>43549.0</v>
      </c>
      <c r="D1344" s="2" t="s">
        <v>1659</v>
      </c>
      <c r="E1344" s="2">
        <v>6.203000425E9</v>
      </c>
      <c r="F1344" s="3" t="s">
        <v>1660</v>
      </c>
      <c r="G1344" s="2" t="s">
        <v>146</v>
      </c>
      <c r="H1344" s="2" t="s">
        <v>1474</v>
      </c>
      <c r="I1344" s="3">
        <v>2400.0</v>
      </c>
      <c r="J1344" s="3" t="s">
        <v>78</v>
      </c>
      <c r="K1344" s="5">
        <v>44.83333</v>
      </c>
      <c r="L1344" s="6"/>
      <c r="M1344" s="6" t="str">
        <f>IF(D1344&lt;&gt;"",VLOOKUP(H1344,TABLEITEM,3,FALSE),"")</f>
        <v>เหล็กกล่อง 2" หนา 1.2 มิล</v>
      </c>
      <c r="N1344" s="7">
        <f>INSTOCK!$I1344*INSTOCK!$K1344</f>
        <v>107599.992</v>
      </c>
      <c r="O1344" s="2"/>
      <c r="P1344" s="2"/>
    </row>
    <row r="1345" ht="18.0" hidden="1" customHeight="1">
      <c r="A1345" s="1"/>
      <c r="B1345" s="3"/>
      <c r="C1345" s="4">
        <v>43553.0</v>
      </c>
      <c r="D1345" s="2" t="s">
        <v>1661</v>
      </c>
      <c r="E1345" s="2">
        <v>6.203000477E9</v>
      </c>
      <c r="F1345" s="3" t="s">
        <v>1662</v>
      </c>
      <c r="G1345" s="2" t="s">
        <v>165</v>
      </c>
      <c r="H1345" s="2" t="s">
        <v>1433</v>
      </c>
      <c r="I1345" s="3">
        <v>1.0</v>
      </c>
      <c r="J1345" s="3"/>
      <c r="K1345" s="5">
        <v>1700.0</v>
      </c>
      <c r="L1345" s="6"/>
      <c r="M1345" s="6" t="str">
        <f>IF(D1345&lt;&gt;"",VLOOKUP(H1345,TABLEITEM,3,FALSE),"")</f>
        <v>พลาสติกสีแดง M102 4'x8' T2.0mm</v>
      </c>
      <c r="N1345" s="7">
        <f>INSTOCK!$I1345*INSTOCK!$K1345</f>
        <v>1700</v>
      </c>
      <c r="O1345" s="2" t="s">
        <v>1663</v>
      </c>
      <c r="P1345" s="2"/>
    </row>
    <row r="1346" ht="18.0" hidden="1" customHeight="1">
      <c r="A1346" s="1"/>
      <c r="B1346" s="3"/>
      <c r="C1346" s="4">
        <v>43553.0</v>
      </c>
      <c r="D1346" s="2" t="s">
        <v>1664</v>
      </c>
      <c r="E1346" s="2"/>
      <c r="F1346" s="3"/>
      <c r="G1346" s="2" t="s">
        <v>1665</v>
      </c>
      <c r="H1346" s="2" t="s">
        <v>1666</v>
      </c>
      <c r="I1346" s="3">
        <v>1.0</v>
      </c>
      <c r="J1346" s="3" t="s">
        <v>1562</v>
      </c>
      <c r="K1346" s="5">
        <v>900.0</v>
      </c>
      <c r="L1346" s="6"/>
      <c r="M1346" s="6" t="str">
        <f>IF(D1346&lt;&gt;"",VLOOKUP(H1346,TABLEITEM,3,FALSE),"")</f>
        <v>สันตะแกรงเหล็ก ขนาด 60ซมx690ซม หนา 0.6</v>
      </c>
      <c r="N1346" s="7">
        <f>INSTOCK!$I1346*INSTOCK!$K1346</f>
        <v>900</v>
      </c>
      <c r="O1346" s="2"/>
      <c r="P1346" s="2"/>
    </row>
    <row r="1347" ht="18.0" hidden="1" customHeight="1">
      <c r="A1347" s="1"/>
      <c r="B1347" s="3"/>
      <c r="C1347" s="4">
        <v>43554.0</v>
      </c>
      <c r="D1347" s="2" t="s">
        <v>1667</v>
      </c>
      <c r="E1347" s="2">
        <v>6.203000492E9</v>
      </c>
      <c r="F1347" s="3" t="s">
        <v>161</v>
      </c>
      <c r="G1347" s="2" t="s">
        <v>171</v>
      </c>
      <c r="H1347" s="2" t="s">
        <v>1578</v>
      </c>
      <c r="I1347" s="3">
        <v>50.0</v>
      </c>
      <c r="J1347" s="3"/>
      <c r="K1347" s="5">
        <v>327.04</v>
      </c>
      <c r="L1347" s="6"/>
      <c r="M1347" s="6" t="str">
        <f>IF(D1347&lt;&gt;"",VLOOKUP(H1347,TABLEITEM,3,FALSE),"")</f>
        <v>เหล็กแผ่น ซิลิคอน 1200x2440 T 0.5MM</v>
      </c>
      <c r="N1347" s="7">
        <f>INSTOCK!$I1347*INSTOCK!$K1347</f>
        <v>16352</v>
      </c>
      <c r="O1347" s="2" t="s">
        <v>1668</v>
      </c>
      <c r="P1347" s="2"/>
    </row>
    <row r="1348" ht="18.0" hidden="1" customHeight="1">
      <c r="A1348" s="1"/>
      <c r="B1348" s="3"/>
      <c r="C1348" s="4">
        <v>43558.0</v>
      </c>
      <c r="D1348" s="2" t="s">
        <v>1669</v>
      </c>
      <c r="E1348" s="2">
        <v>6.203000475E9</v>
      </c>
      <c r="F1348" s="3" t="s">
        <v>161</v>
      </c>
      <c r="G1348" s="2" t="s">
        <v>171</v>
      </c>
      <c r="H1348" s="2" t="s">
        <v>21</v>
      </c>
      <c r="I1348" s="3">
        <v>200.0</v>
      </c>
      <c r="J1348" s="3"/>
      <c r="K1348" s="5">
        <v>1090.908</v>
      </c>
      <c r="L1348" s="6"/>
      <c r="M1348" s="6" t="str">
        <f>IF(D1348&lt;&gt;"",VLOOKUP(H1348,TABLEITEM,3,FALSE),"")</f>
        <v>เหล็กแผ่นขาว4'x8'T2.0</v>
      </c>
      <c r="N1348" s="7">
        <f>INSTOCK!$I1348*INSTOCK!$K1348</f>
        <v>218181.6</v>
      </c>
      <c r="O1348" s="2" t="s">
        <v>1670</v>
      </c>
      <c r="P1348" s="2"/>
    </row>
    <row r="1349" ht="18.0" hidden="1" customHeight="1">
      <c r="A1349" s="1"/>
      <c r="B1349" s="3"/>
      <c r="C1349" s="4">
        <v>43556.0</v>
      </c>
      <c r="D1349" s="2" t="s">
        <v>1671</v>
      </c>
      <c r="E1349" s="2">
        <v>6.203000475E9</v>
      </c>
      <c r="F1349" s="3" t="s">
        <v>161</v>
      </c>
      <c r="G1349" s="2" t="s">
        <v>171</v>
      </c>
      <c r="H1349" s="2" t="s">
        <v>40</v>
      </c>
      <c r="I1349" s="3">
        <v>100.0</v>
      </c>
      <c r="J1349" s="3"/>
      <c r="K1349" s="5">
        <v>1006.5</v>
      </c>
      <c r="L1349" s="6"/>
      <c r="M1349" s="6" t="str">
        <f>IF(D1349&lt;&gt;"",VLOOKUP(H1349,TABLEITEM,3,FALSE),"")</f>
        <v>เหล็กแผ่นEG4'x8'T1.6</v>
      </c>
      <c r="N1349" s="7">
        <f>INSTOCK!$I1349*INSTOCK!$K1349</f>
        <v>100650</v>
      </c>
      <c r="O1349" s="2" t="s">
        <v>1672</v>
      </c>
      <c r="P1349" s="2"/>
    </row>
    <row r="1350" ht="18.0" hidden="1" customHeight="1">
      <c r="A1350" s="1"/>
      <c r="B1350" s="3"/>
      <c r="C1350" s="4">
        <v>43554.0</v>
      </c>
      <c r="D1350" s="2">
        <v>6.2030243E7</v>
      </c>
      <c r="E1350" s="2"/>
      <c r="F1350" s="3" t="s">
        <v>1647</v>
      </c>
      <c r="G1350" s="2" t="s">
        <v>1645</v>
      </c>
      <c r="H1350" s="2" t="s">
        <v>1652</v>
      </c>
      <c r="I1350" s="3">
        <v>6.0</v>
      </c>
      <c r="J1350" s="3"/>
      <c r="K1350" s="5">
        <v>118.333333</v>
      </c>
      <c r="L1350" s="6"/>
      <c r="M1350" s="6" t="str">
        <f>IF(D1350&lt;&gt;"",VLOOKUP(H1350,TABLEITEM,3,FALSE),"")</f>
        <v>เหล็กกล่อง2''หนา3.2มิล</v>
      </c>
      <c r="N1350" s="7">
        <f>INSTOCK!$I1350*INSTOCK!$K1350</f>
        <v>709.999998</v>
      </c>
      <c r="O1350" s="2" t="s">
        <v>1673</v>
      </c>
      <c r="P1350" s="2"/>
    </row>
    <row r="1351" ht="18.0" hidden="1" customHeight="1">
      <c r="A1351" s="1"/>
      <c r="B1351" s="3"/>
      <c r="C1351" s="4">
        <v>43556.0</v>
      </c>
      <c r="D1351" s="2" t="s">
        <v>1674</v>
      </c>
      <c r="E1351" s="2">
        <v>6.203000469E9</v>
      </c>
      <c r="F1351" s="3" t="s">
        <v>161</v>
      </c>
      <c r="G1351" s="2" t="s">
        <v>162</v>
      </c>
      <c r="H1351" s="2" t="s">
        <v>73</v>
      </c>
      <c r="I1351" s="3">
        <v>10.0</v>
      </c>
      <c r="J1351" s="3"/>
      <c r="K1351" s="5">
        <v>1400.0</v>
      </c>
      <c r="L1351" s="6"/>
      <c r="M1351" s="6" t="str">
        <f>IF(D1351&lt;&gt;"",VLOOKUP(H1351,TABLEITEM,3,FALSE),"")</f>
        <v>แผ่นPVC ใส4'x8'T2.0</v>
      </c>
      <c r="N1351" s="7">
        <f>INSTOCK!$I1351*INSTOCK!$K1351</f>
        <v>14000</v>
      </c>
      <c r="O1351" s="2"/>
      <c r="P1351" s="2"/>
    </row>
    <row r="1352" ht="18.0" hidden="1" customHeight="1">
      <c r="A1352" s="1"/>
      <c r="B1352" s="3"/>
      <c r="C1352" s="4">
        <v>43559.0</v>
      </c>
      <c r="D1352" s="2" t="s">
        <v>1675</v>
      </c>
      <c r="E1352" s="2">
        <v>6.204000511E9</v>
      </c>
      <c r="F1352" s="3" t="s">
        <v>1676</v>
      </c>
      <c r="G1352" s="2" t="s">
        <v>153</v>
      </c>
      <c r="H1352" s="2" t="s">
        <v>1677</v>
      </c>
      <c r="I1352" s="3">
        <v>36.0</v>
      </c>
      <c r="J1352" s="3" t="s">
        <v>78</v>
      </c>
      <c r="K1352" s="5">
        <v>80.0</v>
      </c>
      <c r="L1352" s="6"/>
      <c r="M1352" s="6" t="str">
        <f>IF(D1352&lt;&gt;"",VLOOKUP(H1352,TABLEITEM,3,FALSE),"")</f>
        <v>เหล็กกล่อง 3"x1.1/2" T 2.0mm</v>
      </c>
      <c r="N1352" s="7">
        <f>INSTOCK!$I1352*INSTOCK!$K1352</f>
        <v>2880</v>
      </c>
      <c r="O1352" s="2" t="s">
        <v>1678</v>
      </c>
      <c r="P1352" s="2"/>
    </row>
    <row r="1353" ht="18.0" hidden="1" customHeight="1">
      <c r="A1353" s="1"/>
      <c r="B1353" s="3"/>
      <c r="C1353" s="4">
        <v>43559.0</v>
      </c>
      <c r="D1353" s="2" t="s">
        <v>1679</v>
      </c>
      <c r="E1353" s="2">
        <v>6.204000513E9</v>
      </c>
      <c r="F1353" s="3" t="s">
        <v>1680</v>
      </c>
      <c r="G1353" s="2" t="s">
        <v>240</v>
      </c>
      <c r="H1353" s="2" t="s">
        <v>1681</v>
      </c>
      <c r="I1353" s="3">
        <v>5.0</v>
      </c>
      <c r="J1353" s="3"/>
      <c r="K1353" s="5">
        <v>2550.0</v>
      </c>
      <c r="L1353" s="6"/>
      <c r="M1353" s="6" t="str">
        <f>IF(D1353&lt;&gt;"",VLOOKUP(H1353,TABLEITEM,3,FALSE),"")</f>
        <v>แผ่นสเตนเลส 304/ฯ.8 4"x8" T 1.0mm (แบบเงากระจก)</v>
      </c>
      <c r="N1353" s="7">
        <f>INSTOCK!$I1353*INSTOCK!$K1353</f>
        <v>12750</v>
      </c>
      <c r="O1353" s="2"/>
      <c r="P1353" s="2"/>
    </row>
    <row r="1354" ht="18.0" hidden="1" customHeight="1">
      <c r="A1354" s="1"/>
      <c r="B1354" s="3"/>
      <c r="C1354" s="4">
        <v>43560.0</v>
      </c>
      <c r="D1354" s="2" t="s">
        <v>1682</v>
      </c>
      <c r="E1354" s="2">
        <v>6.203000456E9</v>
      </c>
      <c r="F1354" s="3" t="s">
        <v>1374</v>
      </c>
      <c r="G1354" s="2" t="s">
        <v>240</v>
      </c>
      <c r="H1354" s="2" t="s">
        <v>105</v>
      </c>
      <c r="I1354" s="3">
        <v>80.0</v>
      </c>
      <c r="J1354" s="3" t="s">
        <v>78</v>
      </c>
      <c r="K1354" s="5">
        <v>8.25</v>
      </c>
      <c r="L1354" s="6"/>
      <c r="M1354" s="6" t="str">
        <f>IF(D1354&lt;&gt;"",VLOOKUP(H1354,TABLEITEM,3,FALSE),"")</f>
        <v>เหล็กเพลากลม 5มิล</v>
      </c>
      <c r="N1354" s="7">
        <f>INSTOCK!$I1354*INSTOCK!$K1354</f>
        <v>660</v>
      </c>
      <c r="O1354" s="2" t="s">
        <v>1683</v>
      </c>
      <c r="P1354" s="2"/>
    </row>
    <row r="1355" ht="18.0" hidden="1" customHeight="1">
      <c r="A1355" s="1"/>
      <c r="B1355" s="3"/>
      <c r="C1355" s="4">
        <v>43556.0</v>
      </c>
      <c r="D1355" s="2" t="s">
        <v>1684</v>
      </c>
      <c r="E1355" s="2">
        <v>6.203000468E9</v>
      </c>
      <c r="F1355" s="3" t="s">
        <v>161</v>
      </c>
      <c r="G1355" s="2" t="s">
        <v>202</v>
      </c>
      <c r="H1355" s="2" t="s">
        <v>86</v>
      </c>
      <c r="I1355" s="3">
        <v>300.0</v>
      </c>
      <c r="J1355" s="3" t="s">
        <v>78</v>
      </c>
      <c r="K1355" s="5">
        <v>66.66666</v>
      </c>
      <c r="L1355" s="6"/>
      <c r="M1355" s="6" t="str">
        <f>IF(D1355&lt;&gt;"",VLOOKUP(H1355,TABLEITEM,3,FALSE),"")</f>
        <v>เหล็กฉาก 1''1/2'หนา5 มิล</v>
      </c>
      <c r="N1355" s="7">
        <f>INSTOCK!$I1355*INSTOCK!$K1355</f>
        <v>19999.998</v>
      </c>
      <c r="O1355" s="2" t="s">
        <v>1685</v>
      </c>
      <c r="P1355" s="2"/>
    </row>
    <row r="1356" ht="18.0" hidden="1" customHeight="1">
      <c r="A1356" s="1"/>
      <c r="B1356" s="3"/>
      <c r="C1356" s="4">
        <v>43558.0</v>
      </c>
      <c r="D1356" s="2" t="s">
        <v>1686</v>
      </c>
      <c r="E1356" s="2">
        <v>6.203000475E9</v>
      </c>
      <c r="F1356" s="3" t="s">
        <v>161</v>
      </c>
      <c r="G1356" s="2" t="s">
        <v>171</v>
      </c>
      <c r="H1356" s="2" t="s">
        <v>19</v>
      </c>
      <c r="I1356" s="3">
        <v>200.0</v>
      </c>
      <c r="J1356" s="3"/>
      <c r="K1356" s="5">
        <v>865.94</v>
      </c>
      <c r="L1356" s="6"/>
      <c r="M1356" s="6" t="str">
        <f>IF(D1356&lt;&gt;"",VLOOKUP(H1356,TABLEITEM,3,FALSE),"")</f>
        <v>เหล็กแผ่นขาว4'x8'T1.6</v>
      </c>
      <c r="N1356" s="7">
        <f>INSTOCK!$I1356*INSTOCK!$K1356</f>
        <v>173188</v>
      </c>
      <c r="O1356" s="2" t="s">
        <v>1687</v>
      </c>
      <c r="P1356" s="2"/>
    </row>
    <row r="1357" ht="18.0" hidden="1" customHeight="1">
      <c r="A1357" s="1"/>
      <c r="B1357" s="3"/>
      <c r="C1357" s="4">
        <v>43558.0</v>
      </c>
      <c r="D1357" s="2" t="s">
        <v>1686</v>
      </c>
      <c r="E1357" s="2">
        <v>6.203000475E9</v>
      </c>
      <c r="F1357" s="3" t="s">
        <v>161</v>
      </c>
      <c r="G1357" s="2" t="s">
        <v>171</v>
      </c>
      <c r="H1357" s="2" t="s">
        <v>42</v>
      </c>
      <c r="I1357" s="3">
        <v>100.0</v>
      </c>
      <c r="J1357" s="3"/>
      <c r="K1357" s="5">
        <v>1254.0</v>
      </c>
      <c r="L1357" s="6"/>
      <c r="M1357" s="6" t="str">
        <f>IF(D1357&lt;&gt;"",VLOOKUP(H1357,TABLEITEM,3,FALSE),"")</f>
        <v>เหล็กแผ่นEG4'x8'T2.0</v>
      </c>
      <c r="N1357" s="7">
        <f>INSTOCK!$I1357*INSTOCK!$K1357</f>
        <v>125400</v>
      </c>
      <c r="O1357" s="2" t="s">
        <v>1688</v>
      </c>
      <c r="P1357" s="2"/>
    </row>
    <row r="1358" ht="18.0" hidden="1" customHeight="1">
      <c r="A1358" s="1"/>
      <c r="B1358" s="3"/>
      <c r="C1358" s="4">
        <v>43552.0</v>
      </c>
      <c r="D1358" s="2" t="s">
        <v>1689</v>
      </c>
      <c r="E1358" s="2">
        <v>6.204000545E9</v>
      </c>
      <c r="F1358" s="3" t="s">
        <v>1690</v>
      </c>
      <c r="G1358" s="2" t="s">
        <v>733</v>
      </c>
      <c r="H1358" s="2" t="s">
        <v>1691</v>
      </c>
      <c r="I1358" s="3">
        <v>1.0</v>
      </c>
      <c r="J1358" s="3"/>
      <c r="K1358" s="5">
        <v>38.0</v>
      </c>
      <c r="L1358" s="6"/>
      <c r="M1358" s="6" t="str">
        <f>IF(D1358&lt;&gt;"",VLOOKUP(H1358,TABLEITEM,3,FALSE),"")</f>
        <v>กระจก 238x358 T 3.0</v>
      </c>
      <c r="N1358" s="7">
        <f>INSTOCK!$I1358*INSTOCK!$K1358</f>
        <v>38</v>
      </c>
      <c r="O1358" s="2"/>
      <c r="P1358" s="2"/>
    </row>
    <row r="1359" ht="18.0" hidden="1" customHeight="1">
      <c r="A1359" s="1"/>
      <c r="B1359" s="3"/>
      <c r="C1359" s="4">
        <v>43552.0</v>
      </c>
      <c r="D1359" s="2" t="s">
        <v>1692</v>
      </c>
      <c r="E1359" s="2">
        <v>6.204000545E9</v>
      </c>
      <c r="F1359" s="3" t="s">
        <v>1693</v>
      </c>
      <c r="G1359" s="2" t="s">
        <v>733</v>
      </c>
      <c r="H1359" s="2" t="s">
        <v>1598</v>
      </c>
      <c r="I1359" s="3">
        <v>2.0</v>
      </c>
      <c r="J1359" s="3"/>
      <c r="K1359" s="5">
        <v>25.0</v>
      </c>
      <c r="L1359" s="6"/>
      <c r="M1359" s="6" t="str">
        <f>IF(D1359&lt;&gt;"",VLOOKUP(H1359,TABLEITEM,3,FALSE),"")</f>
        <v>กระจก 273x293 T 3.0</v>
      </c>
      <c r="N1359" s="7">
        <f>INSTOCK!$I1359*INSTOCK!$K1359</f>
        <v>50</v>
      </c>
      <c r="O1359" s="2"/>
      <c r="P1359" s="2"/>
    </row>
    <row r="1360" ht="18.0" hidden="1" customHeight="1">
      <c r="A1360" s="1"/>
      <c r="B1360" s="3"/>
      <c r="C1360" s="4">
        <v>43543.0</v>
      </c>
      <c r="D1360" s="2" t="s">
        <v>1694</v>
      </c>
      <c r="E1360" s="2">
        <v>6.204000545E9</v>
      </c>
      <c r="F1360" s="3" t="s">
        <v>1695</v>
      </c>
      <c r="G1360" s="2" t="s">
        <v>733</v>
      </c>
      <c r="H1360" s="2" t="s">
        <v>1696</v>
      </c>
      <c r="I1360" s="3">
        <v>1.0</v>
      </c>
      <c r="J1360" s="3"/>
      <c r="K1360" s="5">
        <v>115.0</v>
      </c>
      <c r="L1360" s="6"/>
      <c r="M1360" s="6" t="str">
        <f>IF(D1360&lt;&gt;"",VLOOKUP(H1360,TABLEITEM,3,FALSE),"")</f>
        <v>กระจก 412x712 T 5.0</v>
      </c>
      <c r="N1360" s="7">
        <f>INSTOCK!$I1360*INSTOCK!$K1360</f>
        <v>115</v>
      </c>
      <c r="O1360" s="2"/>
      <c r="P1360" s="2"/>
    </row>
    <row r="1361" ht="18.0" hidden="1" customHeight="1">
      <c r="A1361" s="1"/>
      <c r="B1361" s="3"/>
      <c r="C1361" s="4">
        <v>43550.0</v>
      </c>
      <c r="D1361" s="2" t="s">
        <v>1697</v>
      </c>
      <c r="E1361" s="2">
        <v>6.204000545E9</v>
      </c>
      <c r="F1361" s="3" t="s">
        <v>1698</v>
      </c>
      <c r="G1361" s="2" t="s">
        <v>733</v>
      </c>
      <c r="H1361" s="2" t="s">
        <v>1699</v>
      </c>
      <c r="I1361" s="3">
        <v>2.0</v>
      </c>
      <c r="J1361" s="3"/>
      <c r="K1361" s="5">
        <v>30.0</v>
      </c>
      <c r="L1361" s="6"/>
      <c r="M1361" s="6" t="str">
        <f>IF(D1361&lt;&gt;"",VLOOKUP(H1361,TABLEITEM,3,FALSE),"")</f>
        <v>กระจก 88x263 T 5.0</v>
      </c>
      <c r="N1361" s="7">
        <f>INSTOCK!$I1361*INSTOCK!$K1361</f>
        <v>60</v>
      </c>
      <c r="O1361" s="2"/>
      <c r="P1361" s="2"/>
    </row>
    <row r="1362" ht="18.0" hidden="1" customHeight="1">
      <c r="A1362" s="1"/>
      <c r="B1362" s="3"/>
      <c r="C1362" s="4">
        <v>43539.0</v>
      </c>
      <c r="D1362" s="2" t="s">
        <v>1700</v>
      </c>
      <c r="E1362" s="2">
        <v>6.204000545E9</v>
      </c>
      <c r="F1362" s="3" t="s">
        <v>1698</v>
      </c>
      <c r="G1362" s="2" t="s">
        <v>733</v>
      </c>
      <c r="H1362" s="2" t="s">
        <v>1699</v>
      </c>
      <c r="I1362" s="3">
        <v>2.0</v>
      </c>
      <c r="J1362" s="3"/>
      <c r="K1362" s="5">
        <v>30.0</v>
      </c>
      <c r="L1362" s="6"/>
      <c r="M1362" s="6" t="str">
        <f>IF(D1362&lt;&gt;"",VLOOKUP(H1362,TABLEITEM,3,FALSE),"")</f>
        <v>กระจก 88x263 T 5.0</v>
      </c>
      <c r="N1362" s="7">
        <f>INSTOCK!$I1362*INSTOCK!$K1362</f>
        <v>60</v>
      </c>
      <c r="O1362" s="2"/>
      <c r="P1362" s="2"/>
    </row>
    <row r="1363" ht="18.0" hidden="1" customHeight="1">
      <c r="A1363" s="1"/>
      <c r="B1363" s="3"/>
      <c r="C1363" s="4">
        <v>43539.0</v>
      </c>
      <c r="D1363" s="2" t="s">
        <v>1700</v>
      </c>
      <c r="E1363" s="2">
        <v>6.204000545E9</v>
      </c>
      <c r="F1363" s="3" t="s">
        <v>1701</v>
      </c>
      <c r="G1363" s="2" t="s">
        <v>733</v>
      </c>
      <c r="H1363" s="2" t="s">
        <v>1702</v>
      </c>
      <c r="I1363" s="3">
        <v>1.0</v>
      </c>
      <c r="J1363" s="3"/>
      <c r="K1363" s="5">
        <v>120.0</v>
      </c>
      <c r="L1363" s="6"/>
      <c r="M1363" s="6" t="str">
        <f>IF(D1363&lt;&gt;"",VLOOKUP(H1363,TABLEITEM,3,FALSE),"")</f>
        <v>กระจก 482x612 T 5.0</v>
      </c>
      <c r="N1363" s="7">
        <f>INSTOCK!$I1363*INSTOCK!$K1363</f>
        <v>120</v>
      </c>
      <c r="O1363" s="2"/>
      <c r="P1363" s="2"/>
    </row>
    <row r="1364" ht="18.0" hidden="1" customHeight="1">
      <c r="A1364" s="1"/>
      <c r="B1364" s="3"/>
      <c r="C1364" s="4">
        <v>43552.0</v>
      </c>
      <c r="D1364" s="2" t="s">
        <v>1703</v>
      </c>
      <c r="E1364" s="2">
        <v>6.204000545E9</v>
      </c>
      <c r="F1364" s="3" t="s">
        <v>1704</v>
      </c>
      <c r="G1364" s="2" t="s">
        <v>733</v>
      </c>
      <c r="H1364" s="2" t="s">
        <v>1705</v>
      </c>
      <c r="I1364" s="3">
        <v>1.0</v>
      </c>
      <c r="J1364" s="3"/>
      <c r="K1364" s="5">
        <v>90.0</v>
      </c>
      <c r="L1364" s="6"/>
      <c r="M1364" s="6" t="str">
        <f>IF(D1364&lt;&gt;"",VLOOKUP(H1364,TABLEITEM,3,FALSE),"")</f>
        <v>กระจก 422x562 T 5.0</v>
      </c>
      <c r="N1364" s="7">
        <f>INSTOCK!$I1364*INSTOCK!$K1364</f>
        <v>90</v>
      </c>
      <c r="O1364" s="2"/>
      <c r="P1364" s="2"/>
    </row>
    <row r="1365" ht="18.0" hidden="1" customHeight="1">
      <c r="A1365" s="1"/>
      <c r="B1365" s="3"/>
      <c r="C1365" s="4">
        <v>43543.0</v>
      </c>
      <c r="D1365" s="2" t="s">
        <v>1706</v>
      </c>
      <c r="E1365" s="2">
        <v>6.204000545E9</v>
      </c>
      <c r="F1365" s="3" t="s">
        <v>1707</v>
      </c>
      <c r="G1365" s="2" t="s">
        <v>733</v>
      </c>
      <c r="H1365" s="2" t="s">
        <v>1708</v>
      </c>
      <c r="I1365" s="3">
        <v>1.0</v>
      </c>
      <c r="J1365" s="3"/>
      <c r="K1365" s="5">
        <v>115.0</v>
      </c>
      <c r="L1365" s="6"/>
      <c r="M1365" s="6" t="str">
        <f>IF(D1365&lt;&gt;"",VLOOKUP(H1365,TABLEITEM,3,FALSE),"")</f>
        <v>กระจก 432x632 T 5.0</v>
      </c>
      <c r="N1365" s="7">
        <f>INSTOCK!$I1365*INSTOCK!$K1365</f>
        <v>115</v>
      </c>
      <c r="O1365" s="2"/>
      <c r="P1365" s="2"/>
    </row>
    <row r="1366" ht="18.0" hidden="1" customHeight="1">
      <c r="A1366" s="1"/>
      <c r="B1366" s="3"/>
      <c r="C1366" s="4">
        <v>43560.0</v>
      </c>
      <c r="D1366" s="2" t="s">
        <v>1709</v>
      </c>
      <c r="E1366" s="2">
        <v>6.204000524E9</v>
      </c>
      <c r="F1366" s="3" t="s">
        <v>161</v>
      </c>
      <c r="G1366" s="2" t="s">
        <v>219</v>
      </c>
      <c r="H1366" s="2" t="s">
        <v>71</v>
      </c>
      <c r="I1366" s="3">
        <v>24.0</v>
      </c>
      <c r="J1366" s="3"/>
      <c r="K1366" s="5">
        <v>1970.0</v>
      </c>
      <c r="L1366" s="6"/>
      <c r="M1366" s="6" t="str">
        <f>IF(D1366&lt;&gt;"",VLOOKUP(H1366,TABLEITEM,3,FALSE),"")</f>
        <v>แผ่นอลูมิเนียม4'x8'T3.0</v>
      </c>
      <c r="N1366" s="7">
        <f>INSTOCK!$I1366*INSTOCK!$K1366</f>
        <v>47280</v>
      </c>
      <c r="O1366" s="2"/>
      <c r="P1366" s="2"/>
    </row>
    <row r="1367" ht="18.0" hidden="1" customHeight="1">
      <c r="A1367" s="1"/>
      <c r="B1367" s="3"/>
      <c r="C1367" s="4">
        <v>43561.0</v>
      </c>
      <c r="D1367" s="2" t="s">
        <v>1710</v>
      </c>
      <c r="E1367" s="2">
        <v>6.204000525E9</v>
      </c>
      <c r="F1367" s="3" t="s">
        <v>161</v>
      </c>
      <c r="G1367" s="2" t="s">
        <v>171</v>
      </c>
      <c r="H1367" s="2" t="s">
        <v>23</v>
      </c>
      <c r="I1367" s="3">
        <v>200.0</v>
      </c>
      <c r="J1367" s="3"/>
      <c r="K1367" s="5">
        <v>1272.0</v>
      </c>
      <c r="L1367" s="6"/>
      <c r="M1367" s="6" t="str">
        <f>IF(D1367&lt;&gt;"",VLOOKUP(H1367,TABLEITEM,3,FALSE),"")</f>
        <v>เหล็กแผ่นขาว4'x8'T2.3</v>
      </c>
      <c r="N1367" s="7">
        <f>INSTOCK!$I1367*INSTOCK!$K1367</f>
        <v>254400</v>
      </c>
      <c r="O1367" s="2" t="s">
        <v>1711</v>
      </c>
      <c r="P1367" s="2"/>
    </row>
    <row r="1368" ht="18.0" hidden="1" customHeight="1">
      <c r="A1368" s="1"/>
      <c r="B1368" s="3"/>
      <c r="C1368" s="4">
        <v>43565.0</v>
      </c>
      <c r="D1368" s="2" t="s">
        <v>1712</v>
      </c>
      <c r="E1368" s="2"/>
      <c r="F1368" s="3" t="s">
        <v>161</v>
      </c>
      <c r="G1368" s="2" t="s">
        <v>456</v>
      </c>
      <c r="H1368" s="2" t="s">
        <v>487</v>
      </c>
      <c r="I1368" s="3">
        <v>78.0</v>
      </c>
      <c r="J1368" s="3"/>
      <c r="K1368" s="5"/>
      <c r="L1368" s="6"/>
      <c r="M1368" s="6" t="str">
        <f>IF(D1368&lt;&gt;"",VLOOKUP(H1368,TABLEITEM,3,FALSE),"")</f>
        <v>กระเป๋าเอกสารรุ่น 316x224</v>
      </c>
      <c r="N1368" s="7">
        <f>INSTOCK!$I1368*INSTOCK!$K1368</f>
        <v>0</v>
      </c>
      <c r="O1368" s="2"/>
      <c r="P1368" s="2"/>
    </row>
    <row r="1369" ht="18.0" hidden="1" customHeight="1">
      <c r="A1369" s="1"/>
      <c r="B1369" s="3"/>
      <c r="C1369" s="4">
        <v>43565.0</v>
      </c>
      <c r="D1369" s="2" t="s">
        <v>1712</v>
      </c>
      <c r="E1369" s="2"/>
      <c r="F1369" s="3" t="s">
        <v>161</v>
      </c>
      <c r="G1369" s="2" t="s">
        <v>456</v>
      </c>
      <c r="H1369" s="2" t="s">
        <v>486</v>
      </c>
      <c r="I1369" s="3">
        <v>50.0</v>
      </c>
      <c r="J1369" s="3"/>
      <c r="K1369" s="5"/>
      <c r="L1369" s="6"/>
      <c r="M1369" s="6" t="str">
        <f>IF(D1369&lt;&gt;"",VLOOKUP(H1369,TABLEITEM,3,FALSE),"")</f>
        <v>กระเป๋าเอกสารรุ่น 316x45</v>
      </c>
      <c r="N1369" s="7">
        <f>INSTOCK!$I1369*INSTOCK!$K1369</f>
        <v>0</v>
      </c>
      <c r="O1369" s="2"/>
      <c r="P1369" s="2"/>
    </row>
    <row r="1370" ht="18.0" hidden="1" customHeight="1">
      <c r="A1370" s="1"/>
      <c r="B1370" s="3"/>
      <c r="C1370" s="4">
        <v>43565.0</v>
      </c>
      <c r="D1370" s="2" t="s">
        <v>1713</v>
      </c>
      <c r="E1370" s="2"/>
      <c r="F1370" s="3" t="s">
        <v>161</v>
      </c>
      <c r="G1370" s="2" t="s">
        <v>456</v>
      </c>
      <c r="H1370" s="2" t="s">
        <v>459</v>
      </c>
      <c r="I1370" s="3">
        <v>254.0</v>
      </c>
      <c r="J1370" s="3"/>
      <c r="K1370" s="5"/>
      <c r="L1370" s="6"/>
      <c r="M1370" s="6" t="str">
        <f>IF(D1370&lt;&gt;"",VLOOKUP(H1370,TABLEITEM,3,FALSE),"")</f>
        <v>คานต่อโครง3mm 68x45x520</v>
      </c>
      <c r="N1370" s="7">
        <f>INSTOCK!$I1370*INSTOCK!$K1370</f>
        <v>0</v>
      </c>
      <c r="O1370" s="2"/>
      <c r="P1370" s="2"/>
    </row>
    <row r="1371" ht="18.0" hidden="1" customHeight="1">
      <c r="A1371" s="1"/>
      <c r="B1371" s="3"/>
      <c r="C1371" s="4">
        <v>43565.0</v>
      </c>
      <c r="D1371" s="2" t="s">
        <v>1714</v>
      </c>
      <c r="E1371" s="2"/>
      <c r="F1371" s="3" t="s">
        <v>161</v>
      </c>
      <c r="G1371" s="2" t="s">
        <v>456</v>
      </c>
      <c r="H1371" s="2" t="s">
        <v>484</v>
      </c>
      <c r="I1371" s="3">
        <v>130.0</v>
      </c>
      <c r="J1371" s="3"/>
      <c r="K1371" s="5"/>
      <c r="L1371" s="6"/>
      <c r="M1371" s="6" t="str">
        <f>IF(D1371&lt;&gt;"",VLOOKUP(H1371,TABLEITEM,3,FALSE),"")</f>
        <v>คานต่อโครง3mm 68x45x720</v>
      </c>
      <c r="N1371" s="7">
        <f>INSTOCK!$I1371*INSTOCK!$K1371</f>
        <v>0</v>
      </c>
      <c r="O1371" s="2"/>
      <c r="P1371" s="2"/>
    </row>
    <row r="1372" ht="18.0" hidden="1" customHeight="1">
      <c r="A1372" s="1"/>
      <c r="B1372" s="3"/>
      <c r="C1372" s="4">
        <v>43563.0</v>
      </c>
      <c r="D1372" s="2" t="s">
        <v>1715</v>
      </c>
      <c r="E1372" s="2">
        <v>6.204000547E9</v>
      </c>
      <c r="F1372" s="3" t="s">
        <v>1716</v>
      </c>
      <c r="G1372" s="2" t="s">
        <v>153</v>
      </c>
      <c r="H1372" s="2" t="s">
        <v>1474</v>
      </c>
      <c r="I1372" s="3">
        <v>1020.0</v>
      </c>
      <c r="J1372" s="3" t="s">
        <v>78</v>
      </c>
      <c r="K1372" s="5">
        <v>49.166666</v>
      </c>
      <c r="L1372" s="6"/>
      <c r="M1372" s="6" t="str">
        <f>IF(D1372&lt;&gt;"",VLOOKUP(H1372,TABLEITEM,3,FALSE),"")</f>
        <v>เหล็กกล่อง 2" หนา 1.2 มิล</v>
      </c>
      <c r="N1372" s="7">
        <f>INSTOCK!$I1372*INSTOCK!$K1372</f>
        <v>50149.99932</v>
      </c>
      <c r="O1372" s="2" t="s">
        <v>1717</v>
      </c>
      <c r="P1372" s="2"/>
    </row>
    <row r="1373" ht="18.0" customHeight="1">
      <c r="A1373" s="1"/>
      <c r="B1373" s="3"/>
      <c r="C1373" s="4">
        <v>43559.0</v>
      </c>
      <c r="D1373" s="2" t="s">
        <v>1718</v>
      </c>
      <c r="E1373" s="2">
        <v>6.204000523E9</v>
      </c>
      <c r="F1373" s="3" t="s">
        <v>161</v>
      </c>
      <c r="G1373" s="2" t="s">
        <v>165</v>
      </c>
      <c r="H1373" s="2" t="s">
        <v>74</v>
      </c>
      <c r="I1373" s="3">
        <v>5.0</v>
      </c>
      <c r="J1373" s="3"/>
      <c r="K1373" s="5">
        <v>1500.0</v>
      </c>
      <c r="L1373" s="6"/>
      <c r="M1373" s="6" t="str">
        <f>IF(D1373&lt;&gt;"",VLOOKUP(H1373,TABLEITEM,3,FALSE),"")</f>
        <v>อคิลิคใส4x8T3.0</v>
      </c>
      <c r="N1373" s="7">
        <f>INSTOCK!$I1373*INSTOCK!$K1373</f>
        <v>7500</v>
      </c>
      <c r="O1373" s="2"/>
      <c r="P1373" s="2"/>
    </row>
    <row r="1374" ht="18.0" hidden="1" customHeight="1">
      <c r="A1374" s="1"/>
      <c r="B1374" s="3"/>
      <c r="C1374" s="4">
        <v>43566.0</v>
      </c>
      <c r="D1374" s="2" t="s">
        <v>1719</v>
      </c>
      <c r="E1374" s="2">
        <v>6.204000571E9</v>
      </c>
      <c r="F1374" s="3" t="s">
        <v>161</v>
      </c>
      <c r="G1374" s="2" t="s">
        <v>171</v>
      </c>
      <c r="H1374" s="2" t="s">
        <v>1578</v>
      </c>
      <c r="I1374" s="3">
        <v>40.0</v>
      </c>
      <c r="J1374" s="3"/>
      <c r="K1374" s="5">
        <v>327.6</v>
      </c>
      <c r="L1374" s="6"/>
      <c r="M1374" s="6" t="str">
        <f>IF(D1374&lt;&gt;"",VLOOKUP(H1374,TABLEITEM,3,FALSE),"")</f>
        <v>เหล็กแผ่น ซิลิคอน 1200x2440 T 0.5MM</v>
      </c>
      <c r="N1374" s="7">
        <f>INSTOCK!$I1374*INSTOCK!$K1374</f>
        <v>13104</v>
      </c>
      <c r="O1374" s="2" t="s">
        <v>1720</v>
      </c>
      <c r="P1374" s="2"/>
    </row>
    <row r="1375" ht="18.0" hidden="1" customHeight="1">
      <c r="A1375" s="1"/>
      <c r="B1375" s="3"/>
      <c r="C1375" s="4">
        <v>43566.0</v>
      </c>
      <c r="D1375" s="2" t="s">
        <v>1721</v>
      </c>
      <c r="E1375" s="2">
        <v>6.204000567E9</v>
      </c>
      <c r="F1375" s="3" t="s">
        <v>161</v>
      </c>
      <c r="G1375" s="2" t="s">
        <v>171</v>
      </c>
      <c r="H1375" s="2" t="s">
        <v>1578</v>
      </c>
      <c r="I1375" s="3">
        <v>10.0</v>
      </c>
      <c r="J1375" s="3"/>
      <c r="K1375" s="5">
        <v>327.6</v>
      </c>
      <c r="L1375" s="6"/>
      <c r="M1375" s="6" t="str">
        <f>IF(D1375&lt;&gt;"",VLOOKUP(H1375,TABLEITEM,3,FALSE),"")</f>
        <v>เหล็กแผ่น ซิลิคอน 1200x2440 T 0.5MM</v>
      </c>
      <c r="N1375" s="7">
        <f>INSTOCK!$I1375*INSTOCK!$K1375</f>
        <v>3276</v>
      </c>
      <c r="O1375" s="2" t="s">
        <v>1722</v>
      </c>
      <c r="P1375" s="2"/>
    </row>
    <row r="1376" ht="18.0" hidden="1" customHeight="1">
      <c r="A1376" s="1"/>
      <c r="B1376" s="3"/>
      <c r="C1376" s="4">
        <v>43564.0</v>
      </c>
      <c r="D1376" s="2" t="s">
        <v>1723</v>
      </c>
      <c r="E1376" s="2" t="s">
        <v>1724</v>
      </c>
      <c r="F1376" s="3" t="s">
        <v>161</v>
      </c>
      <c r="G1376" s="2" t="s">
        <v>171</v>
      </c>
      <c r="H1376" s="2" t="s">
        <v>16</v>
      </c>
      <c r="I1376" s="3">
        <v>600.0</v>
      </c>
      <c r="J1376" s="3"/>
      <c r="K1376" s="5">
        <v>542.106666</v>
      </c>
      <c r="L1376" s="6"/>
      <c r="M1376" s="6" t="str">
        <f>IF(D1376&lt;&gt;"",VLOOKUP(H1376,TABLEITEM,3,FALSE),"")</f>
        <v>เหล็กแผ่นขาว4'x8'T1.0</v>
      </c>
      <c r="N1376" s="7">
        <f>INSTOCK!$I1376*INSTOCK!$K1376</f>
        <v>325263.9996</v>
      </c>
      <c r="O1376" s="2" t="s">
        <v>1725</v>
      </c>
      <c r="P1376" s="2"/>
    </row>
    <row r="1377" ht="18.0" hidden="1" customHeight="1">
      <c r="A1377" s="1"/>
      <c r="B1377" s="3"/>
      <c r="C1377" s="4">
        <v>43566.0</v>
      </c>
      <c r="D1377" s="2" t="s">
        <v>1726</v>
      </c>
      <c r="E1377" s="2">
        <v>6.204000556E9</v>
      </c>
      <c r="F1377" s="3" t="s">
        <v>161</v>
      </c>
      <c r="G1377" s="2" t="s">
        <v>202</v>
      </c>
      <c r="H1377" s="2" t="s">
        <v>79</v>
      </c>
      <c r="I1377" s="3">
        <v>288.0</v>
      </c>
      <c r="J1377" s="3" t="s">
        <v>78</v>
      </c>
      <c r="K1377" s="5">
        <v>146.66666</v>
      </c>
      <c r="L1377" s="6"/>
      <c r="M1377" s="6" t="str">
        <f>IF(D1377&lt;&gt;"",VLOOKUP(H1377,TABLEITEM,3,FALSE),"")</f>
        <v>เหล็กรางน้ำ U' 3</v>
      </c>
      <c r="N1377" s="7">
        <f>INSTOCK!$I1377*INSTOCK!$K1377</f>
        <v>42239.99808</v>
      </c>
      <c r="O1377" s="2" t="s">
        <v>1727</v>
      </c>
      <c r="P1377" s="2"/>
    </row>
    <row r="1378" ht="18.0" hidden="1" customHeight="1">
      <c r="A1378" s="1"/>
      <c r="B1378" s="3"/>
      <c r="C1378" s="4">
        <v>43572.0</v>
      </c>
      <c r="D1378" s="2" t="s">
        <v>1728</v>
      </c>
      <c r="E1378" s="2"/>
      <c r="F1378" s="3" t="s">
        <v>161</v>
      </c>
      <c r="G1378" s="2" t="s">
        <v>456</v>
      </c>
      <c r="H1378" s="2" t="s">
        <v>1729</v>
      </c>
      <c r="I1378" s="3">
        <v>60.0</v>
      </c>
      <c r="J1378" s="3"/>
      <c r="K1378" s="5"/>
      <c r="L1378" s="6"/>
      <c r="M1378" s="6" t="str">
        <f>IF(D1378&lt;&gt;"",VLOOKUP(H1378,TABLEITEM,3,FALSE),"")</f>
        <v>คานเจ 2รู 65x40x325</v>
      </c>
      <c r="N1378" s="7">
        <f>INSTOCK!$I1378*INSTOCK!$K1378</f>
        <v>0</v>
      </c>
      <c r="O1378" s="2"/>
      <c r="P1378" s="2"/>
    </row>
    <row r="1379" ht="18.0" hidden="1" customHeight="1">
      <c r="A1379" s="1"/>
      <c r="B1379" s="3"/>
      <c r="C1379" s="4">
        <v>43572.0</v>
      </c>
      <c r="D1379" s="2" t="s">
        <v>1643</v>
      </c>
      <c r="E1379" s="2"/>
      <c r="F1379" s="3" t="s">
        <v>161</v>
      </c>
      <c r="G1379" s="2" t="s">
        <v>456</v>
      </c>
      <c r="H1379" s="2" t="s">
        <v>493</v>
      </c>
      <c r="I1379" s="3">
        <v>225.0</v>
      </c>
      <c r="J1379" s="3"/>
      <c r="K1379" s="5"/>
      <c r="L1379" s="6"/>
      <c r="M1379" s="6" t="str">
        <f>IF(D1379&lt;&gt;"",VLOOKUP(H1379,TABLEITEM,3,FALSE),"")</f>
        <v>เสาเชื่อม2125x40x50</v>
      </c>
      <c r="N1379" s="7">
        <f>INSTOCK!$I1379*INSTOCK!$K1379</f>
        <v>0</v>
      </c>
      <c r="O1379" s="2"/>
      <c r="P1379" s="2"/>
    </row>
    <row r="1380" ht="18.0" hidden="1" customHeight="1">
      <c r="A1380" s="1"/>
      <c r="B1380" s="3"/>
      <c r="C1380" s="4">
        <v>43553.0</v>
      </c>
      <c r="D1380" s="2" t="s">
        <v>1730</v>
      </c>
      <c r="E1380" s="2">
        <v>6.203000425E9</v>
      </c>
      <c r="F1380" s="3" t="s">
        <v>1731</v>
      </c>
      <c r="G1380" s="2" t="s">
        <v>146</v>
      </c>
      <c r="H1380" s="2" t="s">
        <v>1474</v>
      </c>
      <c r="I1380" s="3">
        <v>-1200.0</v>
      </c>
      <c r="J1380" s="3" t="s">
        <v>78</v>
      </c>
      <c r="K1380" s="5">
        <v>44.83333</v>
      </c>
      <c r="L1380" s="6"/>
      <c r="M1380" s="6" t="str">
        <f>IF(D1380&lt;&gt;"",VLOOKUP(H1380,TABLEITEM,3,FALSE),"")</f>
        <v>เหล็กกล่อง 2" หนา 1.2 มิล</v>
      </c>
      <c r="N1380" s="7">
        <f>INSTOCK!$I1380*INSTOCK!$K1380</f>
        <v>-53799.996</v>
      </c>
      <c r="O1380" s="2" t="s">
        <v>1732</v>
      </c>
      <c r="P1380" s="2"/>
    </row>
    <row r="1381" ht="18.0" hidden="1" customHeight="1">
      <c r="A1381" s="1"/>
      <c r="B1381" s="3"/>
      <c r="C1381" s="4">
        <v>43577.0</v>
      </c>
      <c r="D1381" s="2" t="s">
        <v>1620</v>
      </c>
      <c r="E1381" s="2"/>
      <c r="F1381" s="3" t="s">
        <v>161</v>
      </c>
      <c r="G1381" s="2" t="s">
        <v>456</v>
      </c>
      <c r="H1381" s="2" t="s">
        <v>495</v>
      </c>
      <c r="I1381" s="3">
        <v>300.0</v>
      </c>
      <c r="J1381" s="3"/>
      <c r="K1381" s="5"/>
      <c r="L1381" s="6"/>
      <c r="M1381" s="6" t="str">
        <f>IF(D1381&lt;&gt;"",VLOOKUP(H1381,TABLEITEM,3,FALSE),"")</f>
        <v>คานเชื่อม800</v>
      </c>
      <c r="N1381" s="7">
        <f>INSTOCK!$I1381*INSTOCK!$K1381</f>
        <v>0</v>
      </c>
      <c r="O1381" s="2"/>
      <c r="P1381" s="2"/>
    </row>
    <row r="1382" ht="18.0" hidden="1" customHeight="1">
      <c r="A1382" s="1"/>
      <c r="B1382" s="3"/>
      <c r="C1382" s="4">
        <v>43577.0</v>
      </c>
      <c r="D1382" s="2" t="s">
        <v>1733</v>
      </c>
      <c r="E1382" s="2"/>
      <c r="F1382" s="3" t="s">
        <v>161</v>
      </c>
      <c r="G1382" s="2" t="s">
        <v>456</v>
      </c>
      <c r="H1382" s="2" t="s">
        <v>491</v>
      </c>
      <c r="I1382" s="3">
        <v>180.0</v>
      </c>
      <c r="J1382" s="3"/>
      <c r="K1382" s="5"/>
      <c r="L1382" s="6"/>
      <c r="M1382" s="6" t="str">
        <f>IF(D1382&lt;&gt;"",VLOOKUP(H1382,TABLEITEM,3,FALSE),"")</f>
        <v>เสาเสริม 40x50x1988</v>
      </c>
      <c r="N1382" s="7">
        <f>INSTOCK!$I1382*INSTOCK!$K1382</f>
        <v>0</v>
      </c>
      <c r="O1382" s="2"/>
      <c r="P1382" s="2"/>
    </row>
    <row r="1383" ht="18.0" hidden="1" customHeight="1">
      <c r="A1383" s="1"/>
      <c r="B1383" s="3"/>
      <c r="C1383" s="4">
        <v>43577.0</v>
      </c>
      <c r="D1383" s="2" t="s">
        <v>1734</v>
      </c>
      <c r="E1383" s="2"/>
      <c r="F1383" s="3" t="s">
        <v>161</v>
      </c>
      <c r="G1383" s="2" t="s">
        <v>456</v>
      </c>
      <c r="H1383" s="2" t="s">
        <v>511</v>
      </c>
      <c r="I1383" s="3">
        <v>90.0</v>
      </c>
      <c r="J1383" s="3"/>
      <c r="K1383" s="5"/>
      <c r="L1383" s="6"/>
      <c r="M1383" s="6" t="str">
        <f>IF(D1383&lt;&gt;"",VLOOKUP(H1383,TABLEITEM,3,FALSE),"")</f>
        <v>เสาเสริม 40x50x1788</v>
      </c>
      <c r="N1383" s="7">
        <f>INSTOCK!$I1383*INSTOCK!$K1383</f>
        <v>0</v>
      </c>
      <c r="O1383" s="2"/>
      <c r="P1383" s="2"/>
    </row>
    <row r="1384" ht="18.0" hidden="1" customHeight="1">
      <c r="A1384" s="1"/>
      <c r="B1384" s="3"/>
      <c r="C1384" s="4">
        <v>43567.0</v>
      </c>
      <c r="D1384" s="2" t="s">
        <v>1735</v>
      </c>
      <c r="E1384" s="2">
        <v>6.204000634E9</v>
      </c>
      <c r="F1384" s="3" t="s">
        <v>1736</v>
      </c>
      <c r="G1384" s="2" t="s">
        <v>733</v>
      </c>
      <c r="H1384" s="2" t="s">
        <v>1383</v>
      </c>
      <c r="I1384" s="3">
        <v>1.0</v>
      </c>
      <c r="J1384" s="3"/>
      <c r="K1384" s="5">
        <v>115.0</v>
      </c>
      <c r="L1384" s="6"/>
      <c r="M1384" s="6" t="str">
        <f>IF(D1384&lt;&gt;"",VLOOKUP(H1384,TABLEITEM,3,FALSE),"")</f>
        <v>กระจก362X662T5.0</v>
      </c>
      <c r="N1384" s="7">
        <f>INSTOCK!$I1384*INSTOCK!$K1384</f>
        <v>115</v>
      </c>
      <c r="O1384" s="2"/>
      <c r="P1384" s="2"/>
    </row>
    <row r="1385" ht="18.0" hidden="1" customHeight="1">
      <c r="A1385" s="1"/>
      <c r="B1385" s="3"/>
      <c r="C1385" s="4">
        <v>43563.0</v>
      </c>
      <c r="D1385" s="2" t="s">
        <v>1737</v>
      </c>
      <c r="E1385" s="2">
        <v>6.204000634E9</v>
      </c>
      <c r="F1385" s="3" t="s">
        <v>1738</v>
      </c>
      <c r="G1385" s="2" t="s">
        <v>733</v>
      </c>
      <c r="H1385" s="2" t="s">
        <v>1345</v>
      </c>
      <c r="I1385" s="3">
        <v>3.0</v>
      </c>
      <c r="J1385" s="3"/>
      <c r="K1385" s="5">
        <v>300.0</v>
      </c>
      <c r="L1385" s="6"/>
      <c r="M1385" s="6" t="str">
        <f>IF(D1385&lt;&gt;"",VLOOKUP(H1385,TABLEITEM,3,FALSE),"")</f>
        <v>กระจก 612x1112 T5.0</v>
      </c>
      <c r="N1385" s="7">
        <f>INSTOCK!$I1385*INSTOCK!$K1385</f>
        <v>900</v>
      </c>
      <c r="O1385" s="2"/>
      <c r="P1385" s="2"/>
    </row>
    <row r="1386" ht="18.0" hidden="1" customHeight="1">
      <c r="A1386" s="1"/>
      <c r="B1386" s="3"/>
      <c r="C1386" s="4">
        <v>43574.0</v>
      </c>
      <c r="D1386" s="2">
        <v>1.0</v>
      </c>
      <c r="E1386" s="2"/>
      <c r="F1386" s="3" t="s">
        <v>1739</v>
      </c>
      <c r="G1386" s="2" t="s">
        <v>953</v>
      </c>
      <c r="H1386" s="2" t="s">
        <v>1740</v>
      </c>
      <c r="I1386" s="3">
        <v>1.0</v>
      </c>
      <c r="J1386" s="3"/>
      <c r="K1386" s="5">
        <v>110.0</v>
      </c>
      <c r="L1386" s="6"/>
      <c r="M1386" s="6" t="str">
        <f>IF(D1386&lt;&gt;"",VLOOKUP(H1386,TABLEITEM,3,FALSE),"")</f>
        <v>กระจกใส 362x582 หนา 5.0 มิล</v>
      </c>
      <c r="N1386" s="7">
        <f>INSTOCK!$I1386*INSTOCK!$K1386</f>
        <v>110</v>
      </c>
      <c r="O1386" s="2"/>
      <c r="P1386" s="2"/>
    </row>
    <row r="1387" ht="18.0" hidden="1" customHeight="1">
      <c r="A1387" s="1"/>
      <c r="B1387" s="3"/>
      <c r="C1387" s="4">
        <v>43578.0</v>
      </c>
      <c r="D1387" s="2" t="s">
        <v>1741</v>
      </c>
      <c r="E1387" s="2">
        <v>6.204000617E9</v>
      </c>
      <c r="F1387" s="3" t="s">
        <v>1374</v>
      </c>
      <c r="G1387" s="2" t="s">
        <v>153</v>
      </c>
      <c r="H1387" s="2" t="s">
        <v>1742</v>
      </c>
      <c r="I1387" s="3">
        <v>40.0</v>
      </c>
      <c r="J1387" s="3" t="s">
        <v>78</v>
      </c>
      <c r="K1387" s="5">
        <v>8.75</v>
      </c>
      <c r="L1387" s="6"/>
      <c r="M1387" s="6" t="str">
        <f>IF(D1387&lt;&gt;"",VLOOKUP(H1387,TABLEITEM,3,FALSE),"")</f>
        <v>เหล็กเพลากลม 6 มิล </v>
      </c>
      <c r="N1387" s="7">
        <f>INSTOCK!$I1387*INSTOCK!$K1387</f>
        <v>350</v>
      </c>
      <c r="O1387" s="2" t="s">
        <v>1743</v>
      </c>
      <c r="P1387" s="2"/>
    </row>
    <row r="1388" ht="18.0" hidden="1" customHeight="1">
      <c r="A1388" s="1"/>
      <c r="B1388" s="3"/>
      <c r="C1388" s="4">
        <v>43580.0</v>
      </c>
      <c r="D1388" s="2" t="s">
        <v>1744</v>
      </c>
      <c r="E1388" s="2"/>
      <c r="F1388" s="3" t="s">
        <v>161</v>
      </c>
      <c r="G1388" s="2" t="s">
        <v>456</v>
      </c>
      <c r="H1388" s="2" t="s">
        <v>1745</v>
      </c>
      <c r="I1388" s="3">
        <v>20.0</v>
      </c>
      <c r="J1388" s="3"/>
      <c r="K1388" s="5"/>
      <c r="L1388" s="6"/>
      <c r="M1388" s="6" t="str">
        <f>IF(D1388&lt;&gt;"",VLOOKUP(H1388,TABLEITEM,3,FALSE),"")</f>
        <v>ฉากมิเตอร์ 695x305</v>
      </c>
      <c r="N1388" s="7">
        <f>INSTOCK!$I1388*INSTOCK!$K1388</f>
        <v>0</v>
      </c>
      <c r="O1388" s="2"/>
      <c r="P1388" s="2"/>
    </row>
    <row r="1389" ht="18.0" hidden="1" customHeight="1">
      <c r="A1389" s="1"/>
      <c r="B1389" s="3"/>
      <c r="C1389" s="4">
        <v>43580.0</v>
      </c>
      <c r="D1389" s="2" t="s">
        <v>1744</v>
      </c>
      <c r="E1389" s="2"/>
      <c r="F1389" s="3" t="s">
        <v>161</v>
      </c>
      <c r="G1389" s="2" t="s">
        <v>456</v>
      </c>
      <c r="H1389" s="2" t="s">
        <v>558</v>
      </c>
      <c r="I1389" s="3">
        <v>21.0</v>
      </c>
      <c r="J1389" s="3"/>
      <c r="K1389" s="5"/>
      <c r="L1389" s="6"/>
      <c r="M1389" s="6" t="str">
        <f>IF(D1389&lt;&gt;"",VLOOKUP(H1389,TABLEITEM,3,FALSE),"")</f>
        <v>ฉากมิเตอร์ 795x305</v>
      </c>
      <c r="N1389" s="7">
        <f>INSTOCK!$I1389*INSTOCK!$K1389</f>
        <v>0</v>
      </c>
      <c r="O1389" s="2"/>
      <c r="P1389" s="2"/>
    </row>
    <row r="1390" ht="18.0" hidden="1" customHeight="1">
      <c r="A1390" s="1"/>
      <c r="B1390" s="3"/>
      <c r="C1390" s="4">
        <v>43580.0</v>
      </c>
      <c r="D1390" s="2" t="s">
        <v>1744</v>
      </c>
      <c r="E1390" s="2"/>
      <c r="F1390" s="3" t="s">
        <v>161</v>
      </c>
      <c r="G1390" s="2" t="s">
        <v>456</v>
      </c>
      <c r="H1390" s="2" t="s">
        <v>1746</v>
      </c>
      <c r="I1390" s="3">
        <v>20.0</v>
      </c>
      <c r="J1390" s="3"/>
      <c r="K1390" s="5"/>
      <c r="L1390" s="6"/>
      <c r="M1390" s="6" t="str">
        <f>IF(D1390&lt;&gt;"",VLOOKUP(H1390,TABLEITEM,3,FALSE),"")</f>
        <v>ฉากมิเตอร์ 895x305</v>
      </c>
      <c r="N1390" s="7">
        <f>INSTOCK!$I1390*INSTOCK!$K1390</f>
        <v>0</v>
      </c>
      <c r="O1390" s="2"/>
      <c r="P1390" s="2"/>
    </row>
    <row r="1391" ht="18.0" hidden="1" customHeight="1">
      <c r="A1391" s="1"/>
      <c r="B1391" s="3"/>
      <c r="C1391" s="4">
        <v>43580.0</v>
      </c>
      <c r="D1391" s="2" t="s">
        <v>1744</v>
      </c>
      <c r="E1391" s="2"/>
      <c r="F1391" s="3" t="s">
        <v>161</v>
      </c>
      <c r="G1391" s="2" t="s">
        <v>456</v>
      </c>
      <c r="H1391" s="2" t="s">
        <v>1747</v>
      </c>
      <c r="I1391" s="3">
        <v>21.0</v>
      </c>
      <c r="J1391" s="3"/>
      <c r="K1391" s="5"/>
      <c r="L1391" s="6"/>
      <c r="M1391" s="6" t="str">
        <f>IF(D1391&lt;&gt;"",VLOOKUP(H1391,TABLEITEM,3,FALSE),"")</f>
        <v>ฉากมิเตอร์ 995x305</v>
      </c>
      <c r="N1391" s="7">
        <f>INSTOCK!$I1391*INSTOCK!$K1391</f>
        <v>0</v>
      </c>
      <c r="O1391" s="2"/>
      <c r="P1391" s="2"/>
    </row>
    <row r="1392" ht="18.0" hidden="1" customHeight="1">
      <c r="A1392" s="1"/>
      <c r="B1392" s="3"/>
      <c r="C1392" s="4">
        <v>43580.0</v>
      </c>
      <c r="D1392" s="2" t="s">
        <v>1748</v>
      </c>
      <c r="E1392" s="2"/>
      <c r="F1392" s="3" t="s">
        <v>161</v>
      </c>
      <c r="G1392" s="2" t="s">
        <v>456</v>
      </c>
      <c r="H1392" s="2" t="s">
        <v>1749</v>
      </c>
      <c r="I1392" s="3">
        <v>20.0</v>
      </c>
      <c r="J1392" s="3"/>
      <c r="K1392" s="5"/>
      <c r="L1392" s="6"/>
      <c r="M1392" s="6" t="str">
        <f>IF(D1392&lt;&gt;"",VLOOKUP(H1392,TABLEITEM,3,FALSE),"")</f>
        <v>ฉากกันตก 695x175</v>
      </c>
      <c r="N1392" s="7">
        <f>INSTOCK!$I1392*INSTOCK!$K1392</f>
        <v>0</v>
      </c>
      <c r="O1392" s="2"/>
      <c r="P1392" s="2"/>
    </row>
    <row r="1393" ht="18.0" hidden="1" customHeight="1">
      <c r="A1393" s="1"/>
      <c r="B1393" s="3"/>
      <c r="C1393" s="4">
        <v>43580.0</v>
      </c>
      <c r="D1393" s="2" t="s">
        <v>1748</v>
      </c>
      <c r="E1393" s="2"/>
      <c r="F1393" s="3" t="s">
        <v>161</v>
      </c>
      <c r="G1393" s="2" t="s">
        <v>456</v>
      </c>
      <c r="H1393" s="2" t="s">
        <v>559</v>
      </c>
      <c r="I1393" s="3">
        <v>26.0</v>
      </c>
      <c r="J1393" s="3"/>
      <c r="K1393" s="5"/>
      <c r="L1393" s="6"/>
      <c r="M1393" s="6" t="str">
        <f>IF(D1393&lt;&gt;"",VLOOKUP(H1393,TABLEITEM,3,FALSE),"")</f>
        <v>ฉากกันตก 795x175</v>
      </c>
      <c r="N1393" s="7">
        <f>INSTOCK!$I1393*INSTOCK!$K1393</f>
        <v>0</v>
      </c>
      <c r="O1393" s="2"/>
      <c r="P1393" s="2"/>
    </row>
    <row r="1394" ht="18.0" hidden="1" customHeight="1">
      <c r="A1394" s="1"/>
      <c r="B1394" s="3"/>
      <c r="C1394" s="4">
        <v>43580.0</v>
      </c>
      <c r="D1394" s="2" t="s">
        <v>1748</v>
      </c>
      <c r="E1394" s="2"/>
      <c r="F1394" s="3" t="s">
        <v>161</v>
      </c>
      <c r="G1394" s="2" t="s">
        <v>456</v>
      </c>
      <c r="H1394" s="2" t="s">
        <v>1750</v>
      </c>
      <c r="I1394" s="3">
        <v>20.0</v>
      </c>
      <c r="J1394" s="3"/>
      <c r="K1394" s="5"/>
      <c r="L1394" s="6"/>
      <c r="M1394" s="6" t="str">
        <f>IF(D1394&lt;&gt;"",VLOOKUP(H1394,TABLEITEM,3,FALSE),"")</f>
        <v>ฉากกันตก 895x175</v>
      </c>
      <c r="N1394" s="7">
        <f>INSTOCK!$I1394*INSTOCK!$K1394</f>
        <v>0</v>
      </c>
      <c r="O1394" s="2"/>
      <c r="P1394" s="2"/>
    </row>
    <row r="1395" ht="18.0" hidden="1" customHeight="1">
      <c r="A1395" s="1"/>
      <c r="B1395" s="3"/>
      <c r="C1395" s="4">
        <v>43580.0</v>
      </c>
      <c r="D1395" s="2" t="s">
        <v>1748</v>
      </c>
      <c r="E1395" s="2"/>
      <c r="F1395" s="3" t="s">
        <v>161</v>
      </c>
      <c r="G1395" s="2" t="s">
        <v>456</v>
      </c>
      <c r="H1395" s="2" t="s">
        <v>1751</v>
      </c>
      <c r="I1395" s="3">
        <v>20.0</v>
      </c>
      <c r="J1395" s="3"/>
      <c r="K1395" s="5"/>
      <c r="L1395" s="6"/>
      <c r="M1395" s="6" t="str">
        <f>IF(D1395&lt;&gt;"",VLOOKUP(H1395,TABLEITEM,3,FALSE),"")</f>
        <v>ฉากกันตก 995x175</v>
      </c>
      <c r="N1395" s="7">
        <f>INSTOCK!$I1395*INSTOCK!$K1395</f>
        <v>0</v>
      </c>
      <c r="O1395" s="2"/>
      <c r="P1395" s="2"/>
    </row>
    <row r="1396" ht="18.0" hidden="1" customHeight="1">
      <c r="A1396" s="1"/>
      <c r="B1396" s="3"/>
      <c r="C1396" s="4">
        <v>43580.0</v>
      </c>
      <c r="D1396" s="2" t="s">
        <v>1752</v>
      </c>
      <c r="E1396" s="2"/>
      <c r="F1396" s="3" t="s">
        <v>161</v>
      </c>
      <c r="G1396" s="2" t="s">
        <v>456</v>
      </c>
      <c r="H1396" s="2" t="s">
        <v>542</v>
      </c>
      <c r="I1396" s="3">
        <v>30.0</v>
      </c>
      <c r="J1396" s="3"/>
      <c r="K1396" s="5"/>
      <c r="L1396" s="6"/>
      <c r="M1396" s="6" t="str">
        <f>IF(D1396&lt;&gt;"",VLOOKUP(H1396,TABLEITEM,3,FALSE),"")</f>
        <v>ฝาข้าง-ฝาหลัง 1875x770</v>
      </c>
      <c r="N1396" s="7">
        <f>INSTOCK!$I1396*INSTOCK!$K1396</f>
        <v>0</v>
      </c>
      <c r="O1396" s="2"/>
      <c r="P1396" s="2"/>
    </row>
    <row r="1397" ht="18.0" hidden="1" customHeight="1">
      <c r="A1397" s="1"/>
      <c r="B1397" s="3"/>
      <c r="C1397" s="4">
        <v>43580.0</v>
      </c>
      <c r="D1397" s="2" t="s">
        <v>1752</v>
      </c>
      <c r="E1397" s="2"/>
      <c r="F1397" s="3" t="s">
        <v>161</v>
      </c>
      <c r="G1397" s="2" t="s">
        <v>456</v>
      </c>
      <c r="H1397" s="2" t="s">
        <v>461</v>
      </c>
      <c r="I1397" s="3">
        <v>15.0</v>
      </c>
      <c r="J1397" s="3"/>
      <c r="K1397" s="5"/>
      <c r="L1397" s="6"/>
      <c r="M1397" s="6" t="str">
        <f>IF(D1397&lt;&gt;"",VLOOKUP(H1397,TABLEITEM,3,FALSE),"")</f>
        <v>ฝารูเปเปอร์ 2101x797เกล็ด</v>
      </c>
      <c r="N1397" s="7">
        <f>INSTOCK!$I1397*INSTOCK!$K1397</f>
        <v>0</v>
      </c>
      <c r="O1397" s="2"/>
      <c r="P1397" s="2"/>
    </row>
    <row r="1398" ht="18.0" hidden="1" customHeight="1">
      <c r="A1398" s="1"/>
      <c r="B1398" s="3"/>
      <c r="C1398" s="4">
        <v>43580.0</v>
      </c>
      <c r="D1398" s="2" t="s">
        <v>1753</v>
      </c>
      <c r="E1398" s="2"/>
      <c r="F1398" s="3" t="s">
        <v>161</v>
      </c>
      <c r="G1398" s="2" t="s">
        <v>456</v>
      </c>
      <c r="H1398" s="2" t="s">
        <v>537</v>
      </c>
      <c r="I1398" s="3">
        <v>32.0</v>
      </c>
      <c r="J1398" s="3"/>
      <c r="K1398" s="5"/>
      <c r="L1398" s="6"/>
      <c r="M1398" s="6" t="str">
        <f>IF(D1398&lt;&gt;"",VLOOKUP(H1398,TABLEITEM,3,FALSE),"")</f>
        <v>หมวกตู้ 60x975</v>
      </c>
      <c r="N1398" s="7">
        <f>INSTOCK!$I1398*INSTOCK!$K1398</f>
        <v>0</v>
      </c>
      <c r="O1398" s="2"/>
      <c r="P1398" s="2"/>
    </row>
    <row r="1399" ht="18.0" hidden="1" customHeight="1">
      <c r="A1399" s="1"/>
      <c r="B1399" s="3"/>
      <c r="C1399" s="4">
        <v>43580.0</v>
      </c>
      <c r="D1399" s="2" t="s">
        <v>1754</v>
      </c>
      <c r="E1399" s="2"/>
      <c r="F1399" s="3" t="s">
        <v>161</v>
      </c>
      <c r="G1399" s="2" t="s">
        <v>456</v>
      </c>
      <c r="H1399" s="2" t="s">
        <v>589</v>
      </c>
      <c r="I1399" s="3">
        <v>33.0</v>
      </c>
      <c r="J1399" s="3"/>
      <c r="K1399" s="5"/>
      <c r="L1399" s="6"/>
      <c r="M1399" s="6" t="str">
        <f>IF(D1399&lt;&gt;"",VLOOKUP(H1399,TABLEITEM,3,FALSE),"")</f>
        <v>หมวกตู้ 60x875</v>
      </c>
      <c r="N1399" s="7">
        <f>INSTOCK!$I1399*INSTOCK!$K1399</f>
        <v>0</v>
      </c>
      <c r="O1399" s="2"/>
      <c r="P1399" s="2"/>
    </row>
    <row r="1400" ht="18.0" hidden="1" customHeight="1">
      <c r="A1400" s="1"/>
      <c r="B1400" s="3"/>
      <c r="C1400" s="4">
        <v>43580.0</v>
      </c>
      <c r="D1400" s="2" t="s">
        <v>1755</v>
      </c>
      <c r="E1400" s="2"/>
      <c r="F1400" s="3" t="s">
        <v>161</v>
      </c>
      <c r="G1400" s="2" t="s">
        <v>456</v>
      </c>
      <c r="H1400" s="2" t="s">
        <v>699</v>
      </c>
      <c r="I1400" s="3">
        <v>31.0</v>
      </c>
      <c r="J1400" s="3"/>
      <c r="K1400" s="5"/>
      <c r="L1400" s="6"/>
      <c r="M1400" s="6" t="str">
        <f>IF(D1400&lt;&gt;"",VLOOKUP(H1400,TABLEITEM,3,FALSE),"")</f>
        <v>หมวกตู้ 60x475</v>
      </c>
      <c r="N1400" s="7">
        <f>INSTOCK!$I1400*INSTOCK!$K1400</f>
        <v>0</v>
      </c>
      <c r="O1400" s="2"/>
      <c r="P1400" s="2"/>
    </row>
    <row r="1401" ht="18.0" hidden="1" customHeight="1">
      <c r="A1401" s="1"/>
      <c r="B1401" s="3"/>
      <c r="C1401" s="4">
        <v>43580.0</v>
      </c>
      <c r="D1401" s="2" t="s">
        <v>1756</v>
      </c>
      <c r="E1401" s="2"/>
      <c r="F1401" s="3" t="s">
        <v>161</v>
      </c>
      <c r="G1401" s="2" t="s">
        <v>456</v>
      </c>
      <c r="H1401" s="2" t="s">
        <v>539</v>
      </c>
      <c r="I1401" s="3">
        <v>42.0</v>
      </c>
      <c r="J1401" s="3"/>
      <c r="K1401" s="5"/>
      <c r="L1401" s="6"/>
      <c r="M1401" s="6" t="str">
        <f>IF(D1401&lt;&gt;"",VLOOKUP(H1401,TABLEITEM,3,FALSE),"")</f>
        <v>แพลทยึดอุปกรณ์595x250</v>
      </c>
      <c r="N1401" s="7">
        <f>INSTOCK!$I1401*INSTOCK!$K1401</f>
        <v>0</v>
      </c>
      <c r="O1401" s="2"/>
      <c r="P1401" s="2"/>
    </row>
    <row r="1402" ht="18.0" hidden="1" customHeight="1">
      <c r="A1402" s="1"/>
      <c r="B1402" s="3"/>
      <c r="C1402" s="4">
        <v>43580.0</v>
      </c>
      <c r="D1402" s="2" t="s">
        <v>1757</v>
      </c>
      <c r="E1402" s="2"/>
      <c r="F1402" s="3" t="s">
        <v>161</v>
      </c>
      <c r="G1402" s="2" t="s">
        <v>456</v>
      </c>
      <c r="H1402" s="2" t="s">
        <v>649</v>
      </c>
      <c r="I1402" s="3">
        <v>23.0</v>
      </c>
      <c r="J1402" s="3"/>
      <c r="K1402" s="5"/>
      <c r="L1402" s="6"/>
      <c r="M1402" s="6" t="str">
        <f>IF(D1402&lt;&gt;"",VLOOKUP(H1402,TABLEITEM,3,FALSE),"")</f>
        <v>เพลทเบกเกอร์ 275x220</v>
      </c>
      <c r="N1402" s="7">
        <f>INSTOCK!$I1402*INSTOCK!$K1402</f>
        <v>0</v>
      </c>
      <c r="O1402" s="2"/>
      <c r="P1402" s="2"/>
    </row>
    <row r="1403" ht="18.0" hidden="1" customHeight="1">
      <c r="A1403" s="1"/>
      <c r="B1403" s="3"/>
      <c r="C1403" s="4">
        <v>43580.0</v>
      </c>
      <c r="D1403" s="2" t="s">
        <v>1758</v>
      </c>
      <c r="E1403" s="2"/>
      <c r="F1403" s="3" t="s">
        <v>161</v>
      </c>
      <c r="G1403" s="2" t="s">
        <v>456</v>
      </c>
      <c r="H1403" s="2" t="s">
        <v>656</v>
      </c>
      <c r="I1403" s="3">
        <v>23.0</v>
      </c>
      <c r="J1403" s="3"/>
      <c r="K1403" s="5"/>
      <c r="L1403" s="6"/>
      <c r="M1403" s="6" t="str">
        <f>IF(D1403&lt;&gt;"",VLOOKUP(H1403,TABLEITEM,3,FALSE),"")</f>
        <v>แพลทยึดอุปกรณ์695x690</v>
      </c>
      <c r="N1403" s="7">
        <f>INSTOCK!$I1403*INSTOCK!$K1403</f>
        <v>0</v>
      </c>
      <c r="O1403" s="2"/>
      <c r="P1403" s="2"/>
    </row>
    <row r="1404" ht="18.0" hidden="1" customHeight="1">
      <c r="A1404" s="1"/>
      <c r="B1404" s="3"/>
      <c r="C1404" s="4">
        <v>43580.0</v>
      </c>
      <c r="D1404" s="2" t="s">
        <v>1759</v>
      </c>
      <c r="E1404" s="2"/>
      <c r="F1404" s="3" t="s">
        <v>161</v>
      </c>
      <c r="G1404" s="2" t="s">
        <v>456</v>
      </c>
      <c r="H1404" s="2" t="s">
        <v>540</v>
      </c>
      <c r="I1404" s="3">
        <v>20.0</v>
      </c>
      <c r="J1404" s="3"/>
      <c r="K1404" s="5"/>
      <c r="L1404" s="6"/>
      <c r="M1404" s="6" t="str">
        <f>IF(D1404&lt;&gt;"",VLOOKUP(H1404,TABLEITEM,3,FALSE),"")</f>
        <v>แพลทยึดอุปกรณ์595x690</v>
      </c>
      <c r="N1404" s="7">
        <f>INSTOCK!$I1404*INSTOCK!$K1404</f>
        <v>0</v>
      </c>
      <c r="O1404" s="2"/>
      <c r="P1404" s="2"/>
    </row>
    <row r="1405" ht="18.0" hidden="1" customHeight="1">
      <c r="A1405" s="1"/>
      <c r="B1405" s="3"/>
      <c r="C1405" s="4">
        <v>43580.0</v>
      </c>
      <c r="D1405" s="2" t="s">
        <v>1760</v>
      </c>
      <c r="E1405" s="2"/>
      <c r="F1405" s="3" t="s">
        <v>161</v>
      </c>
      <c r="G1405" s="2" t="s">
        <v>456</v>
      </c>
      <c r="H1405" s="2" t="s">
        <v>503</v>
      </c>
      <c r="I1405" s="3">
        <v>30.0</v>
      </c>
      <c r="J1405" s="3"/>
      <c r="K1405" s="5"/>
      <c r="L1405" s="6"/>
      <c r="M1405" s="6" t="str">
        <f>IF(D1405&lt;&gt;"",VLOOKUP(H1405,TABLEITEM,3,FALSE),"")</f>
        <v>แพลทยึดอุปกรณ์220x700</v>
      </c>
      <c r="N1405" s="7">
        <f>INSTOCK!$I1405*INSTOCK!$K1405</f>
        <v>0</v>
      </c>
      <c r="O1405" s="2"/>
      <c r="P1405" s="2"/>
    </row>
    <row r="1406" ht="18.0" hidden="1" customHeight="1">
      <c r="A1406" s="1"/>
      <c r="B1406" s="3"/>
      <c r="C1406" s="4">
        <v>43580.0</v>
      </c>
      <c r="D1406" s="2" t="s">
        <v>1713</v>
      </c>
      <c r="E1406" s="2"/>
      <c r="F1406" s="3" t="s">
        <v>161</v>
      </c>
      <c r="G1406" s="2" t="s">
        <v>456</v>
      </c>
      <c r="H1406" s="2" t="s">
        <v>620</v>
      </c>
      <c r="I1406" s="3">
        <v>167.0</v>
      </c>
      <c r="J1406" s="3"/>
      <c r="K1406" s="5"/>
      <c r="L1406" s="6"/>
      <c r="M1406" s="6" t="str">
        <f>IF(D1406&lt;&gt;"",VLOOKUP(H1406,TABLEITEM,3,FALSE),"")</f>
        <v>คานต่อโครง3mm 68x45x620</v>
      </c>
      <c r="N1406" s="7">
        <f>INSTOCK!$I1406*INSTOCK!$K1406</f>
        <v>0</v>
      </c>
      <c r="O1406" s="2"/>
      <c r="P1406" s="2"/>
    </row>
    <row r="1407" ht="18.0" hidden="1" customHeight="1">
      <c r="A1407" s="1"/>
      <c r="B1407" s="3"/>
      <c r="C1407" s="4">
        <v>43580.0</v>
      </c>
      <c r="D1407" s="2" t="s">
        <v>1417</v>
      </c>
      <c r="E1407" s="2"/>
      <c r="F1407" s="3" t="s">
        <v>161</v>
      </c>
      <c r="G1407" s="2" t="s">
        <v>456</v>
      </c>
      <c r="H1407" s="2" t="s">
        <v>1761</v>
      </c>
      <c r="I1407" s="3">
        <v>35.0</v>
      </c>
      <c r="J1407" s="3"/>
      <c r="K1407" s="5"/>
      <c r="L1407" s="6"/>
      <c r="M1407" s="6" t="str">
        <f>IF(D1407&lt;&gt;"",VLOOKUP(H1407,TABLEITEM,3,FALSE),"")</f>
        <v>หมวกตู้ 40x875</v>
      </c>
      <c r="N1407" s="7">
        <f>INSTOCK!$I1407*INSTOCK!$K1407</f>
        <v>0</v>
      </c>
      <c r="O1407" s="2"/>
      <c r="P1407" s="2"/>
    </row>
    <row r="1408" ht="18.0" hidden="1" customHeight="1">
      <c r="A1408" s="1"/>
      <c r="B1408" s="3"/>
      <c r="C1408" s="4">
        <v>43578.0</v>
      </c>
      <c r="D1408" s="2" t="s">
        <v>1762</v>
      </c>
      <c r="E1408" s="2" t="s">
        <v>1763</v>
      </c>
      <c r="F1408" s="3" t="s">
        <v>161</v>
      </c>
      <c r="G1408" s="2" t="s">
        <v>202</v>
      </c>
      <c r="H1408" s="2" t="s">
        <v>85</v>
      </c>
      <c r="I1408" s="3">
        <v>300.0</v>
      </c>
      <c r="J1408" s="3" t="s">
        <v>78</v>
      </c>
      <c r="K1408" s="5">
        <v>42.5</v>
      </c>
      <c r="L1408" s="6"/>
      <c r="M1408" s="6" t="str">
        <f>IF(D1408&lt;&gt;"",VLOOKUP(H1408,TABLEITEM,3,FALSE),"")</f>
        <v>เหล็กฉาก 1''1/2'หนา3 มิล</v>
      </c>
      <c r="N1408" s="7">
        <f>INSTOCK!$I1408*INSTOCK!$K1408</f>
        <v>12750</v>
      </c>
      <c r="O1408" s="2" t="s">
        <v>1559</v>
      </c>
      <c r="P1408" s="2"/>
    </row>
    <row r="1409" ht="18.0" hidden="1" customHeight="1">
      <c r="A1409" s="1"/>
      <c r="B1409" s="3"/>
      <c r="C1409" s="4">
        <v>43578.0</v>
      </c>
      <c r="D1409" s="2" t="s">
        <v>1762</v>
      </c>
      <c r="E1409" s="2" t="s">
        <v>1763</v>
      </c>
      <c r="F1409" s="3" t="s">
        <v>161</v>
      </c>
      <c r="G1409" s="2" t="s">
        <v>202</v>
      </c>
      <c r="H1409" s="2" t="s">
        <v>89</v>
      </c>
      <c r="I1409" s="3">
        <v>300.0</v>
      </c>
      <c r="J1409" s="3" t="s">
        <v>78</v>
      </c>
      <c r="K1409" s="5">
        <v>83.3334</v>
      </c>
      <c r="L1409" s="6"/>
      <c r="M1409" s="6" t="str">
        <f>IF(D1409&lt;&gt;"",VLOOKUP(H1409,TABLEITEM,3,FALSE),"")</f>
        <v>เหล็กฉาก 2''หนา5 มิล</v>
      </c>
      <c r="N1409" s="7">
        <f>INSTOCK!$I1409*INSTOCK!$K1409</f>
        <v>25000.02</v>
      </c>
      <c r="O1409" s="2" t="s">
        <v>1764</v>
      </c>
      <c r="P1409" s="2"/>
    </row>
    <row r="1410" ht="18.0" hidden="1" customHeight="1">
      <c r="A1410" s="1"/>
      <c r="B1410" s="3"/>
      <c r="C1410" s="4">
        <v>43581.0</v>
      </c>
      <c r="D1410" s="2" t="s">
        <v>1765</v>
      </c>
      <c r="E1410" s="2">
        <v>6.204000646E9</v>
      </c>
      <c r="F1410" s="3" t="s">
        <v>1766</v>
      </c>
      <c r="G1410" s="2" t="s">
        <v>153</v>
      </c>
      <c r="H1410" s="2" t="s">
        <v>1767</v>
      </c>
      <c r="I1410" s="3">
        <v>6.0</v>
      </c>
      <c r="J1410" s="3" t="s">
        <v>78</v>
      </c>
      <c r="K1410" s="5">
        <v>958.3334</v>
      </c>
      <c r="L1410" s="6"/>
      <c r="M1410" s="6" t="str">
        <f>IF(D1410&lt;&gt;"",VLOOKUP(H1410,TABLEITEM,3,FALSE),"")</f>
        <v>ฉากแสตนเลส 3"x3"x3/8"x6M</v>
      </c>
      <c r="N1410" s="7">
        <f>INSTOCK!$I1410*INSTOCK!$K1410</f>
        <v>5750.0004</v>
      </c>
      <c r="O1410" s="2"/>
      <c r="P1410" s="2"/>
    </row>
    <row r="1411" ht="18.0" hidden="1" customHeight="1">
      <c r="A1411" s="1"/>
      <c r="B1411" s="3"/>
      <c r="C1411" s="4">
        <v>43582.0</v>
      </c>
      <c r="D1411" s="2" t="s">
        <v>1643</v>
      </c>
      <c r="E1411" s="2"/>
      <c r="F1411" s="3" t="s">
        <v>161</v>
      </c>
      <c r="G1411" s="2" t="s">
        <v>456</v>
      </c>
      <c r="H1411" s="2" t="s">
        <v>493</v>
      </c>
      <c r="I1411" s="3">
        <v>180.0</v>
      </c>
      <c r="J1411" s="3"/>
      <c r="K1411" s="5"/>
      <c r="L1411" s="6"/>
      <c r="M1411" s="6" t="str">
        <f>IF(D1411&lt;&gt;"",VLOOKUP(H1411,TABLEITEM,3,FALSE),"")</f>
        <v>เสาเชื่อม2125x40x50</v>
      </c>
      <c r="N1411" s="7">
        <f>INSTOCK!$I1411*INSTOCK!$K1411</f>
        <v>0</v>
      </c>
      <c r="O1411" s="2"/>
      <c r="P1411" s="2"/>
    </row>
    <row r="1412" ht="18.0" hidden="1" customHeight="1">
      <c r="A1412" s="1"/>
      <c r="B1412" s="3"/>
      <c r="C1412" s="4">
        <v>43582.0</v>
      </c>
      <c r="D1412" s="2" t="s">
        <v>1733</v>
      </c>
      <c r="E1412" s="2"/>
      <c r="F1412" s="3" t="s">
        <v>161</v>
      </c>
      <c r="G1412" s="2" t="s">
        <v>456</v>
      </c>
      <c r="H1412" s="2" t="s">
        <v>584</v>
      </c>
      <c r="I1412" s="3">
        <v>32.0</v>
      </c>
      <c r="J1412" s="3"/>
      <c r="K1412" s="5"/>
      <c r="L1412" s="6"/>
      <c r="M1412" s="6" t="str">
        <f>IF(D1412&lt;&gt;"",VLOOKUP(H1412,TABLEITEM,3,FALSE),"")</f>
        <v>ฉากรับเพลท 40x30x1988</v>
      </c>
      <c r="N1412" s="7">
        <f>INSTOCK!$I1412*INSTOCK!$K1412</f>
        <v>0</v>
      </c>
      <c r="O1412" s="2"/>
      <c r="P1412" s="2"/>
    </row>
    <row r="1413" ht="18.0" hidden="1" customHeight="1">
      <c r="A1413" s="1"/>
      <c r="B1413" s="3"/>
      <c r="C1413" s="4">
        <v>43582.0</v>
      </c>
      <c r="D1413" s="2" t="s">
        <v>1733</v>
      </c>
      <c r="E1413" s="2"/>
      <c r="F1413" s="3" t="s">
        <v>161</v>
      </c>
      <c r="G1413" s="2" t="s">
        <v>456</v>
      </c>
      <c r="H1413" s="2" t="s">
        <v>670</v>
      </c>
      <c r="I1413" s="3">
        <v>98.0</v>
      </c>
      <c r="J1413" s="3"/>
      <c r="K1413" s="5"/>
      <c r="L1413" s="6"/>
      <c r="M1413" s="6" t="str">
        <f>IF(D1413&lt;&gt;"",VLOOKUP(H1413,TABLEITEM,3,FALSE),"")</f>
        <v>ฉากรับเพลท 40x30x390</v>
      </c>
      <c r="N1413" s="7">
        <f>INSTOCK!$I1413*INSTOCK!$K1413</f>
        <v>0</v>
      </c>
      <c r="O1413" s="2"/>
      <c r="P1413" s="2"/>
    </row>
    <row r="1414" ht="18.0" hidden="1" customHeight="1">
      <c r="A1414" s="1"/>
      <c r="B1414" s="3"/>
      <c r="C1414" s="4">
        <v>43584.0</v>
      </c>
      <c r="D1414" s="2" t="s">
        <v>1714</v>
      </c>
      <c r="E1414" s="2"/>
      <c r="F1414" s="3" t="s">
        <v>161</v>
      </c>
      <c r="G1414" s="2" t="s">
        <v>456</v>
      </c>
      <c r="H1414" s="2" t="s">
        <v>483</v>
      </c>
      <c r="I1414" s="3">
        <v>44.0</v>
      </c>
      <c r="J1414" s="3"/>
      <c r="K1414" s="5"/>
      <c r="L1414" s="6"/>
      <c r="M1414" s="6" t="str">
        <f>IF(D1414&lt;&gt;"",VLOOKUP(H1414,TABLEITEM,3,FALSE),"")</f>
        <v>คานต่อโครง4รู 68x45x3mmx720</v>
      </c>
      <c r="N1414" s="7">
        <f>INSTOCK!$I1414*INSTOCK!$K1414</f>
        <v>0</v>
      </c>
      <c r="O1414" s="2"/>
      <c r="P1414" s="2"/>
    </row>
    <row r="1415" ht="18.0" hidden="1" customHeight="1">
      <c r="A1415" s="1"/>
      <c r="B1415" s="3"/>
      <c r="C1415" s="4">
        <v>43582.0</v>
      </c>
      <c r="D1415" s="2" t="s">
        <v>1768</v>
      </c>
      <c r="E1415" s="2"/>
      <c r="F1415" s="3" t="s">
        <v>161</v>
      </c>
      <c r="G1415" s="2" t="s">
        <v>1511</v>
      </c>
      <c r="H1415" s="2" t="s">
        <v>961</v>
      </c>
      <c r="I1415" s="3">
        <v>5.0</v>
      </c>
      <c r="J1415" s="3"/>
      <c r="K1415" s="5">
        <v>480.0</v>
      </c>
      <c r="L1415" s="6"/>
      <c r="M1415" s="6" t="str">
        <f>IF(D1415&lt;&gt;"",VLOOKUP(H1415,TABLEITEM,3,FALSE),"")</f>
        <v>กระจกลวด150X230T6.0</v>
      </c>
      <c r="N1415" s="7">
        <f>INSTOCK!$I1415*INSTOCK!$K1415</f>
        <v>2400</v>
      </c>
      <c r="O1415" s="2"/>
      <c r="P1415" s="2"/>
    </row>
    <row r="1416" ht="18.0" hidden="1" customHeight="1">
      <c r="A1416" s="1"/>
      <c r="B1416" s="3"/>
      <c r="C1416" s="4">
        <v>43589.0</v>
      </c>
      <c r="D1416" s="2" t="s">
        <v>1733</v>
      </c>
      <c r="E1416" s="2"/>
      <c r="F1416" s="3" t="s">
        <v>161</v>
      </c>
      <c r="G1416" s="2" t="s">
        <v>456</v>
      </c>
      <c r="H1416" s="2" t="s">
        <v>584</v>
      </c>
      <c r="I1416" s="3">
        <v>36.0</v>
      </c>
      <c r="J1416" s="3"/>
      <c r="K1416" s="5"/>
      <c r="L1416" s="6"/>
      <c r="M1416" s="6" t="str">
        <f>IF(D1416&lt;&gt;"",VLOOKUP(H1416,TABLEITEM,3,FALSE),"")</f>
        <v>ฉากรับเพลท 40x30x1988</v>
      </c>
      <c r="N1416" s="7">
        <f>INSTOCK!$I1416*INSTOCK!$K1416</f>
        <v>0</v>
      </c>
      <c r="O1416" s="2"/>
      <c r="P1416" s="2"/>
    </row>
    <row r="1417" ht="18.0" hidden="1" customHeight="1">
      <c r="A1417" s="1"/>
      <c r="B1417" s="3"/>
      <c r="C1417" s="4">
        <v>43589.0</v>
      </c>
      <c r="D1417" s="2" t="s">
        <v>1733</v>
      </c>
      <c r="E1417" s="2"/>
      <c r="F1417" s="3" t="s">
        <v>161</v>
      </c>
      <c r="G1417" s="2" t="s">
        <v>456</v>
      </c>
      <c r="H1417" s="2" t="s">
        <v>491</v>
      </c>
      <c r="I1417" s="3">
        <v>90.0</v>
      </c>
      <c r="J1417" s="3"/>
      <c r="K1417" s="5"/>
      <c r="L1417" s="6"/>
      <c r="M1417" s="6" t="str">
        <f>IF(D1417&lt;&gt;"",VLOOKUP(H1417,TABLEITEM,3,FALSE),"")</f>
        <v>เสาเสริม 40x50x1988</v>
      </c>
      <c r="N1417" s="7">
        <f>INSTOCK!$I1417*INSTOCK!$K1417</f>
        <v>0</v>
      </c>
      <c r="O1417" s="2"/>
      <c r="P1417" s="2"/>
    </row>
    <row r="1418" ht="18.0" hidden="1" customHeight="1">
      <c r="A1418" s="1"/>
      <c r="B1418" s="3"/>
      <c r="C1418" s="4">
        <v>43587.0</v>
      </c>
      <c r="D1418" s="2" t="s">
        <v>1769</v>
      </c>
      <c r="E1418" s="2">
        <v>6.204000645E9</v>
      </c>
      <c r="F1418" s="3" t="s">
        <v>1770</v>
      </c>
      <c r="G1418" s="2" t="s">
        <v>171</v>
      </c>
      <c r="H1418" s="2" t="s">
        <v>16</v>
      </c>
      <c r="I1418" s="3">
        <v>500.0</v>
      </c>
      <c r="J1418" s="3"/>
      <c r="K1418" s="5">
        <v>541.488</v>
      </c>
      <c r="L1418" s="6"/>
      <c r="M1418" s="6" t="str">
        <f>IF(D1418&lt;&gt;"",VLOOKUP(H1418,TABLEITEM,3,FALSE),"")</f>
        <v>เหล็กแผ่นขาว4'x8'T1.0</v>
      </c>
      <c r="N1418" s="7">
        <f>INSTOCK!$I1418*INSTOCK!$K1418</f>
        <v>270744</v>
      </c>
      <c r="O1418" s="2" t="s">
        <v>1771</v>
      </c>
      <c r="P1418" s="2"/>
    </row>
    <row r="1419" ht="18.0" hidden="1" customHeight="1">
      <c r="A1419" s="1"/>
      <c r="B1419" s="3"/>
      <c r="C1419" s="4">
        <v>43587.0</v>
      </c>
      <c r="D1419" s="2" t="s">
        <v>1772</v>
      </c>
      <c r="E1419" s="2"/>
      <c r="F1419" s="3" t="s">
        <v>161</v>
      </c>
      <c r="G1419" s="2" t="s">
        <v>1511</v>
      </c>
      <c r="H1419" s="2" t="s">
        <v>1350</v>
      </c>
      <c r="I1419" s="3">
        <v>5.0</v>
      </c>
      <c r="J1419" s="3"/>
      <c r="K1419" s="5">
        <v>480.0</v>
      </c>
      <c r="L1419" s="6"/>
      <c r="M1419" s="6" t="str">
        <f>IF(D1419&lt;&gt;"",VLOOKUP(H1419,TABLEITEM,3,FALSE),"")</f>
        <v>กระจกลวด190X290T6.0</v>
      </c>
      <c r="N1419" s="7">
        <f>INSTOCK!$I1419*INSTOCK!$K1419</f>
        <v>2400</v>
      </c>
      <c r="O1419" s="2"/>
      <c r="P1419" s="2"/>
    </row>
    <row r="1420" ht="18.0" hidden="1" customHeight="1">
      <c r="A1420" s="1"/>
      <c r="B1420" s="3"/>
      <c r="C1420" s="4">
        <v>43587.0</v>
      </c>
      <c r="D1420" s="2" t="s">
        <v>1772</v>
      </c>
      <c r="E1420" s="2"/>
      <c r="F1420" s="3" t="s">
        <v>161</v>
      </c>
      <c r="G1420" s="2" t="s">
        <v>1511</v>
      </c>
      <c r="H1420" s="2" t="s">
        <v>1773</v>
      </c>
      <c r="I1420" s="3">
        <v>2.0</v>
      </c>
      <c r="J1420" s="3"/>
      <c r="K1420" s="5">
        <v>850.0</v>
      </c>
      <c r="L1420" s="6"/>
      <c r="M1420" s="6" t="str">
        <f>IF(D1420&lt;&gt;"",VLOOKUP(H1420,TABLEITEM,3,FALSE),"")</f>
        <v>กระจกลวด 250x600 หนา 6.0มิล</v>
      </c>
      <c r="N1420" s="7">
        <f>INSTOCK!$I1420*INSTOCK!$K1420</f>
        <v>1700</v>
      </c>
      <c r="O1420" s="2"/>
      <c r="P1420" s="2"/>
    </row>
    <row r="1421" ht="18.0" hidden="1" customHeight="1">
      <c r="A1421" s="1"/>
      <c r="B1421" s="3"/>
      <c r="C1421" s="4">
        <v>43594.0</v>
      </c>
      <c r="D1421" s="2" t="s">
        <v>1774</v>
      </c>
      <c r="E1421" s="2"/>
      <c r="F1421" s="3" t="s">
        <v>161</v>
      </c>
      <c r="G1421" s="2" t="s">
        <v>456</v>
      </c>
      <c r="H1421" s="2" t="s">
        <v>651</v>
      </c>
      <c r="I1421" s="3">
        <v>49.0</v>
      </c>
      <c r="J1421" s="3"/>
      <c r="K1421" s="5"/>
      <c r="L1421" s="6"/>
      <c r="M1421" s="6" t="str">
        <f>IF(D1421&lt;&gt;"",VLOOKUP(H1421,TABLEITEM,3,FALSE),"")</f>
        <v>แผ่นสไลค์ 350x100</v>
      </c>
      <c r="N1421" s="7">
        <f>INSTOCK!$I1421*INSTOCK!$K1421</f>
        <v>0</v>
      </c>
      <c r="O1421" s="2"/>
      <c r="P1421" s="2"/>
    </row>
    <row r="1422" ht="18.0" hidden="1" customHeight="1">
      <c r="A1422" s="1"/>
      <c r="B1422" s="3"/>
      <c r="C1422" s="4">
        <v>43594.0</v>
      </c>
      <c r="D1422" s="2" t="s">
        <v>1728</v>
      </c>
      <c r="E1422" s="2"/>
      <c r="F1422" s="3" t="s">
        <v>161</v>
      </c>
      <c r="G1422" s="2" t="s">
        <v>456</v>
      </c>
      <c r="H1422" s="2" t="s">
        <v>1775</v>
      </c>
      <c r="I1422" s="3">
        <v>75.0</v>
      </c>
      <c r="J1422" s="3"/>
      <c r="K1422" s="5"/>
      <c r="L1422" s="6"/>
      <c r="M1422" s="6" t="str">
        <f>IF(D1422&lt;&gt;"",VLOOKUP(H1422,TABLEITEM,3,FALSE),"")</f>
        <v>คานเจ 2รู 65x32x704</v>
      </c>
      <c r="N1422" s="7">
        <f>INSTOCK!$I1422*INSTOCK!$K1422</f>
        <v>0</v>
      </c>
      <c r="O1422" s="2"/>
      <c r="P1422" s="2"/>
    </row>
    <row r="1423" ht="18.0" hidden="1" customHeight="1">
      <c r="A1423" s="1"/>
      <c r="B1423" s="3"/>
      <c r="C1423" s="4">
        <v>43594.0</v>
      </c>
      <c r="D1423" s="2" t="s">
        <v>1728</v>
      </c>
      <c r="E1423" s="2"/>
      <c r="F1423" s="3" t="s">
        <v>161</v>
      </c>
      <c r="G1423" s="2" t="s">
        <v>456</v>
      </c>
      <c r="H1423" s="2" t="s">
        <v>578</v>
      </c>
      <c r="I1423" s="3">
        <v>55.0</v>
      </c>
      <c r="J1423" s="3"/>
      <c r="K1423" s="5"/>
      <c r="L1423" s="6"/>
      <c r="M1423" s="6" t="str">
        <f>IF(D1423&lt;&gt;"",VLOOKUP(H1423,TABLEITEM,3,FALSE),"")</f>
        <v>คานเจ 45x32x254</v>
      </c>
      <c r="N1423" s="7">
        <f>INSTOCK!$I1423*INSTOCK!$K1423</f>
        <v>0</v>
      </c>
      <c r="O1423" s="2"/>
      <c r="P1423" s="2"/>
    </row>
    <row r="1424" ht="18.0" hidden="1" customHeight="1">
      <c r="A1424" s="1"/>
      <c r="B1424" s="3"/>
      <c r="C1424" s="4">
        <v>43594.0</v>
      </c>
      <c r="D1424" s="2" t="s">
        <v>1776</v>
      </c>
      <c r="E1424" s="2"/>
      <c r="F1424" s="3" t="s">
        <v>161</v>
      </c>
      <c r="G1424" s="2" t="s">
        <v>456</v>
      </c>
      <c r="H1424" s="2" t="s">
        <v>533</v>
      </c>
      <c r="I1424" s="3">
        <v>106.0</v>
      </c>
      <c r="J1424" s="3"/>
      <c r="K1424" s="5"/>
      <c r="L1424" s="6"/>
      <c r="M1424" s="6" t="str">
        <f>IF(D1424&lt;&gt;"",VLOOKUP(H1424,TABLEITEM,3,FALSE),"")</f>
        <v>ตัวแซดยึดแผ่นพื้น 60x495</v>
      </c>
      <c r="N1424" s="7">
        <f>INSTOCK!$I1424*INSTOCK!$K1424</f>
        <v>0</v>
      </c>
      <c r="O1424" s="2"/>
      <c r="P1424" s="2"/>
    </row>
    <row r="1425" ht="18.0" hidden="1" customHeight="1">
      <c r="A1425" s="1"/>
      <c r="B1425" s="3"/>
      <c r="C1425" s="4">
        <v>43594.0</v>
      </c>
      <c r="D1425" s="2" t="s">
        <v>1777</v>
      </c>
      <c r="E1425" s="2"/>
      <c r="F1425" s="3" t="s">
        <v>161</v>
      </c>
      <c r="G1425" s="2" t="s">
        <v>456</v>
      </c>
      <c r="H1425" s="2" t="s">
        <v>1341</v>
      </c>
      <c r="I1425" s="3">
        <v>107.0</v>
      </c>
      <c r="J1425" s="3"/>
      <c r="K1425" s="5"/>
      <c r="L1425" s="6"/>
      <c r="M1425" s="6" t="str">
        <f>IF(D1425&lt;&gt;"",VLOOKUP(H1425,TABLEITEM,3,FALSE),"")</f>
        <v>แผ่นสไลค์ 170x80</v>
      </c>
      <c r="N1425" s="7">
        <f>INSTOCK!$I1425*INSTOCK!$K1425</f>
        <v>0</v>
      </c>
      <c r="O1425" s="2"/>
      <c r="P1425" s="2"/>
    </row>
    <row r="1426" ht="18.0" hidden="1" customHeight="1">
      <c r="A1426" s="1"/>
      <c r="B1426" s="3"/>
      <c r="C1426" s="4">
        <v>43594.0</v>
      </c>
      <c r="D1426" s="2" t="s">
        <v>1778</v>
      </c>
      <c r="E1426" s="2"/>
      <c r="F1426" s="3" t="s">
        <v>161</v>
      </c>
      <c r="G1426" s="2" t="s">
        <v>456</v>
      </c>
      <c r="H1426" s="2" t="s">
        <v>635</v>
      </c>
      <c r="I1426" s="3">
        <v>69.0</v>
      </c>
      <c r="J1426" s="3"/>
      <c r="K1426" s="5"/>
      <c r="L1426" s="6"/>
      <c r="M1426" s="6" t="str">
        <f>IF(D1426&lt;&gt;"",VLOOKUP(H1426,TABLEITEM,3,FALSE),"")</f>
        <v>แผ่นสไลค์ 150x70</v>
      </c>
      <c r="N1426" s="7">
        <f>INSTOCK!$I1426*INSTOCK!$K1426</f>
        <v>0</v>
      </c>
      <c r="O1426" s="2"/>
      <c r="P1426" s="2"/>
    </row>
    <row r="1427" ht="18.0" hidden="1" customHeight="1">
      <c r="A1427" s="1"/>
      <c r="B1427" s="3"/>
      <c r="C1427" s="4">
        <v>43594.0</v>
      </c>
      <c r="D1427" s="2" t="s">
        <v>1752</v>
      </c>
      <c r="E1427" s="2"/>
      <c r="F1427" s="3" t="s">
        <v>161</v>
      </c>
      <c r="G1427" s="2" t="s">
        <v>456</v>
      </c>
      <c r="H1427" s="2" t="s">
        <v>707</v>
      </c>
      <c r="I1427" s="3">
        <v>22.0</v>
      </c>
      <c r="J1427" s="3"/>
      <c r="K1427" s="5"/>
      <c r="L1427" s="6"/>
      <c r="M1427" s="6" t="str">
        <f>IF(D1427&lt;&gt;"",VLOOKUP(H1427,TABLEITEM,3,FALSE),"")</f>
        <v>ฝาข้าง-ฝาหลัง 1875x320</v>
      </c>
      <c r="N1427" s="7">
        <f>INSTOCK!$I1427*INSTOCK!$K1427</f>
        <v>0</v>
      </c>
      <c r="O1427" s="2"/>
      <c r="P1427" s="2"/>
    </row>
    <row r="1428" ht="18.0" hidden="1" customHeight="1">
      <c r="A1428" s="1"/>
      <c r="B1428" s="3"/>
      <c r="C1428" s="4">
        <v>43594.0</v>
      </c>
      <c r="D1428" s="2" t="s">
        <v>1779</v>
      </c>
      <c r="E1428" s="2"/>
      <c r="F1428" s="3" t="s">
        <v>161</v>
      </c>
      <c r="G1428" s="2" t="s">
        <v>456</v>
      </c>
      <c r="H1428" s="2" t="s">
        <v>501</v>
      </c>
      <c r="I1428" s="3">
        <v>203.0</v>
      </c>
      <c r="J1428" s="3"/>
      <c r="K1428" s="5"/>
      <c r="L1428" s="6"/>
      <c r="M1428" s="6" t="str">
        <f>IF(D1428&lt;&gt;"",VLOOKUP(H1428,TABLEITEM,3,FALSE),"")</f>
        <v>คานฝาหน้า 50x22x270</v>
      </c>
      <c r="N1428" s="7">
        <f>INSTOCK!$I1428*INSTOCK!$K1428</f>
        <v>0</v>
      </c>
      <c r="O1428" s="2"/>
      <c r="P1428" s="2"/>
    </row>
    <row r="1429" ht="18.0" hidden="1" customHeight="1">
      <c r="A1429" s="1"/>
      <c r="B1429" s="3"/>
      <c r="C1429" s="4">
        <v>43594.0</v>
      </c>
      <c r="D1429" s="2" t="s">
        <v>1734</v>
      </c>
      <c r="E1429" s="2"/>
      <c r="F1429" s="3" t="s">
        <v>161</v>
      </c>
      <c r="G1429" s="2" t="s">
        <v>456</v>
      </c>
      <c r="H1429" s="2" t="s">
        <v>511</v>
      </c>
      <c r="I1429" s="3">
        <v>91.0</v>
      </c>
      <c r="J1429" s="3"/>
      <c r="K1429" s="5"/>
      <c r="L1429" s="6"/>
      <c r="M1429" s="6" t="str">
        <f>IF(D1429&lt;&gt;"",VLOOKUP(H1429,TABLEITEM,3,FALSE),"")</f>
        <v>เสาเสริม 40x50x1788</v>
      </c>
      <c r="N1429" s="7">
        <f>INSTOCK!$I1429*INSTOCK!$K1429</f>
        <v>0</v>
      </c>
      <c r="O1429" s="2"/>
      <c r="P1429" s="2"/>
    </row>
    <row r="1430" ht="18.0" hidden="1" customHeight="1">
      <c r="A1430" s="1"/>
      <c r="B1430" s="3"/>
      <c r="C1430" s="4">
        <v>43592.0</v>
      </c>
      <c r="D1430" s="2" t="s">
        <v>1780</v>
      </c>
      <c r="E1430" s="2">
        <v>6.205000675E9</v>
      </c>
      <c r="F1430" s="3" t="s">
        <v>1770</v>
      </c>
      <c r="G1430" s="2" t="s">
        <v>171</v>
      </c>
      <c r="H1430" s="2" t="s">
        <v>19</v>
      </c>
      <c r="I1430" s="3">
        <v>300.0</v>
      </c>
      <c r="J1430" s="3"/>
      <c r="K1430" s="5">
        <v>866.1334</v>
      </c>
      <c r="L1430" s="6"/>
      <c r="M1430" s="6" t="str">
        <f>IF(D1430&lt;&gt;"",VLOOKUP(H1430,TABLEITEM,3,FALSE),"")</f>
        <v>เหล็กแผ่นขาว4'x8'T1.6</v>
      </c>
      <c r="N1430" s="7">
        <f>INSTOCK!$I1430*INSTOCK!$K1430</f>
        <v>259840.02</v>
      </c>
      <c r="O1430" s="2" t="s">
        <v>1781</v>
      </c>
      <c r="P1430" s="2"/>
    </row>
    <row r="1431" ht="18.0" hidden="1" customHeight="1">
      <c r="A1431" s="1"/>
      <c r="B1431" s="3"/>
      <c r="C1431" s="4">
        <v>43587.0</v>
      </c>
      <c r="D1431" s="2" t="s">
        <v>1782</v>
      </c>
      <c r="E1431" s="2">
        <v>6.204000614E9</v>
      </c>
      <c r="F1431" s="3" t="s">
        <v>161</v>
      </c>
      <c r="G1431" s="2" t="s">
        <v>171</v>
      </c>
      <c r="H1431" s="2" t="s">
        <v>25</v>
      </c>
      <c r="I1431" s="3">
        <v>200.0</v>
      </c>
      <c r="J1431" s="3"/>
      <c r="K1431" s="5">
        <v>1726.92</v>
      </c>
      <c r="L1431" s="6"/>
      <c r="M1431" s="6" t="str">
        <f>IF(D1431&lt;&gt;"",VLOOKUP(H1431,TABLEITEM,3,FALSE),"")</f>
        <v>เหล็กแผ่นขาว4'x8'T3.0</v>
      </c>
      <c r="N1431" s="7">
        <f>INSTOCK!$I1431*INSTOCK!$K1431</f>
        <v>345384</v>
      </c>
      <c r="O1431" s="2"/>
      <c r="P1431" s="2"/>
    </row>
    <row r="1432" ht="18.0" hidden="1" customHeight="1">
      <c r="A1432" s="1"/>
      <c r="B1432" s="3"/>
      <c r="C1432" s="4">
        <v>43588.0</v>
      </c>
      <c r="D1432" s="2" t="s">
        <v>1783</v>
      </c>
      <c r="E1432" s="2">
        <v>6.204000614E9</v>
      </c>
      <c r="F1432" s="3" t="s">
        <v>161</v>
      </c>
      <c r="G1432" s="2" t="s">
        <v>171</v>
      </c>
      <c r="H1432" s="2" t="s">
        <v>17</v>
      </c>
      <c r="I1432" s="3">
        <v>150.0</v>
      </c>
      <c r="J1432" s="3"/>
      <c r="K1432" s="5">
        <v>6498.1227</v>
      </c>
      <c r="L1432" s="6"/>
      <c r="M1432" s="6" t="str">
        <f>IF(D1432&lt;&gt;"",VLOOKUP(H1432,TABLEITEM,3,FALSE),"")</f>
        <v>เหล็กแผ่นขาว4'x8'T1.2</v>
      </c>
      <c r="N1432" s="7">
        <f>INSTOCK!$I1432*INSTOCK!$K1432</f>
        <v>974718.405</v>
      </c>
      <c r="O1432" s="2"/>
      <c r="P1432" s="2"/>
    </row>
    <row r="1433" ht="18.0" hidden="1" customHeight="1">
      <c r="A1433" s="1"/>
      <c r="B1433" s="3"/>
      <c r="C1433" s="4">
        <v>43593.0</v>
      </c>
      <c r="D1433" s="2" t="s">
        <v>1784</v>
      </c>
      <c r="E1433" s="2">
        <v>6.205000676E9</v>
      </c>
      <c r="F1433" s="3" t="s">
        <v>161</v>
      </c>
      <c r="G1433" s="2" t="s">
        <v>202</v>
      </c>
      <c r="H1433" s="2" t="s">
        <v>85</v>
      </c>
      <c r="I1433" s="3">
        <v>600.0</v>
      </c>
      <c r="J1433" s="3" t="s">
        <v>78</v>
      </c>
      <c r="K1433" s="5">
        <v>42.5</v>
      </c>
      <c r="L1433" s="6"/>
      <c r="M1433" s="6" t="str">
        <f>IF(D1433&lt;&gt;"",VLOOKUP(H1433,TABLEITEM,3,FALSE),"")</f>
        <v>เหล็กฉาก 1''1/2'หนา3 มิล</v>
      </c>
      <c r="N1433" s="7">
        <f>INSTOCK!$I1433*INSTOCK!$K1433</f>
        <v>25500</v>
      </c>
      <c r="O1433" s="2" t="s">
        <v>1785</v>
      </c>
      <c r="P1433" s="2"/>
    </row>
    <row r="1434" ht="18.0" hidden="1" customHeight="1">
      <c r="A1434" s="1"/>
      <c r="B1434" s="3"/>
      <c r="C1434" s="4">
        <v>43588.0</v>
      </c>
      <c r="D1434" s="2" t="s">
        <v>1786</v>
      </c>
      <c r="E1434" s="2">
        <v>6.204000673E9</v>
      </c>
      <c r="F1434" s="3" t="s">
        <v>1770</v>
      </c>
      <c r="G1434" s="2" t="s">
        <v>153</v>
      </c>
      <c r="H1434" s="2" t="s">
        <v>1474</v>
      </c>
      <c r="I1434" s="3">
        <v>2820.0</v>
      </c>
      <c r="J1434" s="3" t="s">
        <v>78</v>
      </c>
      <c r="K1434" s="5">
        <v>46.6667</v>
      </c>
      <c r="L1434" s="6"/>
      <c r="M1434" s="6" t="str">
        <f>IF(D1434&lt;&gt;"",VLOOKUP(H1434,TABLEITEM,3,FALSE),"")</f>
        <v>เหล็กกล่อง 2" หนา 1.2 มิล</v>
      </c>
      <c r="N1434" s="7">
        <f>INSTOCK!$I1434*INSTOCK!$K1434</f>
        <v>131600.094</v>
      </c>
      <c r="O1434" s="2" t="s">
        <v>1787</v>
      </c>
      <c r="P1434" s="2"/>
    </row>
    <row r="1435" ht="18.0" hidden="1" customHeight="1">
      <c r="A1435" s="1"/>
      <c r="B1435" s="3"/>
      <c r="C1435" s="4">
        <v>43596.0</v>
      </c>
      <c r="D1435" s="2" t="s">
        <v>1776</v>
      </c>
      <c r="E1435" s="2"/>
      <c r="F1435" s="3" t="s">
        <v>161</v>
      </c>
      <c r="G1435" s="2" t="s">
        <v>456</v>
      </c>
      <c r="H1435" s="2" t="s">
        <v>530</v>
      </c>
      <c r="I1435" s="3">
        <v>50.0</v>
      </c>
      <c r="J1435" s="3"/>
      <c r="K1435" s="5"/>
      <c r="L1435" s="6"/>
      <c r="M1435" s="6" t="str">
        <f>IF(D1435&lt;&gt;"",VLOOKUP(H1435,TABLEITEM,3,FALSE),"")</f>
        <v>ฉากสามเหลี่ยม70x70x45</v>
      </c>
      <c r="N1435" s="7">
        <f>INSTOCK!$I1435*INSTOCK!$K1435</f>
        <v>0</v>
      </c>
      <c r="O1435" s="2"/>
      <c r="P1435" s="2"/>
    </row>
    <row r="1436" ht="18.0" hidden="1" customHeight="1">
      <c r="A1436" s="1"/>
      <c r="B1436" s="3"/>
      <c r="C1436" s="4">
        <v>43596.0</v>
      </c>
      <c r="D1436" s="2" t="s">
        <v>1733</v>
      </c>
      <c r="E1436" s="2"/>
      <c r="F1436" s="3" t="s">
        <v>161</v>
      </c>
      <c r="G1436" s="2" t="s">
        <v>456</v>
      </c>
      <c r="H1436" s="2" t="s">
        <v>637</v>
      </c>
      <c r="I1436" s="3">
        <v>17.0</v>
      </c>
      <c r="J1436" s="3"/>
      <c r="K1436" s="5"/>
      <c r="L1436" s="6"/>
      <c r="M1436" s="6" t="str">
        <f>IF(D1436&lt;&gt;"",VLOOKUP(H1436,TABLEITEM,3,FALSE),"")</f>
        <v>ฉากรับกุญแจ 40x30x1963</v>
      </c>
      <c r="N1436" s="7">
        <f>INSTOCK!$I1436*INSTOCK!$K1436</f>
        <v>0</v>
      </c>
      <c r="O1436" s="2"/>
      <c r="P1436" s="2"/>
    </row>
    <row r="1437" ht="18.0" hidden="1" customHeight="1">
      <c r="A1437" s="1"/>
      <c r="B1437" s="3"/>
      <c r="C1437" s="4">
        <v>43596.0</v>
      </c>
      <c r="D1437" s="2" t="s">
        <v>1788</v>
      </c>
      <c r="E1437" s="2"/>
      <c r="F1437" s="3" t="s">
        <v>161</v>
      </c>
      <c r="G1437" s="2" t="s">
        <v>456</v>
      </c>
      <c r="H1437" s="2" t="s">
        <v>550</v>
      </c>
      <c r="I1437" s="3">
        <v>166.0</v>
      </c>
      <c r="J1437" s="3"/>
      <c r="K1437" s="5"/>
      <c r="L1437" s="6"/>
      <c r="M1437" s="6" t="str">
        <f>IF(D1437&lt;&gt;"",VLOOKUP(H1437,TABLEITEM,3,FALSE),"")</f>
        <v>ฉากตัวZ รับแผ่นกั้น50x34x29</v>
      </c>
      <c r="N1437" s="7">
        <f>INSTOCK!$I1437*INSTOCK!$K1437</f>
        <v>0</v>
      </c>
      <c r="O1437" s="2"/>
      <c r="P1437" s="2"/>
    </row>
    <row r="1438" ht="18.0" hidden="1" customHeight="1">
      <c r="A1438" s="1"/>
      <c r="B1438" s="3"/>
      <c r="C1438" s="4">
        <v>43596.0</v>
      </c>
      <c r="D1438" s="2" t="s">
        <v>1789</v>
      </c>
      <c r="E1438" s="2"/>
      <c r="F1438" s="3" t="s">
        <v>161</v>
      </c>
      <c r="G1438" s="2" t="s">
        <v>456</v>
      </c>
      <c r="H1438" s="2" t="s">
        <v>1790</v>
      </c>
      <c r="I1438" s="3">
        <v>50.0</v>
      </c>
      <c r="J1438" s="3"/>
      <c r="K1438" s="5"/>
      <c r="L1438" s="6"/>
      <c r="M1438" s="6" t="str">
        <f>IF(D1438&lt;&gt;"",VLOOKUP(H1438,TABLEITEM,3,FALSE),"")</f>
        <v>คานต่อโครง3mm68x45x725</v>
      </c>
      <c r="N1438" s="7">
        <f>INSTOCK!$I1438*INSTOCK!$K1438</f>
        <v>0</v>
      </c>
      <c r="O1438" s="2"/>
      <c r="P1438" s="2"/>
    </row>
    <row r="1439" ht="18.0" hidden="1" customHeight="1">
      <c r="A1439" s="1"/>
      <c r="B1439" s="3"/>
      <c r="C1439" s="4">
        <v>43596.0</v>
      </c>
      <c r="D1439" s="2" t="s">
        <v>1789</v>
      </c>
      <c r="E1439" s="2"/>
      <c r="F1439" s="3" t="s">
        <v>161</v>
      </c>
      <c r="G1439" s="2" t="s">
        <v>456</v>
      </c>
      <c r="H1439" s="2" t="s">
        <v>1265</v>
      </c>
      <c r="I1439" s="3">
        <v>20.0</v>
      </c>
      <c r="J1439" s="3"/>
      <c r="K1439" s="5"/>
      <c r="L1439" s="6"/>
      <c r="M1439" s="6" t="str">
        <f>IF(D1439&lt;&gt;"",VLOOKUP(H1439,TABLEITEM,3,FALSE),"")</f>
        <v>คานต่อโครง68x45x926</v>
      </c>
      <c r="N1439" s="7">
        <f>INSTOCK!$I1439*INSTOCK!$K1439</f>
        <v>0</v>
      </c>
      <c r="O1439" s="2"/>
      <c r="P1439" s="2"/>
    </row>
    <row r="1440" ht="18.0" hidden="1" customHeight="1">
      <c r="A1440" s="1"/>
      <c r="B1440" s="3"/>
      <c r="C1440" s="4">
        <v>43596.0</v>
      </c>
      <c r="D1440" s="2" t="s">
        <v>1791</v>
      </c>
      <c r="E1440" s="2"/>
      <c r="F1440" s="3" t="s">
        <v>161</v>
      </c>
      <c r="G1440" s="2" t="s">
        <v>456</v>
      </c>
      <c r="H1440" s="2" t="s">
        <v>1792</v>
      </c>
      <c r="I1440" s="3">
        <v>20.0</v>
      </c>
      <c r="J1440" s="3"/>
      <c r="K1440" s="5"/>
      <c r="L1440" s="6"/>
      <c r="M1440" s="6" t="str">
        <f>IF(D1440&lt;&gt;"",VLOOKUP(H1440,TABLEITEM,3,FALSE),"")</f>
        <v>เพลทเบกเกอร์ 514x140</v>
      </c>
      <c r="N1440" s="7">
        <f>INSTOCK!$I1440*INSTOCK!$K1440</f>
        <v>0</v>
      </c>
      <c r="O1440" s="2"/>
      <c r="P1440" s="2"/>
    </row>
    <row r="1441" ht="18.0" hidden="1" customHeight="1">
      <c r="A1441" s="1"/>
      <c r="B1441" s="3"/>
      <c r="C1441" s="4">
        <v>43596.0</v>
      </c>
      <c r="D1441" s="2" t="s">
        <v>1791</v>
      </c>
      <c r="E1441" s="2"/>
      <c r="F1441" s="3" t="s">
        <v>161</v>
      </c>
      <c r="G1441" s="2" t="s">
        <v>456</v>
      </c>
      <c r="H1441" s="2" t="s">
        <v>705</v>
      </c>
      <c r="I1441" s="3">
        <v>20.0</v>
      </c>
      <c r="J1441" s="3"/>
      <c r="K1441" s="5"/>
      <c r="L1441" s="6"/>
      <c r="M1441" s="6" t="str">
        <f>IF(D1441&lt;&gt;"",VLOOKUP(H1441,TABLEITEM,3,FALSE),"")</f>
        <v>เพลทเบกเกอร์ 614x140</v>
      </c>
      <c r="N1441" s="7">
        <f>INSTOCK!$I1441*INSTOCK!$K1441</f>
        <v>0</v>
      </c>
      <c r="O1441" s="2"/>
      <c r="P1441" s="2"/>
    </row>
    <row r="1442" ht="18.0" hidden="1" customHeight="1">
      <c r="A1442" s="1"/>
      <c r="B1442" s="3"/>
      <c r="C1442" s="4">
        <v>43596.0</v>
      </c>
      <c r="D1442" s="2" t="s">
        <v>1793</v>
      </c>
      <c r="E1442" s="2"/>
      <c r="F1442" s="3" t="s">
        <v>161</v>
      </c>
      <c r="G1442" s="2" t="s">
        <v>456</v>
      </c>
      <c r="H1442" s="2" t="s">
        <v>715</v>
      </c>
      <c r="I1442" s="3">
        <v>164.0</v>
      </c>
      <c r="J1442" s="3"/>
      <c r="K1442" s="5"/>
      <c r="L1442" s="6"/>
      <c r="M1442" s="6" t="str">
        <f>IF(D1442&lt;&gt;"",VLOOKUP(H1442,TABLEITEM,3,FALSE),"")</f>
        <v>คานต่อโครง3mm 68x45x820</v>
      </c>
      <c r="N1442" s="7">
        <f>INSTOCK!$I1442*INSTOCK!$K1442</f>
        <v>0</v>
      </c>
      <c r="O1442" s="2"/>
      <c r="P1442" s="2"/>
    </row>
    <row r="1443" ht="18.0" hidden="1" customHeight="1">
      <c r="A1443" s="1"/>
      <c r="B1443" s="3"/>
      <c r="C1443" s="4">
        <v>43596.0</v>
      </c>
      <c r="D1443" s="2" t="s">
        <v>1714</v>
      </c>
      <c r="E1443" s="2"/>
      <c r="F1443" s="3" t="s">
        <v>161</v>
      </c>
      <c r="G1443" s="2" t="s">
        <v>456</v>
      </c>
      <c r="H1443" s="2" t="s">
        <v>484</v>
      </c>
      <c r="I1443" s="3">
        <v>221.0</v>
      </c>
      <c r="J1443" s="3"/>
      <c r="K1443" s="5"/>
      <c r="L1443" s="6"/>
      <c r="M1443" s="6" t="str">
        <f>IF(D1443&lt;&gt;"",VLOOKUP(H1443,TABLEITEM,3,FALSE),"")</f>
        <v>คานต่อโครง3mm 68x45x720</v>
      </c>
      <c r="N1443" s="7">
        <f>INSTOCK!$I1443*INSTOCK!$K1443</f>
        <v>0</v>
      </c>
      <c r="O1443" s="2"/>
      <c r="P1443" s="2"/>
    </row>
    <row r="1444" ht="18.0" hidden="1" customHeight="1">
      <c r="A1444" s="1"/>
      <c r="B1444" s="3"/>
      <c r="C1444" s="4">
        <v>43596.0</v>
      </c>
      <c r="D1444" s="2" t="s">
        <v>1713</v>
      </c>
      <c r="E1444" s="2"/>
      <c r="F1444" s="3" t="s">
        <v>161</v>
      </c>
      <c r="G1444" s="2" t="s">
        <v>456</v>
      </c>
      <c r="H1444" s="2" t="s">
        <v>620</v>
      </c>
      <c r="I1444" s="3">
        <v>63.0</v>
      </c>
      <c r="J1444" s="3"/>
      <c r="K1444" s="5"/>
      <c r="L1444" s="6"/>
      <c r="M1444" s="6" t="str">
        <f>IF(D1444&lt;&gt;"",VLOOKUP(H1444,TABLEITEM,3,FALSE),"")</f>
        <v>คานต่อโครง3mm 68x45x620</v>
      </c>
      <c r="N1444" s="7">
        <f>INSTOCK!$I1444*INSTOCK!$K1444</f>
        <v>0</v>
      </c>
      <c r="O1444" s="2"/>
      <c r="P1444" s="2"/>
    </row>
    <row r="1445" ht="18.0" hidden="1" customHeight="1">
      <c r="A1445" s="1"/>
      <c r="B1445" s="3"/>
      <c r="C1445" s="4">
        <v>43596.0</v>
      </c>
      <c r="D1445" s="2" t="s">
        <v>1794</v>
      </c>
      <c r="E1445" s="2"/>
      <c r="F1445" s="3" t="s">
        <v>161</v>
      </c>
      <c r="G1445" s="2" t="s">
        <v>456</v>
      </c>
      <c r="H1445" s="2" t="s">
        <v>1126</v>
      </c>
      <c r="I1445" s="3">
        <v>54.0</v>
      </c>
      <c r="J1445" s="3"/>
      <c r="K1445" s="5"/>
      <c r="L1445" s="6"/>
      <c r="M1445" s="6" t="str">
        <f>IF(D1445&lt;&gt;"",VLOOKUP(H1445,TABLEITEM,3,FALSE),"")</f>
        <v>คานรับลูกถ้วย 50x40x520</v>
      </c>
      <c r="N1445" s="7">
        <f>INSTOCK!$I1445*INSTOCK!$K1445</f>
        <v>0</v>
      </c>
      <c r="O1445" s="2"/>
      <c r="P1445" s="2"/>
    </row>
    <row r="1446" ht="18.0" hidden="1" customHeight="1">
      <c r="A1446" s="1"/>
      <c r="B1446" s="3"/>
      <c r="C1446" s="4">
        <v>43596.0</v>
      </c>
      <c r="D1446" s="2" t="s">
        <v>1794</v>
      </c>
      <c r="E1446" s="2"/>
      <c r="F1446" s="3" t="s">
        <v>161</v>
      </c>
      <c r="G1446" s="2" t="s">
        <v>456</v>
      </c>
      <c r="H1446" s="2" t="s">
        <v>582</v>
      </c>
      <c r="I1446" s="3">
        <v>21.0</v>
      </c>
      <c r="J1446" s="3"/>
      <c r="K1446" s="5"/>
      <c r="L1446" s="6"/>
      <c r="M1446" s="6" t="str">
        <f>IF(D1446&lt;&gt;"",VLOOKUP(H1446,TABLEITEM,3,FALSE),"")</f>
        <v>คานรับลูกถ้วย 50x40x720</v>
      </c>
      <c r="N1446" s="7">
        <f>INSTOCK!$I1446*INSTOCK!$K1446</f>
        <v>0</v>
      </c>
      <c r="O1446" s="2"/>
      <c r="P1446" s="2"/>
    </row>
    <row r="1447" ht="18.0" hidden="1" customHeight="1">
      <c r="A1447" s="1"/>
      <c r="B1447" s="3"/>
      <c r="C1447" s="4">
        <v>43596.0</v>
      </c>
      <c r="D1447" s="2" t="s">
        <v>1795</v>
      </c>
      <c r="E1447" s="2"/>
      <c r="F1447" s="3" t="s">
        <v>161</v>
      </c>
      <c r="G1447" s="2" t="s">
        <v>456</v>
      </c>
      <c r="H1447" s="2" t="s">
        <v>1796</v>
      </c>
      <c r="I1447" s="3">
        <v>20.0</v>
      </c>
      <c r="J1447" s="3"/>
      <c r="K1447" s="5"/>
      <c r="L1447" s="6"/>
      <c r="M1447" s="6" t="str">
        <f>IF(D1447&lt;&gt;"",VLOOKUP(H1447,TABLEITEM,3,FALSE),"")</f>
        <v>แพลทยึดอุปกรณ์345x450</v>
      </c>
      <c r="N1447" s="7">
        <f>INSTOCK!$I1447*INSTOCK!$K1447</f>
        <v>0</v>
      </c>
      <c r="O1447" s="2"/>
      <c r="P1447" s="2"/>
    </row>
    <row r="1448" ht="18.0" hidden="1" customHeight="1">
      <c r="A1448" s="1"/>
      <c r="B1448" s="3"/>
      <c r="C1448" s="4">
        <v>43596.0</v>
      </c>
      <c r="D1448" s="2" t="s">
        <v>1795</v>
      </c>
      <c r="E1448" s="2"/>
      <c r="F1448" s="3" t="s">
        <v>161</v>
      </c>
      <c r="G1448" s="2" t="s">
        <v>456</v>
      </c>
      <c r="H1448" s="2" t="s">
        <v>505</v>
      </c>
      <c r="I1448" s="3">
        <v>21.0</v>
      </c>
      <c r="J1448" s="3"/>
      <c r="K1448" s="5"/>
      <c r="L1448" s="6"/>
      <c r="M1448" s="6" t="str">
        <f>IF(D1448&lt;&gt;"",VLOOKUP(H1448,TABLEITEM,3,FALSE),"")</f>
        <v>แพลทยึดอุปกรณ์695x450</v>
      </c>
      <c r="N1448" s="7">
        <f>INSTOCK!$I1448*INSTOCK!$K1448</f>
        <v>0</v>
      </c>
      <c r="O1448" s="2"/>
      <c r="P1448" s="2"/>
    </row>
    <row r="1449" ht="18.0" hidden="1" customHeight="1">
      <c r="A1449" s="1"/>
      <c r="B1449" s="3"/>
      <c r="C1449" s="4">
        <v>43594.0</v>
      </c>
      <c r="D1449" s="2" t="s">
        <v>1797</v>
      </c>
      <c r="E1449" s="2"/>
      <c r="F1449" s="3" t="s">
        <v>1798</v>
      </c>
      <c r="G1449" s="2" t="s">
        <v>953</v>
      </c>
      <c r="H1449" s="2" t="s">
        <v>961</v>
      </c>
      <c r="I1449" s="3">
        <v>10.0</v>
      </c>
      <c r="J1449" s="3"/>
      <c r="K1449" s="5">
        <v>300.0</v>
      </c>
      <c r="L1449" s="6"/>
      <c r="M1449" s="6" t="str">
        <f>IF(D1449&lt;&gt;"",VLOOKUP(H1449,TABLEITEM,3,FALSE),"")</f>
        <v>กระจกลวด150X230T6.0</v>
      </c>
      <c r="N1449" s="7">
        <f>INSTOCK!$I1449*INSTOCK!$K1449</f>
        <v>3000</v>
      </c>
      <c r="O1449" s="2"/>
      <c r="P1449" s="2"/>
    </row>
    <row r="1450" ht="18.0" hidden="1" customHeight="1">
      <c r="A1450" s="1"/>
      <c r="B1450" s="3"/>
      <c r="C1450" s="4">
        <v>43594.0</v>
      </c>
      <c r="D1450" s="2" t="s">
        <v>1797</v>
      </c>
      <c r="E1450" s="2"/>
      <c r="F1450" s="3" t="s">
        <v>161</v>
      </c>
      <c r="G1450" s="2" t="s">
        <v>953</v>
      </c>
      <c r="H1450" s="2" t="s">
        <v>1350</v>
      </c>
      <c r="I1450" s="3">
        <v>10.0</v>
      </c>
      <c r="J1450" s="3"/>
      <c r="K1450" s="5">
        <v>450.0</v>
      </c>
      <c r="L1450" s="6"/>
      <c r="M1450" s="6" t="str">
        <f>IF(D1450&lt;&gt;"",VLOOKUP(H1450,TABLEITEM,3,FALSE),"")</f>
        <v>กระจกลวด190X290T6.0</v>
      </c>
      <c r="N1450" s="7">
        <f>INSTOCK!$I1450*INSTOCK!$K1450</f>
        <v>4500</v>
      </c>
      <c r="O1450" s="2"/>
      <c r="P1450" s="2"/>
    </row>
    <row r="1451" ht="18.0" hidden="1" customHeight="1">
      <c r="A1451" s="1"/>
      <c r="B1451" s="3"/>
      <c r="C1451" s="4">
        <v>43593.0</v>
      </c>
      <c r="D1451" s="2" t="s">
        <v>1799</v>
      </c>
      <c r="E1451" s="2">
        <v>6.205000675E9</v>
      </c>
      <c r="F1451" s="3" t="s">
        <v>161</v>
      </c>
      <c r="G1451" s="2" t="s">
        <v>171</v>
      </c>
      <c r="H1451" s="2" t="s">
        <v>21</v>
      </c>
      <c r="I1451" s="3">
        <v>200.0</v>
      </c>
      <c r="J1451" s="3"/>
      <c r="K1451" s="5">
        <v>1093.25</v>
      </c>
      <c r="L1451" s="6"/>
      <c r="M1451" s="6" t="str">
        <f>IF(D1451&lt;&gt;"",VLOOKUP(H1451,TABLEITEM,3,FALSE),"")</f>
        <v>เหล็กแผ่นขาว4'x8'T2.0</v>
      </c>
      <c r="N1451" s="7">
        <f>INSTOCK!$I1451*INSTOCK!$K1451</f>
        <v>218650</v>
      </c>
      <c r="O1451" s="2"/>
      <c r="P1451" s="2"/>
    </row>
    <row r="1452" ht="18.0" hidden="1" customHeight="1">
      <c r="A1452" s="1"/>
      <c r="B1452" s="3"/>
      <c r="C1452" s="4">
        <v>43593.0</v>
      </c>
      <c r="D1452" s="2" t="s">
        <v>1799</v>
      </c>
      <c r="E1452" s="2">
        <v>6.205000675E9</v>
      </c>
      <c r="F1452" s="3" t="s">
        <v>161</v>
      </c>
      <c r="G1452" s="2" t="s">
        <v>171</v>
      </c>
      <c r="H1452" s="2" t="s">
        <v>19</v>
      </c>
      <c r="I1452" s="3">
        <v>100.0</v>
      </c>
      <c r="J1452" s="3"/>
      <c r="K1452" s="5">
        <v>1063.95</v>
      </c>
      <c r="L1452" s="6"/>
      <c r="M1452" s="6" t="str">
        <f>IF(D1452&lt;&gt;"",VLOOKUP(H1452,TABLEITEM,3,FALSE),"")</f>
        <v>เหล็กแผ่นขาว4'x8'T1.6</v>
      </c>
      <c r="N1452" s="7">
        <f>INSTOCK!$I1452*INSTOCK!$K1452</f>
        <v>106395</v>
      </c>
      <c r="O1452" s="2"/>
      <c r="P1452" s="2"/>
    </row>
    <row r="1453" ht="18.0" hidden="1" customHeight="1">
      <c r="A1453" s="1"/>
      <c r="B1453" s="3"/>
      <c r="C1453" s="4">
        <v>43594.0</v>
      </c>
      <c r="D1453" s="2" t="s">
        <v>1800</v>
      </c>
      <c r="E1453" s="2">
        <v>6.205000698E9</v>
      </c>
      <c r="F1453" s="3" t="s">
        <v>161</v>
      </c>
      <c r="G1453" s="2" t="s">
        <v>153</v>
      </c>
      <c r="H1453" s="2" t="s">
        <v>107</v>
      </c>
      <c r="I1453" s="3">
        <v>800.0</v>
      </c>
      <c r="J1453" s="3" t="s">
        <v>78</v>
      </c>
      <c r="K1453" s="5">
        <v>13.0</v>
      </c>
      <c r="L1453" s="6"/>
      <c r="M1453" s="6" t="str">
        <f>IF(D1453&lt;&gt;"",VLOOKUP(H1453,TABLEITEM,3,FALSE),"")</f>
        <v>เหล็กเพลากลม 8มิล</v>
      </c>
      <c r="N1453" s="7">
        <f>INSTOCK!$I1453*INSTOCK!$K1453</f>
        <v>10400</v>
      </c>
      <c r="O1453" s="2" t="s">
        <v>1801</v>
      </c>
      <c r="P1453" s="2"/>
    </row>
    <row r="1454" ht="18.0" hidden="1" customHeight="1">
      <c r="A1454" s="1"/>
      <c r="B1454" s="3"/>
      <c r="C1454" s="4">
        <v>43594.0</v>
      </c>
      <c r="D1454" s="2" t="s">
        <v>1800</v>
      </c>
      <c r="E1454" s="2">
        <v>6.205000698E9</v>
      </c>
      <c r="F1454" s="3" t="s">
        <v>161</v>
      </c>
      <c r="G1454" s="2" t="s">
        <v>153</v>
      </c>
      <c r="H1454" s="2" t="s">
        <v>134</v>
      </c>
      <c r="I1454" s="3">
        <v>30.0</v>
      </c>
      <c r="J1454" s="3" t="s">
        <v>78</v>
      </c>
      <c r="K1454" s="5">
        <v>401.67</v>
      </c>
      <c r="L1454" s="6"/>
      <c r="M1454" s="6" t="str">
        <f>IF(D1454&lt;&gt;"",VLOOKUP(H1454,TABLEITEM,3,FALSE),"")</f>
        <v>ฉากสแตนเลส 2''หนา6.0</v>
      </c>
      <c r="N1454" s="7">
        <f>INSTOCK!$I1454*INSTOCK!$K1454</f>
        <v>12050.1</v>
      </c>
      <c r="O1454" s="2" t="s">
        <v>1802</v>
      </c>
      <c r="P1454" s="2"/>
    </row>
    <row r="1455" ht="18.0" hidden="1" customHeight="1">
      <c r="A1455" s="1"/>
      <c r="B1455" s="3"/>
      <c r="C1455" s="4">
        <v>43594.0</v>
      </c>
      <c r="D1455" s="2" t="s">
        <v>1803</v>
      </c>
      <c r="E1455" s="2">
        <v>6.205000699E9</v>
      </c>
      <c r="F1455" s="3" t="s">
        <v>161</v>
      </c>
      <c r="G1455" s="2" t="s">
        <v>202</v>
      </c>
      <c r="H1455" s="2" t="s">
        <v>89</v>
      </c>
      <c r="I1455" s="3">
        <v>300.0</v>
      </c>
      <c r="J1455" s="3" t="s">
        <v>78</v>
      </c>
      <c r="K1455" s="5">
        <v>83.33</v>
      </c>
      <c r="L1455" s="6"/>
      <c r="M1455" s="6" t="str">
        <f>IF(D1455&lt;&gt;"",VLOOKUP(H1455,TABLEITEM,3,FALSE),"")</f>
        <v>เหล็กฉาก 2''หนา5 มิล</v>
      </c>
      <c r="N1455" s="7">
        <f>INSTOCK!$I1455*INSTOCK!$K1455</f>
        <v>24999</v>
      </c>
      <c r="O1455" s="2"/>
      <c r="P1455" s="2"/>
    </row>
    <row r="1456" ht="18.0" hidden="1" customHeight="1">
      <c r="A1456" s="1"/>
      <c r="B1456" s="3"/>
      <c r="C1456" s="4">
        <v>43594.0</v>
      </c>
      <c r="D1456" s="2" t="s">
        <v>1803</v>
      </c>
      <c r="E1456" s="2">
        <v>6.205000699E9</v>
      </c>
      <c r="F1456" s="3" t="s">
        <v>161</v>
      </c>
      <c r="G1456" s="2" t="s">
        <v>202</v>
      </c>
      <c r="H1456" s="2" t="s">
        <v>80</v>
      </c>
      <c r="I1456" s="3">
        <v>300.0</v>
      </c>
      <c r="J1456" s="3" t="s">
        <v>78</v>
      </c>
      <c r="K1456" s="5">
        <v>195.0</v>
      </c>
      <c r="L1456" s="6"/>
      <c r="M1456" s="6" t="str">
        <f>IF(D1456&lt;&gt;"",VLOOKUP(H1456,TABLEITEM,3,FALSE),"")</f>
        <v>เหล็กรางน้ำ U' 4</v>
      </c>
      <c r="N1456" s="7">
        <f>INSTOCK!$I1456*INSTOCK!$K1456</f>
        <v>58500</v>
      </c>
      <c r="O1456" s="2"/>
      <c r="P1456" s="2"/>
    </row>
    <row r="1457" ht="18.0" hidden="1" customHeight="1">
      <c r="A1457" s="1"/>
      <c r="B1457" s="3"/>
      <c r="C1457" s="4">
        <v>43594.0</v>
      </c>
      <c r="D1457" s="2" t="s">
        <v>1803</v>
      </c>
      <c r="E1457" s="2">
        <v>6.205000699E9</v>
      </c>
      <c r="F1457" s="3" t="s">
        <v>161</v>
      </c>
      <c r="G1457" s="2" t="s">
        <v>202</v>
      </c>
      <c r="H1457" s="2" t="s">
        <v>96</v>
      </c>
      <c r="I1457" s="3">
        <v>6.0</v>
      </c>
      <c r="J1457" s="3" t="s">
        <v>78</v>
      </c>
      <c r="K1457" s="5">
        <v>45.0</v>
      </c>
      <c r="L1457" s="6"/>
      <c r="M1457" s="6" t="str">
        <f>IF(D1457&lt;&gt;"",VLOOKUP(H1457,TABLEITEM,3,FALSE),"")</f>
        <v>เหล็กกล่อง 11/4 หนา2 มิล</v>
      </c>
      <c r="N1457" s="7">
        <f>INSTOCK!$I1457*INSTOCK!$K1457</f>
        <v>270</v>
      </c>
      <c r="O1457" s="2"/>
      <c r="P1457" s="2"/>
    </row>
    <row r="1458" ht="18.0" hidden="1" customHeight="1">
      <c r="A1458" s="1"/>
      <c r="B1458" s="3"/>
      <c r="C1458" s="4">
        <v>43581.0</v>
      </c>
      <c r="D1458" s="2" t="s">
        <v>1804</v>
      </c>
      <c r="E1458" s="2">
        <v>6.205000734E9</v>
      </c>
      <c r="F1458" s="3" t="s">
        <v>1805</v>
      </c>
      <c r="G1458" s="2" t="s">
        <v>733</v>
      </c>
      <c r="H1458" s="2" t="s">
        <v>1806</v>
      </c>
      <c r="I1458" s="3">
        <v>1.0</v>
      </c>
      <c r="J1458" s="3"/>
      <c r="K1458" s="5">
        <v>38.0</v>
      </c>
      <c r="L1458" s="6"/>
      <c r="M1458" s="6" t="str">
        <f>IF(D1458&lt;&gt;"",VLOOKUP(H1458,TABLEITEM,3,FALSE),"")</f>
        <v>กระจก 108x348 หนา 3.0มิล</v>
      </c>
      <c r="N1458" s="7">
        <f>INSTOCK!$I1458*INSTOCK!$K1458</f>
        <v>38</v>
      </c>
      <c r="O1458" s="2"/>
      <c r="P1458" s="2"/>
    </row>
    <row r="1459" ht="18.0" hidden="1" customHeight="1">
      <c r="A1459" s="1"/>
      <c r="B1459" s="3"/>
      <c r="C1459" s="4">
        <v>43582.0</v>
      </c>
      <c r="D1459" s="2" t="s">
        <v>1807</v>
      </c>
      <c r="E1459" s="2">
        <v>6.205000734E9</v>
      </c>
      <c r="F1459" s="3" t="s">
        <v>1808</v>
      </c>
      <c r="G1459" s="2" t="s">
        <v>733</v>
      </c>
      <c r="H1459" s="2" t="s">
        <v>1806</v>
      </c>
      <c r="I1459" s="3">
        <v>6.0</v>
      </c>
      <c r="J1459" s="3"/>
      <c r="K1459" s="5">
        <v>38.0</v>
      </c>
      <c r="L1459" s="6"/>
      <c r="M1459" s="6" t="str">
        <f>IF(D1459&lt;&gt;"",VLOOKUP(H1459,TABLEITEM,3,FALSE),"")</f>
        <v>กระจก 108x348 หนา 3.0มิล</v>
      </c>
      <c r="N1459" s="7">
        <f>INSTOCK!$I1459*INSTOCK!$K1459</f>
        <v>228</v>
      </c>
      <c r="O1459" s="2"/>
      <c r="P1459" s="2"/>
    </row>
    <row r="1460" ht="18.0" hidden="1" customHeight="1">
      <c r="A1460" s="1"/>
      <c r="B1460" s="3"/>
      <c r="C1460" s="4">
        <v>43582.0</v>
      </c>
      <c r="D1460" s="2" t="s">
        <v>1807</v>
      </c>
      <c r="E1460" s="2">
        <v>6.205000734E9</v>
      </c>
      <c r="F1460" s="3" t="s">
        <v>1809</v>
      </c>
      <c r="G1460" s="2" t="s">
        <v>733</v>
      </c>
      <c r="H1460" s="2" t="s">
        <v>1810</v>
      </c>
      <c r="I1460" s="3">
        <v>8.0</v>
      </c>
      <c r="J1460" s="3"/>
      <c r="K1460" s="5">
        <v>25.0</v>
      </c>
      <c r="L1460" s="6"/>
      <c r="M1460" s="6" t="str">
        <f>IF(D1460&lt;&gt;"",VLOOKUP(H1460,TABLEITEM,3,FALSE),"")</f>
        <v>กระจก108x208T3.0</v>
      </c>
      <c r="N1460" s="7">
        <f>INSTOCK!$I1460*INSTOCK!$K1460</f>
        <v>200</v>
      </c>
      <c r="O1460" s="2"/>
      <c r="P1460" s="2"/>
    </row>
    <row r="1461" ht="18.0" hidden="1" customHeight="1">
      <c r="A1461" s="1"/>
      <c r="B1461" s="3"/>
      <c r="C1461" s="4">
        <v>43575.0</v>
      </c>
      <c r="D1461" s="2" t="s">
        <v>1811</v>
      </c>
      <c r="E1461" s="2">
        <v>6.205000734E9</v>
      </c>
      <c r="F1461" s="3" t="s">
        <v>1812</v>
      </c>
      <c r="G1461" s="2" t="s">
        <v>733</v>
      </c>
      <c r="H1461" s="2" t="s">
        <v>1813</v>
      </c>
      <c r="I1461" s="3">
        <v>1.0</v>
      </c>
      <c r="J1461" s="3"/>
      <c r="K1461" s="5">
        <v>75.0</v>
      </c>
      <c r="L1461" s="6"/>
      <c r="M1461" s="6" t="str">
        <f>IF(D1461&lt;&gt;"",VLOOKUP(H1461,TABLEITEM,3,FALSE),"")</f>
        <v>กระจก 321x552 หนา 3.0มิล</v>
      </c>
      <c r="N1461" s="7">
        <f>INSTOCK!$I1461*INSTOCK!$K1461</f>
        <v>75</v>
      </c>
      <c r="O1461" s="2"/>
      <c r="P1461" s="2"/>
    </row>
    <row r="1462" ht="18.0" hidden="1" customHeight="1">
      <c r="A1462" s="1"/>
      <c r="B1462" s="3"/>
      <c r="C1462" s="4">
        <v>43577.0</v>
      </c>
      <c r="D1462" s="2" t="s">
        <v>1814</v>
      </c>
      <c r="E1462" s="2">
        <v>6.205000734E9</v>
      </c>
      <c r="F1462" s="3" t="s">
        <v>1815</v>
      </c>
      <c r="G1462" s="2" t="s">
        <v>733</v>
      </c>
      <c r="H1462" s="2" t="s">
        <v>1813</v>
      </c>
      <c r="I1462" s="3">
        <v>5.0</v>
      </c>
      <c r="J1462" s="3"/>
      <c r="K1462" s="5">
        <v>75.0</v>
      </c>
      <c r="L1462" s="6"/>
      <c r="M1462" s="6" t="str">
        <f>IF(D1462&lt;&gt;"",VLOOKUP(H1462,TABLEITEM,3,FALSE),"")</f>
        <v>กระจก 321x552 หนา 3.0มิล</v>
      </c>
      <c r="N1462" s="7">
        <f>INSTOCK!$I1462*INSTOCK!$K1462</f>
        <v>375</v>
      </c>
      <c r="O1462" s="2"/>
      <c r="P1462" s="2"/>
    </row>
    <row r="1463" ht="18.0" hidden="1" customHeight="1">
      <c r="A1463" s="1"/>
      <c r="B1463" s="3"/>
      <c r="C1463" s="4">
        <v>43577.0</v>
      </c>
      <c r="D1463" s="2" t="s">
        <v>1816</v>
      </c>
      <c r="E1463" s="2">
        <v>6.205000734E9</v>
      </c>
      <c r="F1463" s="3" t="s">
        <v>1817</v>
      </c>
      <c r="G1463" s="2" t="s">
        <v>733</v>
      </c>
      <c r="H1463" s="2" t="s">
        <v>1818</v>
      </c>
      <c r="I1463" s="3">
        <v>1.0</v>
      </c>
      <c r="J1463" s="3"/>
      <c r="K1463" s="5">
        <v>25.0</v>
      </c>
      <c r="L1463" s="6"/>
      <c r="M1463" s="6" t="str">
        <f>IF(D1463&lt;&gt;"",VLOOKUP(H1463,TABLEITEM,3,FALSE),"")</f>
        <v>กระจก 228x258 หนา 3.0มิล</v>
      </c>
      <c r="N1463" s="7">
        <f>INSTOCK!$I1463*INSTOCK!$K1463</f>
        <v>25</v>
      </c>
      <c r="O1463" s="2"/>
      <c r="P1463" s="2"/>
    </row>
    <row r="1464" ht="18.0" hidden="1" customHeight="1">
      <c r="A1464" s="1"/>
      <c r="B1464" s="3"/>
      <c r="C1464" s="4">
        <v>43599.0</v>
      </c>
      <c r="D1464" s="2" t="s">
        <v>1819</v>
      </c>
      <c r="E1464" s="2"/>
      <c r="F1464" s="3" t="s">
        <v>161</v>
      </c>
      <c r="G1464" s="2" t="s">
        <v>456</v>
      </c>
      <c r="H1464" s="2" t="s">
        <v>1820</v>
      </c>
      <c r="I1464" s="3">
        <v>30.0</v>
      </c>
      <c r="J1464" s="3"/>
      <c r="K1464" s="5"/>
      <c r="L1464" s="6"/>
      <c r="M1464" s="6" t="str">
        <f>IF(D1464&lt;&gt;"",VLOOKUP(H1464,TABLEITEM,3,FALSE),"")</f>
        <v>#N/A</v>
      </c>
      <c r="N1464" s="7">
        <f>INSTOCK!$I1464*INSTOCK!$K1464</f>
        <v>0</v>
      </c>
      <c r="O1464" s="2"/>
      <c r="P1464" s="2"/>
    </row>
    <row r="1465" ht="18.0" hidden="1" customHeight="1">
      <c r="A1465" s="1"/>
      <c r="B1465" s="3"/>
      <c r="C1465" s="4">
        <v>43601.0</v>
      </c>
      <c r="D1465" s="2" t="s">
        <v>1643</v>
      </c>
      <c r="E1465" s="2"/>
      <c r="F1465" s="3" t="s">
        <v>161</v>
      </c>
      <c r="G1465" s="2" t="s">
        <v>456</v>
      </c>
      <c r="H1465" s="2" t="s">
        <v>493</v>
      </c>
      <c r="I1465" s="3">
        <v>178.0</v>
      </c>
      <c r="J1465" s="3"/>
      <c r="K1465" s="5"/>
      <c r="L1465" s="6"/>
      <c r="M1465" s="6" t="str">
        <f>IF(D1465&lt;&gt;"",VLOOKUP(H1465,TABLEITEM,3,FALSE),"")</f>
        <v>เสาเชื่อม2125x40x50</v>
      </c>
      <c r="N1465" s="7">
        <f>INSTOCK!$I1465*INSTOCK!$K1465</f>
        <v>0</v>
      </c>
      <c r="O1465" s="2"/>
      <c r="P1465" s="2"/>
    </row>
    <row r="1466" ht="18.0" hidden="1" customHeight="1">
      <c r="A1466" s="1"/>
      <c r="B1466" s="3"/>
      <c r="C1466" s="4">
        <v>43605.0</v>
      </c>
      <c r="D1466" s="2" t="s">
        <v>1788</v>
      </c>
      <c r="E1466" s="2"/>
      <c r="F1466" s="3" t="s">
        <v>161</v>
      </c>
      <c r="G1466" s="2" t="s">
        <v>456</v>
      </c>
      <c r="H1466" s="2" t="s">
        <v>550</v>
      </c>
      <c r="I1466" s="3">
        <v>464.0</v>
      </c>
      <c r="J1466" s="3"/>
      <c r="K1466" s="5"/>
      <c r="L1466" s="6"/>
      <c r="M1466" s="6" t="str">
        <f>IF(D1466&lt;&gt;"",VLOOKUP(H1466,TABLEITEM,3,FALSE),"")</f>
        <v>ฉากตัวZ รับแผ่นกั้น50x34x29</v>
      </c>
      <c r="N1466" s="7">
        <f>INSTOCK!$I1466*INSTOCK!$K1466</f>
        <v>0</v>
      </c>
      <c r="O1466" s="2"/>
      <c r="P1466" s="2"/>
    </row>
    <row r="1467" ht="18.0" hidden="1" customHeight="1">
      <c r="A1467" s="1"/>
      <c r="B1467" s="3"/>
      <c r="C1467" s="4">
        <v>43605.0</v>
      </c>
      <c r="D1467" s="2" t="s">
        <v>1821</v>
      </c>
      <c r="E1467" s="2"/>
      <c r="F1467" s="3" t="s">
        <v>161</v>
      </c>
      <c r="G1467" s="2" t="s">
        <v>456</v>
      </c>
      <c r="H1467" s="2" t="s">
        <v>598</v>
      </c>
      <c r="I1467" s="3">
        <v>20.0</v>
      </c>
      <c r="J1467" s="3"/>
      <c r="K1467" s="5"/>
      <c r="L1467" s="6"/>
      <c r="M1467" s="6" t="str">
        <f>IF(D1467&lt;&gt;"",VLOOKUP(H1467,TABLEITEM,3,FALSE),"")</f>
        <v>ฝาข้าง-ฝาหลัง 2075x470</v>
      </c>
      <c r="N1467" s="7">
        <f>INSTOCK!$I1467*INSTOCK!$K1467</f>
        <v>0</v>
      </c>
      <c r="O1467" s="2"/>
      <c r="P1467" s="2"/>
    </row>
    <row r="1468" ht="18.0" hidden="1" customHeight="1">
      <c r="A1468" s="1"/>
      <c r="B1468" s="3"/>
      <c r="C1468" s="4">
        <v>43605.0</v>
      </c>
      <c r="D1468" s="2" t="s">
        <v>1821</v>
      </c>
      <c r="E1468" s="2"/>
      <c r="F1468" s="3" t="s">
        <v>161</v>
      </c>
      <c r="G1468" s="2" t="s">
        <v>456</v>
      </c>
      <c r="H1468" s="2" t="s">
        <v>598</v>
      </c>
      <c r="I1468" s="3">
        <v>20.0</v>
      </c>
      <c r="J1468" s="3"/>
      <c r="K1468" s="5"/>
      <c r="L1468" s="6"/>
      <c r="M1468" s="6" t="str">
        <f>IF(D1468&lt;&gt;"",VLOOKUP(H1468,TABLEITEM,3,FALSE),"")</f>
        <v>ฝาข้าง-ฝาหลัง 2075x470</v>
      </c>
      <c r="N1468" s="7">
        <f>INSTOCK!$I1468*INSTOCK!$K1468</f>
        <v>0</v>
      </c>
      <c r="O1468" s="2"/>
      <c r="P1468" s="2"/>
    </row>
    <row r="1469" ht="18.0" hidden="1" customHeight="1">
      <c r="A1469" s="1"/>
      <c r="B1469" s="3"/>
      <c r="C1469" s="4">
        <v>43605.0</v>
      </c>
      <c r="D1469" s="2" t="s">
        <v>1821</v>
      </c>
      <c r="E1469" s="2"/>
      <c r="F1469" s="3" t="s">
        <v>161</v>
      </c>
      <c r="G1469" s="2" t="s">
        <v>456</v>
      </c>
      <c r="H1469" s="2" t="s">
        <v>479</v>
      </c>
      <c r="I1469" s="3">
        <v>20.0</v>
      </c>
      <c r="J1469" s="3"/>
      <c r="K1469" s="5"/>
      <c r="L1469" s="6"/>
      <c r="M1469" s="6" t="str">
        <f>IF(D1469&lt;&gt;"",VLOOKUP(H1469,TABLEITEM,3,FALSE),"")</f>
        <v>ฝาข้าง-ฝาหลัง 2075x570</v>
      </c>
      <c r="N1469" s="7">
        <f>INSTOCK!$I1469*INSTOCK!$K1469</f>
        <v>0</v>
      </c>
      <c r="O1469" s="2"/>
      <c r="P1469" s="2"/>
    </row>
    <row r="1470" ht="18.0" hidden="1" customHeight="1">
      <c r="A1470" s="1"/>
      <c r="B1470" s="3"/>
      <c r="C1470" s="4">
        <v>43606.0</v>
      </c>
      <c r="D1470" s="2" t="s">
        <v>1620</v>
      </c>
      <c r="E1470" s="2"/>
      <c r="F1470" s="3" t="s">
        <v>161</v>
      </c>
      <c r="G1470" s="2" t="s">
        <v>456</v>
      </c>
      <c r="H1470" s="2" t="s">
        <v>523</v>
      </c>
      <c r="I1470" s="3">
        <v>152.0</v>
      </c>
      <c r="J1470" s="3"/>
      <c r="K1470" s="5"/>
      <c r="L1470" s="6"/>
      <c r="M1470" s="6" t="str">
        <f>IF(D1470&lt;&gt;"",VLOOKUP(H1470,TABLEITEM,3,FALSE),"")</f>
        <v>คานเชื่อม1000</v>
      </c>
      <c r="N1470" s="7">
        <f>INSTOCK!$I1470*INSTOCK!$K1470</f>
        <v>0</v>
      </c>
      <c r="O1470" s="2"/>
      <c r="P1470" s="2"/>
    </row>
    <row r="1471" ht="18.0" hidden="1" customHeight="1">
      <c r="A1471" s="1"/>
      <c r="B1471" s="3"/>
      <c r="C1471" s="4">
        <v>43606.0</v>
      </c>
      <c r="D1471" s="2" t="s">
        <v>1733</v>
      </c>
      <c r="E1471" s="2"/>
      <c r="F1471" s="3" t="s">
        <v>161</v>
      </c>
      <c r="G1471" s="2" t="s">
        <v>456</v>
      </c>
      <c r="H1471" s="2" t="s">
        <v>491</v>
      </c>
      <c r="I1471" s="3">
        <v>90.0</v>
      </c>
      <c r="J1471" s="3"/>
      <c r="K1471" s="5"/>
      <c r="L1471" s="6"/>
      <c r="M1471" s="6" t="str">
        <f>IF(D1471&lt;&gt;"",VLOOKUP(H1471,TABLEITEM,3,FALSE),"")</f>
        <v>เสาเสริม 40x50x1988</v>
      </c>
      <c r="N1471" s="7">
        <f>INSTOCK!$I1471*INSTOCK!$K1471</f>
        <v>0</v>
      </c>
      <c r="O1471" s="2"/>
      <c r="P1471" s="2"/>
    </row>
    <row r="1472" ht="18.0" hidden="1" customHeight="1">
      <c r="A1472" s="1"/>
      <c r="B1472" s="3"/>
      <c r="C1472" s="4">
        <v>43606.0</v>
      </c>
      <c r="D1472" s="2" t="s">
        <v>1822</v>
      </c>
      <c r="E1472" s="2"/>
      <c r="F1472" s="3" t="s">
        <v>161</v>
      </c>
      <c r="G1472" s="2" t="s">
        <v>456</v>
      </c>
      <c r="H1472" s="2" t="s">
        <v>1343</v>
      </c>
      <c r="I1472" s="3">
        <v>231.0</v>
      </c>
      <c r="J1472" s="3"/>
      <c r="K1472" s="5"/>
      <c r="L1472" s="6"/>
      <c r="M1472" s="6" t="str">
        <f>IF(D1472&lt;&gt;"",VLOOKUP(H1472,TABLEITEM,3,FALSE),"")</f>
        <v>ฉากรับลูกถ้วย 290x45x2.3mm</v>
      </c>
      <c r="N1472" s="7">
        <f>INSTOCK!$I1472*INSTOCK!$K1472</f>
        <v>0</v>
      </c>
      <c r="O1472" s="2"/>
      <c r="P1472" s="2"/>
    </row>
    <row r="1473" ht="18.0" hidden="1" customHeight="1">
      <c r="A1473" s="1"/>
      <c r="B1473" s="3"/>
      <c r="C1473" s="4">
        <v>43606.0</v>
      </c>
      <c r="D1473" s="2" t="s">
        <v>1791</v>
      </c>
      <c r="E1473" s="2"/>
      <c r="F1473" s="3" t="s">
        <v>161</v>
      </c>
      <c r="G1473" s="2" t="s">
        <v>456</v>
      </c>
      <c r="H1473" s="2" t="s">
        <v>705</v>
      </c>
      <c r="I1473" s="3">
        <v>14.0</v>
      </c>
      <c r="J1473" s="3"/>
      <c r="K1473" s="5"/>
      <c r="L1473" s="6"/>
      <c r="M1473" s="6" t="str">
        <f>IF(D1473&lt;&gt;"",VLOOKUP(H1473,TABLEITEM,3,FALSE),"")</f>
        <v>เพลทเบกเกอร์ 614x140</v>
      </c>
      <c r="N1473" s="7">
        <f>INSTOCK!$I1473*INSTOCK!$K1473</f>
        <v>0</v>
      </c>
      <c r="O1473" s="2"/>
      <c r="P1473" s="2"/>
    </row>
    <row r="1474" ht="18.0" hidden="1" customHeight="1">
      <c r="A1474" s="1"/>
      <c r="B1474" s="3"/>
      <c r="C1474" s="4">
        <v>43600.0</v>
      </c>
      <c r="D1474" s="2" t="s">
        <v>1823</v>
      </c>
      <c r="E1474" s="2">
        <v>6.205000729E9</v>
      </c>
      <c r="F1474" s="3" t="s">
        <v>161</v>
      </c>
      <c r="G1474" s="2" t="s">
        <v>202</v>
      </c>
      <c r="H1474" s="2" t="s">
        <v>89</v>
      </c>
      <c r="I1474" s="3">
        <v>600.0</v>
      </c>
      <c r="J1474" s="3" t="s">
        <v>78</v>
      </c>
      <c r="K1474" s="5">
        <v>83.33333</v>
      </c>
      <c r="L1474" s="6"/>
      <c r="M1474" s="6" t="str">
        <f>IF(D1474&lt;&gt;"",VLOOKUP(H1474,TABLEITEM,3,FALSE),"")</f>
        <v>เหล็กฉาก 2''หนา5 มิล</v>
      </c>
      <c r="N1474" s="7">
        <f>INSTOCK!$I1474*INSTOCK!$K1474</f>
        <v>49999.998</v>
      </c>
      <c r="O1474" s="2"/>
      <c r="P1474" s="2"/>
    </row>
    <row r="1475" ht="18.0" hidden="1" customHeight="1">
      <c r="A1475" s="1"/>
      <c r="B1475" s="3"/>
      <c r="C1475" s="4">
        <v>43600.0</v>
      </c>
      <c r="D1475" s="2" t="s">
        <v>1824</v>
      </c>
      <c r="E1475" s="2">
        <v>6.205000676E9</v>
      </c>
      <c r="F1475" s="3" t="s">
        <v>161</v>
      </c>
      <c r="G1475" s="2" t="s">
        <v>202</v>
      </c>
      <c r="H1475" s="2" t="s">
        <v>54</v>
      </c>
      <c r="I1475" s="3">
        <v>25.0</v>
      </c>
      <c r="J1475" s="3"/>
      <c r="K1475" s="5">
        <v>2600.0</v>
      </c>
      <c r="L1475" s="6"/>
      <c r="M1475" s="6" t="str">
        <f>IF(D1475&lt;&gt;"",VLOOKUP(H1475,TABLEITEM,3,FALSE),"")</f>
        <v>เหล็กแผ่นดำ5'x10'T3.0</v>
      </c>
      <c r="N1475" s="7">
        <f>INSTOCK!$I1475*INSTOCK!$K1475</f>
        <v>65000</v>
      </c>
      <c r="O1475" s="2"/>
      <c r="P1475" s="2"/>
    </row>
    <row r="1476" ht="18.0" hidden="1" customHeight="1">
      <c r="A1476" s="1"/>
      <c r="B1476" s="3"/>
      <c r="C1476" s="4">
        <v>43596.0</v>
      </c>
      <c r="D1476" s="2" t="s">
        <v>1825</v>
      </c>
      <c r="E1476" s="2">
        <v>6.205000716E9</v>
      </c>
      <c r="F1476" s="3" t="s">
        <v>1374</v>
      </c>
      <c r="G1476" s="2" t="s">
        <v>153</v>
      </c>
      <c r="H1476" s="2" t="s">
        <v>1742</v>
      </c>
      <c r="I1476" s="3">
        <v>160.0</v>
      </c>
      <c r="J1476" s="3" t="s">
        <v>78</v>
      </c>
      <c r="K1476" s="5">
        <v>8.75</v>
      </c>
      <c r="L1476" s="6"/>
      <c r="M1476" s="6" t="str">
        <f>IF(D1476&lt;&gt;"",VLOOKUP(H1476,TABLEITEM,3,FALSE),"")</f>
        <v>เหล็กเพลากลม 6 มิล </v>
      </c>
      <c r="N1476" s="7">
        <f>INSTOCK!$I1476*INSTOCK!$K1476</f>
        <v>1400</v>
      </c>
      <c r="O1476" s="2"/>
      <c r="P1476" s="2"/>
    </row>
    <row r="1477" ht="18.0" hidden="1" customHeight="1">
      <c r="A1477" s="1"/>
      <c r="B1477" s="3"/>
      <c r="C1477" s="4">
        <v>43598.0</v>
      </c>
      <c r="D1477" s="2" t="s">
        <v>1826</v>
      </c>
      <c r="E1477" s="2">
        <v>6.205000778E9</v>
      </c>
      <c r="F1477" s="3" t="s">
        <v>1827</v>
      </c>
      <c r="G1477" s="2" t="s">
        <v>733</v>
      </c>
      <c r="H1477" s="2" t="s">
        <v>1828</v>
      </c>
      <c r="I1477" s="3">
        <v>1.0</v>
      </c>
      <c r="J1477" s="3"/>
      <c r="K1477" s="5">
        <v>60.0</v>
      </c>
      <c r="L1477" s="6"/>
      <c r="M1477" s="6" t="str">
        <f>IF(D1477&lt;&gt;"",VLOOKUP(H1477,TABLEITEM,3,FALSE),"")</f>
        <v>กระจก 254x514 หนา 5.0มิล</v>
      </c>
      <c r="N1477" s="7">
        <f>INSTOCK!$I1477*INSTOCK!$K1477</f>
        <v>60</v>
      </c>
      <c r="O1477" s="2"/>
      <c r="P1477" s="2"/>
    </row>
    <row r="1478" ht="18.0" hidden="1" customHeight="1">
      <c r="A1478" s="1"/>
      <c r="B1478" s="3"/>
      <c r="C1478" s="4">
        <v>43598.0</v>
      </c>
      <c r="D1478" s="2" t="s">
        <v>1829</v>
      </c>
      <c r="E1478" s="2">
        <v>6.205000778E9</v>
      </c>
      <c r="F1478" s="3" t="s">
        <v>1830</v>
      </c>
      <c r="G1478" s="2" t="s">
        <v>733</v>
      </c>
      <c r="H1478" s="2" t="s">
        <v>1831</v>
      </c>
      <c r="I1478" s="3">
        <v>1.0</v>
      </c>
      <c r="J1478" s="3"/>
      <c r="K1478" s="5">
        <v>240.0</v>
      </c>
      <c r="L1478" s="6"/>
      <c r="M1478" s="6" t="str">
        <f>IF(D1478&lt;&gt;"",VLOOKUP(H1478,TABLEITEM,3,FALSE),"")</f>
        <v>กระจก 514x1014 หนา 5.0มิล</v>
      </c>
      <c r="N1478" s="7">
        <f>INSTOCK!$I1478*INSTOCK!$K1478</f>
        <v>240</v>
      </c>
      <c r="O1478" s="2"/>
      <c r="P1478" s="2"/>
    </row>
    <row r="1479" ht="18.0" hidden="1" customHeight="1">
      <c r="A1479" s="1"/>
      <c r="B1479" s="3"/>
      <c r="C1479" s="4">
        <v>43592.0</v>
      </c>
      <c r="D1479" s="2" t="s">
        <v>1832</v>
      </c>
      <c r="E1479" s="2">
        <v>6.205000778E9</v>
      </c>
      <c r="F1479" s="3" t="s">
        <v>1833</v>
      </c>
      <c r="G1479" s="2" t="s">
        <v>733</v>
      </c>
      <c r="H1479" s="2" t="s">
        <v>1834</v>
      </c>
      <c r="I1479" s="3">
        <v>4.0</v>
      </c>
      <c r="J1479" s="3"/>
      <c r="K1479" s="5">
        <v>112.0</v>
      </c>
      <c r="L1479" s="6"/>
      <c r="M1479" s="6" t="str">
        <f>IF(D1479&lt;&gt;"",VLOOKUP(H1479,TABLEITEM,3,FALSE),"")</f>
        <v>กระจก 314x614 หนา 5.0มิล</v>
      </c>
      <c r="N1479" s="7">
        <f>INSTOCK!$I1479*INSTOCK!$K1479</f>
        <v>448</v>
      </c>
      <c r="O1479" s="2"/>
      <c r="P1479" s="2"/>
    </row>
    <row r="1480" ht="18.0" hidden="1" customHeight="1">
      <c r="A1480" s="1"/>
      <c r="B1480" s="3"/>
      <c r="C1480" s="4">
        <v>43592.0</v>
      </c>
      <c r="D1480" s="2" t="s">
        <v>1835</v>
      </c>
      <c r="E1480" s="2">
        <v>6.205000778E9</v>
      </c>
      <c r="F1480" s="3" t="s">
        <v>1836</v>
      </c>
      <c r="G1480" s="2" t="s">
        <v>733</v>
      </c>
      <c r="H1480" s="2" t="s">
        <v>1079</v>
      </c>
      <c r="I1480" s="3">
        <v>1.0</v>
      </c>
      <c r="J1480" s="3"/>
      <c r="K1480" s="5">
        <v>187.0</v>
      </c>
      <c r="L1480" s="6"/>
      <c r="M1480" s="6" t="str">
        <f>IF(D1480&lt;&gt;"",VLOOKUP(H1480,TABLEITEM,3,FALSE),"")</f>
        <v>กระจก 612x712 T5.0</v>
      </c>
      <c r="N1480" s="7">
        <f>INSTOCK!$I1480*INSTOCK!$K1480</f>
        <v>187</v>
      </c>
      <c r="O1480" s="2"/>
      <c r="P1480" s="2"/>
    </row>
    <row r="1481" ht="18.0" hidden="1" customHeight="1">
      <c r="A1481" s="1"/>
      <c r="B1481" s="3"/>
      <c r="C1481" s="4">
        <v>43594.0</v>
      </c>
      <c r="D1481" s="2" t="s">
        <v>1837</v>
      </c>
      <c r="E1481" s="2">
        <v>6.205000778E9</v>
      </c>
      <c r="F1481" s="3" t="s">
        <v>1838</v>
      </c>
      <c r="G1481" s="2" t="s">
        <v>733</v>
      </c>
      <c r="H1481" s="2" t="s">
        <v>1839</v>
      </c>
      <c r="I1481" s="3">
        <v>2.0</v>
      </c>
      <c r="J1481" s="3"/>
      <c r="K1481" s="5">
        <v>60.0</v>
      </c>
      <c r="L1481" s="6"/>
      <c r="M1481" s="6" t="str">
        <f>IF(D1481&lt;&gt;"",VLOOKUP(H1481,TABLEITEM,3,FALSE),"")</f>
        <v>กระจก 224x514 หนา 5.0มิล</v>
      </c>
      <c r="N1481" s="7">
        <f>INSTOCK!$I1481*INSTOCK!$K1481</f>
        <v>120</v>
      </c>
      <c r="O1481" s="2"/>
      <c r="P1481" s="2"/>
    </row>
    <row r="1482" ht="18.0" hidden="1" customHeight="1">
      <c r="A1482" s="1"/>
      <c r="B1482" s="3"/>
      <c r="C1482" s="4">
        <v>43594.0</v>
      </c>
      <c r="D1482" s="2" t="s">
        <v>1837</v>
      </c>
      <c r="E1482" s="2">
        <v>6.205000778E9</v>
      </c>
      <c r="F1482" s="3" t="s">
        <v>1838</v>
      </c>
      <c r="G1482" s="2" t="s">
        <v>733</v>
      </c>
      <c r="H1482" s="2" t="s">
        <v>1840</v>
      </c>
      <c r="I1482" s="3">
        <v>1.0</v>
      </c>
      <c r="J1482" s="3"/>
      <c r="K1482" s="5">
        <v>45.0</v>
      </c>
      <c r="L1482" s="6"/>
      <c r="M1482" s="6" t="str">
        <f>IF(D1482&lt;&gt;"",VLOOKUP(H1482,TABLEITEM,3,FALSE),"")</f>
        <v>กระจก 224x414 หนา 5.0มิล</v>
      </c>
      <c r="N1482" s="7">
        <f>INSTOCK!$I1482*INSTOCK!$K1482</f>
        <v>45</v>
      </c>
      <c r="O1482" s="2"/>
      <c r="P1482" s="2"/>
    </row>
    <row r="1483" ht="18.0" hidden="1" customHeight="1">
      <c r="A1483" s="1"/>
      <c r="B1483" s="3"/>
      <c r="C1483" s="4">
        <v>43598.0</v>
      </c>
      <c r="D1483" s="2" t="s">
        <v>1841</v>
      </c>
      <c r="E1483" s="2">
        <v>6.205000778E9</v>
      </c>
      <c r="F1483" s="3" t="s">
        <v>1842</v>
      </c>
      <c r="G1483" s="2" t="s">
        <v>733</v>
      </c>
      <c r="H1483" s="2" t="s">
        <v>1843</v>
      </c>
      <c r="I1483" s="3">
        <v>2.0</v>
      </c>
      <c r="J1483" s="3"/>
      <c r="K1483" s="5">
        <v>90.0</v>
      </c>
      <c r="L1483" s="6"/>
      <c r="M1483" s="6" t="str">
        <f>IF(D1483&lt;&gt;"",VLOOKUP(H1483,TABLEITEM,3,FALSE),"")</f>
        <v>กระจก 414x574 หนา 5.0มิล</v>
      </c>
      <c r="N1483" s="7">
        <f>INSTOCK!$I1483*INSTOCK!$K1483</f>
        <v>180</v>
      </c>
      <c r="O1483" s="2"/>
      <c r="P1483" s="2"/>
    </row>
    <row r="1484" ht="18.0" hidden="1" customHeight="1">
      <c r="A1484" s="1"/>
      <c r="B1484" s="3"/>
      <c r="C1484" s="4">
        <v>43607.0</v>
      </c>
      <c r="D1484" s="2" t="s">
        <v>1844</v>
      </c>
      <c r="E1484" s="2">
        <v>6.205000774E9</v>
      </c>
      <c r="F1484" s="3" t="s">
        <v>161</v>
      </c>
      <c r="G1484" s="2" t="s">
        <v>171</v>
      </c>
      <c r="H1484" s="2" t="s">
        <v>21</v>
      </c>
      <c r="I1484" s="3">
        <v>300.0</v>
      </c>
      <c r="J1484" s="3"/>
      <c r="K1484" s="5">
        <v>1090.44</v>
      </c>
      <c r="L1484" s="6"/>
      <c r="M1484" s="6" t="str">
        <f>IF(D1484&lt;&gt;"",VLOOKUP(H1484,TABLEITEM,3,FALSE),"")</f>
        <v>เหล็กแผ่นขาว4'x8'T2.0</v>
      </c>
      <c r="N1484" s="7">
        <f>INSTOCK!$I1484*INSTOCK!$K1484</f>
        <v>327132</v>
      </c>
      <c r="O1484" s="2" t="s">
        <v>1845</v>
      </c>
      <c r="P1484" s="2"/>
    </row>
    <row r="1485" ht="18.0" hidden="1" customHeight="1">
      <c r="A1485" s="1"/>
      <c r="B1485" s="3"/>
      <c r="C1485" s="4">
        <v>43607.0</v>
      </c>
      <c r="D1485" s="2" t="s">
        <v>1846</v>
      </c>
      <c r="E1485" s="2">
        <v>6.205000774E9</v>
      </c>
      <c r="F1485" s="3" t="s">
        <v>161</v>
      </c>
      <c r="G1485" s="2" t="s">
        <v>171</v>
      </c>
      <c r="H1485" s="2" t="s">
        <v>42</v>
      </c>
      <c r="I1485" s="3">
        <v>200.0</v>
      </c>
      <c r="J1485" s="3"/>
      <c r="K1485" s="5">
        <v>1256.2</v>
      </c>
      <c r="L1485" s="6"/>
      <c r="M1485" s="6" t="str">
        <f>IF(D1485&lt;&gt;"",VLOOKUP(H1485,TABLEITEM,3,FALSE),"")</f>
        <v>เหล็กแผ่นEG4'x8'T2.0</v>
      </c>
      <c r="N1485" s="7">
        <f>INSTOCK!$I1485*INSTOCK!$K1485</f>
        <v>251240</v>
      </c>
      <c r="O1485" s="2" t="s">
        <v>1847</v>
      </c>
      <c r="P1485" s="2"/>
    </row>
    <row r="1486" ht="18.0" hidden="1" customHeight="1">
      <c r="A1486" s="1"/>
      <c r="B1486" s="3"/>
      <c r="C1486" s="4">
        <v>43602.0</v>
      </c>
      <c r="D1486" s="2" t="s">
        <v>1848</v>
      </c>
      <c r="E1486" s="2">
        <v>6.205000771E9</v>
      </c>
      <c r="F1486" s="3" t="s">
        <v>161</v>
      </c>
      <c r="G1486" s="2" t="s">
        <v>219</v>
      </c>
      <c r="H1486" s="2" t="s">
        <v>71</v>
      </c>
      <c r="I1486" s="3">
        <v>20.0</v>
      </c>
      <c r="J1486" s="3"/>
      <c r="K1486" s="5">
        <v>1970.0</v>
      </c>
      <c r="L1486" s="6"/>
      <c r="M1486" s="6" t="str">
        <f>IF(D1486&lt;&gt;"",VLOOKUP(H1486,TABLEITEM,3,FALSE),"")</f>
        <v>แผ่นอลูมิเนียม4'x8'T3.0</v>
      </c>
      <c r="N1486" s="7">
        <f>INSTOCK!$I1486*INSTOCK!$K1486</f>
        <v>39400</v>
      </c>
      <c r="O1486" s="2"/>
      <c r="P1486" s="2"/>
    </row>
    <row r="1487" ht="18.0" hidden="1" customHeight="1">
      <c r="A1487" s="1"/>
      <c r="B1487" s="3"/>
      <c r="C1487" s="4">
        <v>43606.0</v>
      </c>
      <c r="D1487" s="2">
        <v>6.2050125E7</v>
      </c>
      <c r="E1487" s="2"/>
      <c r="F1487" s="3" t="s">
        <v>1849</v>
      </c>
      <c r="G1487" s="2" t="s">
        <v>1645</v>
      </c>
      <c r="H1487" s="2" t="s">
        <v>84</v>
      </c>
      <c r="I1487" s="3">
        <v>12.0</v>
      </c>
      <c r="J1487" s="3" t="s">
        <v>78</v>
      </c>
      <c r="K1487" s="5">
        <v>31.6667</v>
      </c>
      <c r="L1487" s="6"/>
      <c r="M1487" s="6" t="str">
        <f>IF(D1487&lt;&gt;"",VLOOKUP(H1487,TABLEITEM,3,FALSE),"")</f>
        <v>เหล็กฉาก 1'หนา3มิล</v>
      </c>
      <c r="N1487" s="7">
        <f>INSTOCK!$I1487*INSTOCK!$K1487</f>
        <v>380.0004</v>
      </c>
      <c r="O1487" s="2"/>
      <c r="P1487" s="2"/>
    </row>
    <row r="1488" ht="18.0" hidden="1" customHeight="1">
      <c r="A1488" s="1"/>
      <c r="B1488" s="3"/>
      <c r="C1488" s="4">
        <v>43602.0</v>
      </c>
      <c r="D1488" s="2" t="s">
        <v>1850</v>
      </c>
      <c r="E1488" s="2">
        <v>6.20500077E9</v>
      </c>
      <c r="F1488" s="3" t="s">
        <v>161</v>
      </c>
      <c r="G1488" s="2" t="s">
        <v>165</v>
      </c>
      <c r="H1488" s="2" t="s">
        <v>75</v>
      </c>
      <c r="I1488" s="3">
        <v>5.0</v>
      </c>
      <c r="J1488" s="3"/>
      <c r="K1488" s="5">
        <v>3450.0</v>
      </c>
      <c r="L1488" s="6"/>
      <c r="M1488" s="6" t="str">
        <f>IF(D1488&lt;&gt;"",VLOOKUP(H1488,TABLEITEM,3,FALSE),"")</f>
        <v>แผ่นเบกไลท์ 1220x2440T5.0</v>
      </c>
      <c r="N1488" s="7">
        <f>INSTOCK!$I1488*INSTOCK!$K1488</f>
        <v>17250</v>
      </c>
      <c r="O1488" s="2"/>
      <c r="P1488" s="2"/>
    </row>
    <row r="1489" ht="18.0" hidden="1" customHeight="1">
      <c r="A1489" s="1"/>
      <c r="B1489" s="3"/>
      <c r="C1489" s="4">
        <v>43610.0</v>
      </c>
      <c r="D1489" s="2" t="s">
        <v>1851</v>
      </c>
      <c r="E1489" s="2">
        <v>6.2050008E9</v>
      </c>
      <c r="F1489" s="3" t="s">
        <v>1852</v>
      </c>
      <c r="G1489" s="2" t="s">
        <v>202</v>
      </c>
      <c r="H1489" s="2" t="s">
        <v>93</v>
      </c>
      <c r="I1489" s="3">
        <v>30.0</v>
      </c>
      <c r="J1489" s="3" t="s">
        <v>78</v>
      </c>
      <c r="K1489" s="5">
        <v>16.6667</v>
      </c>
      <c r="L1489" s="6"/>
      <c r="M1489" s="6" t="str">
        <f>IF(D1489&lt;&gt;"",VLOOKUP(H1489,TABLEITEM,3,FALSE),"")</f>
        <v>เหล็กกล่อง 1/2 หนา1.2 มิล</v>
      </c>
      <c r="N1489" s="7">
        <f>INSTOCK!$I1489*INSTOCK!$K1489</f>
        <v>500.001</v>
      </c>
      <c r="O1489" s="2" t="s">
        <v>1853</v>
      </c>
      <c r="P1489" s="2"/>
    </row>
    <row r="1490" ht="18.0" hidden="1" customHeight="1">
      <c r="A1490" s="1"/>
      <c r="B1490" s="3"/>
      <c r="C1490" s="4">
        <v>43610.0</v>
      </c>
      <c r="D1490" s="2" t="s">
        <v>1851</v>
      </c>
      <c r="E1490" s="2">
        <v>6.2050008E9</v>
      </c>
      <c r="F1490" s="3" t="s">
        <v>1852</v>
      </c>
      <c r="G1490" s="2" t="s">
        <v>202</v>
      </c>
      <c r="H1490" s="2" t="s">
        <v>94</v>
      </c>
      <c r="I1490" s="3">
        <v>12.0</v>
      </c>
      <c r="J1490" s="3" t="s">
        <v>78</v>
      </c>
      <c r="K1490" s="5">
        <v>30.0</v>
      </c>
      <c r="L1490" s="6"/>
      <c r="M1490" s="6" t="str">
        <f>IF(D1490&lt;&gt;"",VLOOKUP(H1490,TABLEITEM,3,FALSE),"")</f>
        <v>เหล็กกล่อง 1'' หนา1.6 มิล</v>
      </c>
      <c r="N1490" s="7">
        <f>INSTOCK!$I1490*INSTOCK!$K1490</f>
        <v>360</v>
      </c>
      <c r="O1490" s="2" t="s">
        <v>1854</v>
      </c>
      <c r="P1490" s="2"/>
    </row>
    <row r="1491" ht="18.0" hidden="1" customHeight="1">
      <c r="A1491" s="1"/>
      <c r="B1491" s="3"/>
      <c r="C1491" s="4">
        <v>43608.0</v>
      </c>
      <c r="D1491" s="2" t="s">
        <v>1855</v>
      </c>
      <c r="E1491" s="2">
        <v>6.205000796E9</v>
      </c>
      <c r="F1491" s="3" t="s">
        <v>161</v>
      </c>
      <c r="G1491" s="2" t="s">
        <v>202</v>
      </c>
      <c r="H1491" s="2" t="s">
        <v>85</v>
      </c>
      <c r="I1491" s="3">
        <v>900.0</v>
      </c>
      <c r="J1491" s="3" t="s">
        <v>78</v>
      </c>
      <c r="K1491" s="5">
        <v>42.5</v>
      </c>
      <c r="L1491" s="6"/>
      <c r="M1491" s="6" t="str">
        <f>IF(D1491&lt;&gt;"",VLOOKUP(H1491,TABLEITEM,3,FALSE),"")</f>
        <v>เหล็กฉาก 1''1/2'หนา3 มิล</v>
      </c>
      <c r="N1491" s="7">
        <f>INSTOCK!$I1491*INSTOCK!$K1491</f>
        <v>38250</v>
      </c>
      <c r="O1491" s="2"/>
      <c r="P1491" s="2"/>
    </row>
    <row r="1492" ht="18.0" hidden="1" customHeight="1">
      <c r="A1492" s="1"/>
      <c r="B1492" s="3"/>
      <c r="C1492" s="4">
        <v>43608.0</v>
      </c>
      <c r="D1492" s="2" t="s">
        <v>1856</v>
      </c>
      <c r="E1492" s="2">
        <v>6.205000676E9</v>
      </c>
      <c r="F1492" s="3" t="s">
        <v>161</v>
      </c>
      <c r="G1492" s="2" t="s">
        <v>202</v>
      </c>
      <c r="H1492" s="2" t="s">
        <v>54</v>
      </c>
      <c r="I1492" s="3">
        <v>75.0</v>
      </c>
      <c r="J1492" s="3"/>
      <c r="K1492" s="5">
        <v>2600.0</v>
      </c>
      <c r="L1492" s="6"/>
      <c r="M1492" s="6" t="str">
        <f>IF(D1492&lt;&gt;"",VLOOKUP(H1492,TABLEITEM,3,FALSE),"")</f>
        <v>เหล็กแผ่นดำ5'x10'T3.0</v>
      </c>
      <c r="N1492" s="7">
        <f>INSTOCK!$I1492*INSTOCK!$K1492</f>
        <v>195000</v>
      </c>
      <c r="O1492" s="2"/>
      <c r="P1492" s="2"/>
    </row>
    <row r="1493" ht="18.0" hidden="1" customHeight="1">
      <c r="A1493" s="1"/>
      <c r="B1493" s="3"/>
      <c r="C1493" s="4">
        <v>43599.0</v>
      </c>
      <c r="D1493" s="2" t="s">
        <v>1857</v>
      </c>
      <c r="E1493" s="2">
        <v>6.205000835E9</v>
      </c>
      <c r="F1493" s="3" t="s">
        <v>1858</v>
      </c>
      <c r="G1493" s="2" t="s">
        <v>733</v>
      </c>
      <c r="H1493" s="2" t="s">
        <v>1454</v>
      </c>
      <c r="I1493" s="3">
        <v>9.0</v>
      </c>
      <c r="J1493" s="3"/>
      <c r="K1493" s="5">
        <v>25.0</v>
      </c>
      <c r="L1493" s="6"/>
      <c r="M1493" s="6" t="str">
        <f>IF(D1493&lt;&gt;"",VLOOKUP(H1493,TABLEITEM,3,FALSE),"")</f>
        <v>กระจก132X132T3.0</v>
      </c>
      <c r="N1493" s="7">
        <f>INSTOCK!$I1493*INSTOCK!$K1493</f>
        <v>225</v>
      </c>
      <c r="O1493" s="2"/>
      <c r="P1493" s="2"/>
    </row>
    <row r="1494" ht="18.0" hidden="1" customHeight="1">
      <c r="A1494" s="1"/>
      <c r="B1494" s="3"/>
      <c r="C1494" s="4">
        <v>43599.0</v>
      </c>
      <c r="D1494" s="2" t="s">
        <v>1859</v>
      </c>
      <c r="E1494" s="2">
        <v>6.205000835E9</v>
      </c>
      <c r="F1494" s="3" t="s">
        <v>1860</v>
      </c>
      <c r="G1494" s="2" t="s">
        <v>733</v>
      </c>
      <c r="H1494" s="2" t="s">
        <v>1454</v>
      </c>
      <c r="I1494" s="3">
        <v>6.0</v>
      </c>
      <c r="J1494" s="3"/>
      <c r="K1494" s="5">
        <v>25.0</v>
      </c>
      <c r="L1494" s="6"/>
      <c r="M1494" s="6" t="str">
        <f>IF(D1494&lt;&gt;"",VLOOKUP(H1494,TABLEITEM,3,FALSE),"")</f>
        <v>กระจก132X132T3.0</v>
      </c>
      <c r="N1494" s="7">
        <f>INSTOCK!$I1494*INSTOCK!$K1494</f>
        <v>150</v>
      </c>
      <c r="O1494" s="2"/>
      <c r="P1494" s="2"/>
    </row>
    <row r="1495" ht="18.0" hidden="1" customHeight="1">
      <c r="A1495" s="1"/>
      <c r="B1495" s="3"/>
      <c r="C1495" s="4">
        <v>43602.0</v>
      </c>
      <c r="D1495" s="2" t="s">
        <v>1861</v>
      </c>
      <c r="E1495" s="2">
        <v>6.205000835E9</v>
      </c>
      <c r="F1495" s="3" t="s">
        <v>1862</v>
      </c>
      <c r="G1495" s="2" t="s">
        <v>733</v>
      </c>
      <c r="H1495" s="2" t="s">
        <v>1863</v>
      </c>
      <c r="I1495" s="3">
        <v>1.0</v>
      </c>
      <c r="J1495" s="3"/>
      <c r="K1495" s="5">
        <v>38.0</v>
      </c>
      <c r="L1495" s="6"/>
      <c r="M1495" s="6" t="str">
        <f>IF(D1495&lt;&gt;"",VLOOKUP(H1495,TABLEITEM,3,FALSE),"")</f>
        <v>กระจก 164x364 หนา 3.0มิล</v>
      </c>
      <c r="N1495" s="7">
        <f>INSTOCK!$I1495*INSTOCK!$K1495</f>
        <v>38</v>
      </c>
      <c r="O1495" s="2"/>
      <c r="P1495" s="2"/>
    </row>
    <row r="1496" ht="18.0" hidden="1" customHeight="1">
      <c r="A1496" s="1"/>
      <c r="B1496" s="3"/>
      <c r="C1496" s="4">
        <v>43602.0</v>
      </c>
      <c r="D1496" s="2" t="s">
        <v>1861</v>
      </c>
      <c r="E1496" s="2">
        <v>6.205000835E9</v>
      </c>
      <c r="F1496" s="3" t="s">
        <v>1862</v>
      </c>
      <c r="G1496" s="2" t="s">
        <v>733</v>
      </c>
      <c r="H1496" s="2" t="s">
        <v>1864</v>
      </c>
      <c r="I1496" s="3">
        <v>2.0</v>
      </c>
      <c r="J1496" s="3"/>
      <c r="K1496" s="5">
        <v>25.0</v>
      </c>
      <c r="L1496" s="6"/>
      <c r="M1496" s="6" t="str">
        <f>IF(D1496&lt;&gt;"",VLOOKUP(H1496,TABLEITEM,3,FALSE),"")</f>
        <v>กระจก 264x264 หนา 3.0มิล</v>
      </c>
      <c r="N1496" s="7">
        <f>INSTOCK!$I1496*INSTOCK!$K1496</f>
        <v>50</v>
      </c>
      <c r="O1496" s="2"/>
      <c r="P1496" s="2"/>
    </row>
    <row r="1497" ht="18.0" hidden="1" customHeight="1">
      <c r="A1497" s="1"/>
      <c r="B1497" s="3"/>
      <c r="C1497" s="4">
        <v>43596.0</v>
      </c>
      <c r="D1497" s="2" t="s">
        <v>1865</v>
      </c>
      <c r="E1497" s="2">
        <v>6.205000835E9</v>
      </c>
      <c r="F1497" s="3" t="s">
        <v>1860</v>
      </c>
      <c r="G1497" s="2" t="s">
        <v>733</v>
      </c>
      <c r="H1497" s="2" t="s">
        <v>1866</v>
      </c>
      <c r="I1497" s="3">
        <v>1.0</v>
      </c>
      <c r="J1497" s="3"/>
      <c r="K1497" s="5">
        <v>23.0</v>
      </c>
      <c r="L1497" s="6"/>
      <c r="M1497" s="6" t="str">
        <f>IF(D1497&lt;&gt;"",VLOOKUP(H1497,TABLEITEM,3,FALSE),"")</f>
        <v>กระจก 134x134 หนา 3.0มิล</v>
      </c>
      <c r="N1497" s="7">
        <f>INSTOCK!$I1497*INSTOCK!$K1497</f>
        <v>23</v>
      </c>
      <c r="O1497" s="2"/>
      <c r="P1497" s="2"/>
    </row>
    <row r="1498" ht="18.0" hidden="1" customHeight="1">
      <c r="A1498" s="1"/>
      <c r="B1498" s="3"/>
      <c r="C1498" s="4">
        <v>43596.0</v>
      </c>
      <c r="D1498" s="2" t="s">
        <v>1865</v>
      </c>
      <c r="E1498" s="2">
        <v>6.205000835E9</v>
      </c>
      <c r="F1498" s="3" t="s">
        <v>1860</v>
      </c>
      <c r="G1498" s="2" t="s">
        <v>733</v>
      </c>
      <c r="H1498" s="2" t="s">
        <v>1867</v>
      </c>
      <c r="I1498" s="3">
        <v>1.0</v>
      </c>
      <c r="J1498" s="3"/>
      <c r="K1498" s="5">
        <v>90.0</v>
      </c>
      <c r="L1498" s="6"/>
      <c r="M1498" s="6" t="str">
        <f>IF(D1498&lt;&gt;"",VLOOKUP(H1498,TABLEITEM,3,FALSE),"")</f>
        <v>กระจก 314x514 หนา 5.0มิล</v>
      </c>
      <c r="N1498" s="7">
        <f>INSTOCK!$I1498*INSTOCK!$K1498</f>
        <v>90</v>
      </c>
      <c r="O1498" s="2"/>
      <c r="P1498" s="2"/>
    </row>
    <row r="1499" ht="18.0" hidden="1" customHeight="1">
      <c r="A1499" s="1"/>
      <c r="B1499" s="3"/>
      <c r="C1499" s="4">
        <v>43593.0</v>
      </c>
      <c r="D1499" s="2" t="s">
        <v>1868</v>
      </c>
      <c r="E1499" s="2">
        <v>6.205000835E9</v>
      </c>
      <c r="F1499" s="3" t="s">
        <v>1869</v>
      </c>
      <c r="G1499" s="2" t="s">
        <v>733</v>
      </c>
      <c r="H1499" s="2" t="s">
        <v>1870</v>
      </c>
      <c r="I1499" s="3">
        <v>1.0</v>
      </c>
      <c r="J1499" s="3"/>
      <c r="K1499" s="5">
        <v>150.0</v>
      </c>
      <c r="L1499" s="6"/>
      <c r="M1499" s="6" t="str">
        <f>IF(D1499&lt;&gt;"",VLOOKUP(H1499,TABLEITEM,3,FALSE),"")</f>
        <v>กระจก 564x714 หนา 5.0มิล</v>
      </c>
      <c r="N1499" s="7">
        <f>INSTOCK!$I1499*INSTOCK!$K1499</f>
        <v>150</v>
      </c>
      <c r="O1499" s="2"/>
      <c r="P1499" s="2"/>
    </row>
    <row r="1500" ht="18.0" hidden="1" customHeight="1">
      <c r="A1500" s="1"/>
      <c r="B1500" s="3"/>
      <c r="C1500" s="4">
        <v>43613.0</v>
      </c>
      <c r="D1500" s="2" t="s">
        <v>1871</v>
      </c>
      <c r="E1500" s="2"/>
      <c r="F1500" s="3" t="s">
        <v>1872</v>
      </c>
      <c r="G1500" s="2" t="s">
        <v>240</v>
      </c>
      <c r="H1500" s="2" t="s">
        <v>1873</v>
      </c>
      <c r="I1500" s="3">
        <v>6.0</v>
      </c>
      <c r="J1500" s="3" t="s">
        <v>78</v>
      </c>
      <c r="K1500" s="5">
        <v>86.667</v>
      </c>
      <c r="L1500" s="6"/>
      <c r="M1500" s="6" t="str">
        <f>IF(D1500&lt;&gt;"",VLOOKUP(H1500,TABLEITEM,3,FALSE),"")</f>
        <v>ท่อสเตนเลสกลม 1-1/4"x1.2mm </v>
      </c>
      <c r="N1500" s="7">
        <f>INSTOCK!$I1500*INSTOCK!$K1500</f>
        <v>520.002</v>
      </c>
      <c r="O1500" s="2"/>
      <c r="P1500" s="2"/>
    </row>
    <row r="1501" ht="18.0" hidden="1" customHeight="1">
      <c r="A1501" s="1"/>
      <c r="B1501" s="3"/>
      <c r="C1501" s="4">
        <v>43614.0</v>
      </c>
      <c r="D1501" s="2" t="s">
        <v>1620</v>
      </c>
      <c r="E1501" s="2"/>
      <c r="F1501" s="3" t="s">
        <v>161</v>
      </c>
      <c r="G1501" s="2" t="s">
        <v>456</v>
      </c>
      <c r="H1501" s="2" t="s">
        <v>723</v>
      </c>
      <c r="I1501" s="3">
        <v>100.0</v>
      </c>
      <c r="J1501" s="3"/>
      <c r="K1501" s="5"/>
      <c r="L1501" s="6"/>
      <c r="M1501" s="6" t="str">
        <f>IF(D1501&lt;&gt;"",VLOOKUP(H1501,TABLEITEM,3,FALSE),"")</f>
        <v>คานเชื่อม600</v>
      </c>
      <c r="N1501" s="7">
        <f>INSTOCK!$I1501*INSTOCK!$K1501</f>
        <v>0</v>
      </c>
      <c r="O1501" s="2"/>
      <c r="P1501" s="2"/>
    </row>
    <row r="1502" ht="18.0" hidden="1" customHeight="1">
      <c r="A1502" s="1"/>
      <c r="B1502" s="3"/>
      <c r="C1502" s="4">
        <v>43617.0</v>
      </c>
      <c r="D1502" s="2" t="s">
        <v>1794</v>
      </c>
      <c r="E1502" s="2"/>
      <c r="F1502" s="3" t="s">
        <v>161</v>
      </c>
      <c r="G1502" s="2" t="s">
        <v>456</v>
      </c>
      <c r="H1502" s="2" t="s">
        <v>582</v>
      </c>
      <c r="I1502" s="3">
        <v>40.0</v>
      </c>
      <c r="J1502" s="3"/>
      <c r="K1502" s="5"/>
      <c r="L1502" s="6"/>
      <c r="M1502" s="6" t="str">
        <f>IF(D1502&lt;&gt;"",VLOOKUP(H1502,TABLEITEM,3,FALSE),"")</f>
        <v>คานรับลูกถ้วย 50x40x720</v>
      </c>
      <c r="N1502" s="7">
        <f>INSTOCK!$I1502*INSTOCK!$K1502</f>
        <v>0</v>
      </c>
      <c r="O1502" s="2"/>
      <c r="P1502" s="2"/>
    </row>
    <row r="1503" ht="18.0" hidden="1" customHeight="1">
      <c r="A1503" s="1"/>
      <c r="B1503" s="3"/>
      <c r="C1503" s="4">
        <v>43617.0</v>
      </c>
      <c r="D1503" s="2" t="s">
        <v>1874</v>
      </c>
      <c r="E1503" s="2"/>
      <c r="F1503" s="3" t="s">
        <v>161</v>
      </c>
      <c r="G1503" s="2" t="s">
        <v>456</v>
      </c>
      <c r="H1503" s="2" t="s">
        <v>1875</v>
      </c>
      <c r="I1503" s="3">
        <v>20.0</v>
      </c>
      <c r="J1503" s="3"/>
      <c r="K1503" s="5"/>
      <c r="L1503" s="6"/>
      <c r="M1503" s="6" t="str">
        <f>IF(D1503&lt;&gt;"",VLOOKUP(H1503,TABLEITEM,3,FALSE),"")</f>
        <v>เพลทเบกเกอร์ 625x220</v>
      </c>
      <c r="N1503" s="7">
        <f>INSTOCK!$I1503*INSTOCK!$K1503</f>
        <v>0</v>
      </c>
      <c r="O1503" s="2"/>
      <c r="P1503" s="2"/>
    </row>
    <row r="1504" ht="18.0" hidden="1" customHeight="1">
      <c r="A1504" s="1"/>
      <c r="B1504" s="3"/>
      <c r="C1504" s="4">
        <v>43617.0</v>
      </c>
      <c r="D1504" s="2" t="s">
        <v>1876</v>
      </c>
      <c r="E1504" s="2">
        <v>6.205000831E9</v>
      </c>
      <c r="F1504" s="3" t="s">
        <v>161</v>
      </c>
      <c r="G1504" s="2" t="s">
        <v>165</v>
      </c>
      <c r="H1504" s="2" t="s">
        <v>75</v>
      </c>
      <c r="I1504" s="3">
        <v>10.0</v>
      </c>
      <c r="J1504" s="3"/>
      <c r="K1504" s="5">
        <v>3450.0</v>
      </c>
      <c r="L1504" s="6"/>
      <c r="M1504" s="6" t="str">
        <f>IF(D1504&lt;&gt;"",VLOOKUP(H1504,TABLEITEM,3,FALSE),"")</f>
        <v>แผ่นเบกไลท์ 1220x2440T5.0</v>
      </c>
      <c r="N1504" s="7">
        <f>INSTOCK!$I1504*INSTOCK!$K1504</f>
        <v>34500</v>
      </c>
      <c r="O1504" s="2"/>
      <c r="P1504" s="2"/>
    </row>
    <row r="1505" ht="18.0" hidden="1" customHeight="1">
      <c r="A1505" s="1"/>
      <c r="B1505" s="3"/>
      <c r="C1505" s="4">
        <v>43192.0</v>
      </c>
      <c r="D1505" s="2" t="s">
        <v>1877</v>
      </c>
      <c r="E1505" s="2">
        <v>6.10300041E9</v>
      </c>
      <c r="F1505" s="3" t="s">
        <v>161</v>
      </c>
      <c r="G1505" s="2" t="s">
        <v>158</v>
      </c>
      <c r="H1505" s="2" t="s">
        <v>76</v>
      </c>
      <c r="I1505" s="3">
        <v>30.0</v>
      </c>
      <c r="J1505" s="3"/>
      <c r="K1505" s="5">
        <v>490.0</v>
      </c>
      <c r="L1505" s="6"/>
      <c r="M1505" s="6" t="str">
        <f>IF(D1505&lt;&gt;"",VLOOKUP(H1505,TABLEITEM,3,FALSE),"")</f>
        <v>แผ่นตระแกรงระบาย 4x8รู 3มิลT0.6</v>
      </c>
      <c r="N1505" s="7">
        <f>INSTOCK!$I1505*INSTOCK!$K1505</f>
        <v>14700</v>
      </c>
      <c r="O1505" s="2"/>
      <c r="P1505" s="2"/>
    </row>
    <row r="1506" ht="18.0" hidden="1" customHeight="1">
      <c r="A1506" s="1"/>
      <c r="B1506" s="3"/>
      <c r="C1506" s="4">
        <v>43622.0</v>
      </c>
      <c r="D1506" s="2" t="s">
        <v>1878</v>
      </c>
      <c r="E1506" s="2"/>
      <c r="F1506" s="3" t="s">
        <v>161</v>
      </c>
      <c r="G1506" s="2" t="s">
        <v>456</v>
      </c>
      <c r="H1506" s="2" t="s">
        <v>513</v>
      </c>
      <c r="I1506" s="3">
        <v>180.0</v>
      </c>
      <c r="J1506" s="3"/>
      <c r="K1506" s="5"/>
      <c r="L1506" s="6"/>
      <c r="M1506" s="6" t="str">
        <f>IF(D1506&lt;&gt;"",VLOOKUP(H1506,TABLEITEM,3,FALSE),"")</f>
        <v>เสาเชื่อม1925x40x50</v>
      </c>
      <c r="N1506" s="7">
        <f>INSTOCK!$I1506*INSTOCK!$K1506</f>
        <v>0</v>
      </c>
      <c r="O1506" s="2"/>
      <c r="P1506" s="2"/>
    </row>
    <row r="1507" ht="18.0" hidden="1" customHeight="1">
      <c r="A1507" s="1"/>
      <c r="B1507" s="3"/>
      <c r="C1507" s="4">
        <v>43622.0</v>
      </c>
      <c r="D1507" s="2" t="s">
        <v>1620</v>
      </c>
      <c r="E1507" s="2"/>
      <c r="F1507" s="3" t="s">
        <v>161</v>
      </c>
      <c r="G1507" s="2" t="s">
        <v>456</v>
      </c>
      <c r="H1507" s="2" t="s">
        <v>495</v>
      </c>
      <c r="I1507" s="3">
        <v>270.0</v>
      </c>
      <c r="J1507" s="3"/>
      <c r="K1507" s="5"/>
      <c r="L1507" s="6"/>
      <c r="M1507" s="6" t="str">
        <f>IF(D1507&lt;&gt;"",VLOOKUP(H1507,TABLEITEM,3,FALSE),"")</f>
        <v>คานเชื่อม800</v>
      </c>
      <c r="N1507" s="7">
        <f>INSTOCK!$I1507*INSTOCK!$K1507</f>
        <v>0</v>
      </c>
      <c r="O1507" s="2"/>
      <c r="P1507" s="2"/>
    </row>
    <row r="1508" ht="18.0" hidden="1" customHeight="1">
      <c r="A1508" s="1"/>
      <c r="B1508" s="3"/>
      <c r="C1508" s="4">
        <v>43617.0</v>
      </c>
      <c r="D1508" s="2" t="s">
        <v>1879</v>
      </c>
      <c r="E1508" s="2" t="s">
        <v>1880</v>
      </c>
      <c r="F1508" s="3" t="s">
        <v>161</v>
      </c>
      <c r="G1508" s="2" t="s">
        <v>171</v>
      </c>
      <c r="H1508" s="2" t="s">
        <v>16</v>
      </c>
      <c r="I1508" s="3">
        <v>400.0</v>
      </c>
      <c r="J1508" s="3"/>
      <c r="K1508" s="5">
        <v>540.56</v>
      </c>
      <c r="L1508" s="6"/>
      <c r="M1508" s="6" t="str">
        <f>IF(D1508&lt;&gt;"",VLOOKUP(H1508,TABLEITEM,3,FALSE),"")</f>
        <v>เหล็กแผ่นขาว4'x8'T1.0</v>
      </c>
      <c r="N1508" s="7">
        <f>INSTOCK!$I1508*INSTOCK!$K1508</f>
        <v>216224</v>
      </c>
      <c r="O1508" s="2"/>
      <c r="P1508" s="2"/>
    </row>
    <row r="1509" ht="18.0" hidden="1" customHeight="1">
      <c r="A1509" s="1"/>
      <c r="B1509" s="3"/>
      <c r="C1509" s="4">
        <v>43620.0</v>
      </c>
      <c r="D1509" s="2" t="s">
        <v>1881</v>
      </c>
      <c r="E1509" s="2">
        <v>6.205000833E9</v>
      </c>
      <c r="F1509" s="3" t="s">
        <v>161</v>
      </c>
      <c r="G1509" s="2" t="s">
        <v>171</v>
      </c>
      <c r="H1509" s="2" t="s">
        <v>43</v>
      </c>
      <c r="I1509" s="3">
        <v>100.0</v>
      </c>
      <c r="J1509" s="3"/>
      <c r="K1509" s="5">
        <v>1551.0</v>
      </c>
      <c r="L1509" s="6"/>
      <c r="M1509" s="6" t="str">
        <f>IF(D1509&lt;&gt;"",VLOOKUP(H1509,TABLEITEM,3,FALSE),"")</f>
        <v>เหล็กแผ่นEG4'x3000T2.0</v>
      </c>
      <c r="N1509" s="7">
        <f>INSTOCK!$I1509*INSTOCK!$K1509</f>
        <v>155100</v>
      </c>
      <c r="O1509" s="2"/>
      <c r="P1509" s="2"/>
    </row>
    <row r="1510" ht="18.0" hidden="1" customHeight="1">
      <c r="A1510" s="1"/>
      <c r="B1510" s="3"/>
      <c r="C1510" s="4">
        <v>43617.0</v>
      </c>
      <c r="D1510" s="2" t="s">
        <v>1882</v>
      </c>
      <c r="E1510" s="2" t="s">
        <v>1880</v>
      </c>
      <c r="F1510" s="3" t="s">
        <v>161</v>
      </c>
      <c r="G1510" s="2" t="s">
        <v>171</v>
      </c>
      <c r="H1510" s="2" t="s">
        <v>16</v>
      </c>
      <c r="I1510" s="3">
        <v>100.0</v>
      </c>
      <c r="J1510" s="3"/>
      <c r="K1510" s="5">
        <v>541.952</v>
      </c>
      <c r="L1510" s="6"/>
      <c r="M1510" s="6" t="str">
        <f>IF(D1510&lt;&gt;"",VLOOKUP(H1510,TABLEITEM,3,FALSE),"")</f>
        <v>เหล็กแผ่นขาว4'x8'T1.0</v>
      </c>
      <c r="N1510" s="7">
        <f>INSTOCK!$I1510*INSTOCK!$K1510</f>
        <v>54195.2</v>
      </c>
      <c r="O1510" s="2"/>
      <c r="P1510" s="2"/>
    </row>
    <row r="1511" ht="18.0" hidden="1" customHeight="1">
      <c r="A1511" s="1"/>
      <c r="B1511" s="3"/>
      <c r="C1511" s="4">
        <v>43617.0</v>
      </c>
      <c r="D1511" s="2" t="s">
        <v>1883</v>
      </c>
      <c r="E1511" s="2">
        <v>6.205000833E9</v>
      </c>
      <c r="F1511" s="3" t="s">
        <v>161</v>
      </c>
      <c r="G1511" s="2" t="s">
        <v>171</v>
      </c>
      <c r="H1511" s="2" t="s">
        <v>22</v>
      </c>
      <c r="I1511" s="3">
        <v>100.0</v>
      </c>
      <c r="J1511" s="3"/>
      <c r="K1511" s="5">
        <v>1354.86</v>
      </c>
      <c r="L1511" s="6"/>
      <c r="M1511" s="6" t="str">
        <f>IF(D1511&lt;&gt;"",VLOOKUP(H1511,TABLEITEM,3,FALSE),"")</f>
        <v>เหล็กแผ่นขาว4''X3000T2.0</v>
      </c>
      <c r="N1511" s="7">
        <f>INSTOCK!$I1511*INSTOCK!$K1511</f>
        <v>135486</v>
      </c>
      <c r="O1511" s="2"/>
      <c r="P1511" s="2"/>
    </row>
    <row r="1512" ht="18.0" hidden="1" customHeight="1">
      <c r="A1512" s="1"/>
      <c r="B1512" s="3"/>
      <c r="C1512" s="4">
        <v>43623.0</v>
      </c>
      <c r="D1512" s="2" t="s">
        <v>1884</v>
      </c>
      <c r="E1512" s="2"/>
      <c r="F1512" s="3" t="s">
        <v>161</v>
      </c>
      <c r="G1512" s="2" t="s">
        <v>456</v>
      </c>
      <c r="H1512" s="2" t="s">
        <v>480</v>
      </c>
      <c r="I1512" s="3">
        <v>21.0</v>
      </c>
      <c r="J1512" s="3"/>
      <c r="K1512" s="5"/>
      <c r="L1512" s="6"/>
      <c r="M1512" s="6" t="str">
        <f>IF(D1512&lt;&gt;"",VLOOKUP(H1512,TABLEITEM,3,FALSE),"")</f>
        <v>ฝาข้าง-ฝาหลัง 1875x670</v>
      </c>
      <c r="N1512" s="7">
        <f>INSTOCK!$I1512*INSTOCK!$K1512</f>
        <v>0</v>
      </c>
      <c r="O1512" s="2"/>
      <c r="P1512" s="2"/>
    </row>
    <row r="1513" ht="18.0" hidden="1" customHeight="1">
      <c r="A1513" s="1"/>
      <c r="B1513" s="3"/>
      <c r="C1513" s="4">
        <v>43623.0</v>
      </c>
      <c r="D1513" s="2" t="s">
        <v>1885</v>
      </c>
      <c r="E1513" s="2"/>
      <c r="F1513" s="3" t="s">
        <v>161</v>
      </c>
      <c r="G1513" s="2" t="s">
        <v>456</v>
      </c>
      <c r="H1513" s="2" t="s">
        <v>542</v>
      </c>
      <c r="I1513" s="3">
        <v>30.0</v>
      </c>
      <c r="J1513" s="3"/>
      <c r="K1513" s="5"/>
      <c r="L1513" s="6"/>
      <c r="M1513" s="6" t="str">
        <f>IF(D1513&lt;&gt;"",VLOOKUP(H1513,TABLEITEM,3,FALSE),"")</f>
        <v>ฝาข้าง-ฝาหลัง 1875x770</v>
      </c>
      <c r="N1513" s="7">
        <f>INSTOCK!$I1513*INSTOCK!$K1513</f>
        <v>0</v>
      </c>
      <c r="O1513" s="2"/>
      <c r="P1513" s="2"/>
    </row>
    <row r="1514" ht="18.0" hidden="1" customHeight="1">
      <c r="A1514" s="1"/>
      <c r="B1514" s="3"/>
      <c r="C1514" s="4">
        <v>43623.0</v>
      </c>
      <c r="D1514" s="2" t="s">
        <v>1886</v>
      </c>
      <c r="E1514" s="2"/>
      <c r="F1514" s="3" t="s">
        <v>161</v>
      </c>
      <c r="G1514" s="2" t="s">
        <v>456</v>
      </c>
      <c r="H1514" s="2" t="s">
        <v>1887</v>
      </c>
      <c r="I1514" s="3">
        <v>41.0</v>
      </c>
      <c r="J1514" s="3"/>
      <c r="K1514" s="5"/>
      <c r="L1514" s="6"/>
      <c r="M1514" s="6" t="str">
        <f>IF(D1514&lt;&gt;"",VLOOKUP(H1514,TABLEITEM,3,FALSE),"")</f>
        <v>คานฝาหน้า 50x22x420</v>
      </c>
      <c r="N1514" s="7">
        <f>INSTOCK!$I1514*INSTOCK!$K1514</f>
        <v>0</v>
      </c>
      <c r="O1514" s="2"/>
      <c r="P1514" s="2"/>
    </row>
    <row r="1515" ht="18.0" hidden="1" customHeight="1">
      <c r="A1515" s="1"/>
      <c r="B1515" s="3"/>
      <c r="C1515" s="4">
        <v>43623.0</v>
      </c>
      <c r="D1515" s="2" t="s">
        <v>1888</v>
      </c>
      <c r="E1515" s="2"/>
      <c r="F1515" s="3" t="s">
        <v>161</v>
      </c>
      <c r="G1515" s="2" t="s">
        <v>456</v>
      </c>
      <c r="H1515" s="2" t="s">
        <v>653</v>
      </c>
      <c r="I1515" s="3">
        <v>15.0</v>
      </c>
      <c r="J1515" s="3"/>
      <c r="K1515" s="5"/>
      <c r="L1515" s="6"/>
      <c r="M1515" s="6" t="str">
        <f>IF(D1515&lt;&gt;"",VLOOKUP(H1515,TABLEITEM,3,FALSE),"")</f>
        <v>ฝาข้าง-ฝาหลัง 2075x970</v>
      </c>
      <c r="N1515" s="7">
        <f>INSTOCK!$I1515*INSTOCK!$K1515</f>
        <v>0</v>
      </c>
      <c r="O1515" s="2"/>
      <c r="P1515" s="2"/>
    </row>
    <row r="1516" ht="18.0" hidden="1" customHeight="1">
      <c r="A1516" s="1"/>
      <c r="B1516" s="3"/>
      <c r="C1516" s="4">
        <v>43624.0</v>
      </c>
      <c r="D1516" s="2" t="s">
        <v>1759</v>
      </c>
      <c r="E1516" s="2"/>
      <c r="F1516" s="3" t="s">
        <v>161</v>
      </c>
      <c r="G1516" s="2" t="s">
        <v>456</v>
      </c>
      <c r="H1516" s="2" t="s">
        <v>540</v>
      </c>
      <c r="I1516" s="3">
        <v>22.0</v>
      </c>
      <c r="J1516" s="3"/>
      <c r="K1516" s="5"/>
      <c r="L1516" s="6"/>
      <c r="M1516" s="6" t="str">
        <f>IF(D1516&lt;&gt;"",VLOOKUP(H1516,TABLEITEM,3,FALSE),"")</f>
        <v>แพลทยึดอุปกรณ์595x690</v>
      </c>
      <c r="N1516" s="7">
        <f>INSTOCK!$I1516*INSTOCK!$K1516</f>
        <v>0</v>
      </c>
      <c r="O1516" s="2"/>
      <c r="P1516" s="2"/>
    </row>
    <row r="1517" ht="18.0" hidden="1" customHeight="1">
      <c r="A1517" s="1"/>
      <c r="B1517" s="3"/>
      <c r="C1517" s="4">
        <v>43623.0</v>
      </c>
      <c r="D1517" s="2" t="s">
        <v>1889</v>
      </c>
      <c r="E1517" s="2">
        <v>6.206000852E9</v>
      </c>
      <c r="F1517" s="3" t="s">
        <v>161</v>
      </c>
      <c r="G1517" s="2" t="s">
        <v>202</v>
      </c>
      <c r="H1517" s="2" t="s">
        <v>85</v>
      </c>
      <c r="I1517" s="3">
        <v>300.0</v>
      </c>
      <c r="J1517" s="3" t="s">
        <v>78</v>
      </c>
      <c r="K1517" s="5">
        <v>42.5</v>
      </c>
      <c r="L1517" s="6"/>
      <c r="M1517" s="6" t="str">
        <f>IF(D1517&lt;&gt;"",VLOOKUP(H1517,TABLEITEM,3,FALSE),"")</f>
        <v>เหล็กฉาก 1''1/2'หนา3 มิล</v>
      </c>
      <c r="N1517" s="7">
        <f>INSTOCK!$I1517*INSTOCK!$K1517</f>
        <v>12750</v>
      </c>
      <c r="O1517" s="2"/>
      <c r="P1517" s="2"/>
    </row>
    <row r="1518" ht="18.0" hidden="1" customHeight="1">
      <c r="A1518" s="1"/>
      <c r="B1518" s="3"/>
      <c r="C1518" s="4">
        <v>43623.0</v>
      </c>
      <c r="D1518" s="2" t="s">
        <v>1889</v>
      </c>
      <c r="E1518" s="2">
        <v>6.206000852E9</v>
      </c>
      <c r="F1518" s="3" t="s">
        <v>161</v>
      </c>
      <c r="G1518" s="2" t="s">
        <v>202</v>
      </c>
      <c r="H1518" s="2" t="s">
        <v>89</v>
      </c>
      <c r="I1518" s="3">
        <v>600.0</v>
      </c>
      <c r="J1518" s="3" t="s">
        <v>78</v>
      </c>
      <c r="K1518" s="5">
        <v>83.3333</v>
      </c>
      <c r="L1518" s="6"/>
      <c r="M1518" s="6" t="str">
        <f>IF(D1518&lt;&gt;"",VLOOKUP(H1518,TABLEITEM,3,FALSE),"")</f>
        <v>เหล็กฉาก 2''หนา5 มิล</v>
      </c>
      <c r="N1518" s="7">
        <f>INSTOCK!$I1518*INSTOCK!$K1518</f>
        <v>49999.98</v>
      </c>
      <c r="O1518" s="2"/>
      <c r="P1518" s="2"/>
    </row>
    <row r="1519" ht="18.0" hidden="1" customHeight="1">
      <c r="A1519" s="1"/>
      <c r="B1519" s="3"/>
      <c r="C1519" s="4">
        <v>43621.0</v>
      </c>
      <c r="D1519" s="2" t="s">
        <v>1890</v>
      </c>
      <c r="E1519" s="2">
        <v>6.205000832E9</v>
      </c>
      <c r="F1519" s="3" t="s">
        <v>161</v>
      </c>
      <c r="G1519" s="2" t="s">
        <v>202</v>
      </c>
      <c r="H1519" s="2" t="s">
        <v>79</v>
      </c>
      <c r="I1519" s="3">
        <v>300.0</v>
      </c>
      <c r="J1519" s="3" t="s">
        <v>78</v>
      </c>
      <c r="K1519" s="5">
        <v>145.0</v>
      </c>
      <c r="L1519" s="6"/>
      <c r="M1519" s="6" t="str">
        <f>IF(D1519&lt;&gt;"",VLOOKUP(H1519,TABLEITEM,3,FALSE),"")</f>
        <v>เหล็กรางน้ำ U' 3</v>
      </c>
      <c r="N1519" s="7">
        <f>INSTOCK!$I1519*INSTOCK!$K1519</f>
        <v>43500</v>
      </c>
      <c r="O1519" s="2"/>
      <c r="P1519" s="2"/>
    </row>
    <row r="1520" ht="18.0" hidden="1" customHeight="1">
      <c r="A1520" s="1"/>
      <c r="B1520" s="3"/>
      <c r="C1520" s="4">
        <v>43622.0</v>
      </c>
      <c r="D1520" s="2" t="s">
        <v>1891</v>
      </c>
      <c r="E1520" s="2">
        <v>6.206000853E9</v>
      </c>
      <c r="F1520" s="3" t="s">
        <v>161</v>
      </c>
      <c r="G1520" s="2" t="s">
        <v>158</v>
      </c>
      <c r="H1520" s="2" t="s">
        <v>76</v>
      </c>
      <c r="I1520" s="3">
        <v>20.0</v>
      </c>
      <c r="J1520" s="3"/>
      <c r="K1520" s="5">
        <v>490.0</v>
      </c>
      <c r="L1520" s="6"/>
      <c r="M1520" s="6" t="str">
        <f>IF(D1520&lt;&gt;"",VLOOKUP(H1520,TABLEITEM,3,FALSE),"")</f>
        <v>แผ่นตระแกรงระบาย 4x8รู 3มิลT0.6</v>
      </c>
      <c r="N1520" s="7">
        <f>INSTOCK!$I1520*INSTOCK!$K1520</f>
        <v>9800</v>
      </c>
      <c r="O1520" s="2"/>
      <c r="P1520" s="2"/>
    </row>
    <row r="1521" ht="18.0" hidden="1" customHeight="1">
      <c r="A1521" s="1"/>
      <c r="B1521" s="3"/>
      <c r="C1521" s="4">
        <v>43622.0</v>
      </c>
      <c r="D1521" s="2" t="s">
        <v>1892</v>
      </c>
      <c r="E1521" s="2">
        <v>6.206000851E9</v>
      </c>
      <c r="F1521" s="3" t="s">
        <v>1893</v>
      </c>
      <c r="G1521" s="2" t="s">
        <v>153</v>
      </c>
      <c r="H1521" s="2" t="s">
        <v>93</v>
      </c>
      <c r="I1521" s="3">
        <v>36.0</v>
      </c>
      <c r="J1521" s="3" t="s">
        <v>78</v>
      </c>
      <c r="K1521" s="5">
        <v>15.0</v>
      </c>
      <c r="L1521" s="6"/>
      <c r="M1521" s="6" t="str">
        <f>IF(D1521&lt;&gt;"",VLOOKUP(H1521,TABLEITEM,3,FALSE),"")</f>
        <v>เหล็กกล่อง 1/2 หนา1.2 มิล</v>
      </c>
      <c r="N1521" s="7">
        <f>INSTOCK!$I1521*INSTOCK!$K1521</f>
        <v>540</v>
      </c>
      <c r="O1521" s="2"/>
      <c r="P1521" s="2"/>
    </row>
    <row r="1522" ht="18.0" hidden="1" customHeight="1">
      <c r="A1522" s="1"/>
      <c r="B1522" s="3"/>
      <c r="C1522" s="4">
        <v>43622.0</v>
      </c>
      <c r="D1522" s="2" t="s">
        <v>1892</v>
      </c>
      <c r="E1522" s="2">
        <v>6.206000851E9</v>
      </c>
      <c r="F1522" s="3" t="s">
        <v>1893</v>
      </c>
      <c r="G1522" s="2" t="s">
        <v>153</v>
      </c>
      <c r="H1522" s="2" t="s">
        <v>1894</v>
      </c>
      <c r="I1522" s="3">
        <v>18.0</v>
      </c>
      <c r="J1522" s="3" t="s">
        <v>78</v>
      </c>
      <c r="K1522" s="5">
        <v>51.6667</v>
      </c>
      <c r="L1522" s="6"/>
      <c r="M1522" s="6" t="str">
        <f>IF(D1522&lt;&gt;"",VLOOKUP(H1522,TABLEITEM,3,FALSE),"")</f>
        <v>เหล็กกล่อง 3x11/2 หนา1.2 มิล</v>
      </c>
      <c r="N1522" s="7">
        <f>INSTOCK!$I1522*INSTOCK!$K1522</f>
        <v>930.0006</v>
      </c>
      <c r="O1522" s="2"/>
      <c r="P1522" s="2"/>
    </row>
    <row r="1523" ht="18.0" hidden="1" customHeight="1">
      <c r="A1523" s="1"/>
      <c r="B1523" s="3"/>
      <c r="C1523" s="4">
        <v>43627.0</v>
      </c>
      <c r="D1523" s="2" t="s">
        <v>1895</v>
      </c>
      <c r="E1523" s="2">
        <v>6.206000879E9</v>
      </c>
      <c r="F1523" s="3" t="s">
        <v>1893</v>
      </c>
      <c r="G1523" s="2" t="s">
        <v>153</v>
      </c>
      <c r="H1523" s="2" t="s">
        <v>1894</v>
      </c>
      <c r="I1523" s="3">
        <v>6.0</v>
      </c>
      <c r="J1523" s="3" t="s">
        <v>78</v>
      </c>
      <c r="K1523" s="5">
        <v>51.6667</v>
      </c>
      <c r="L1523" s="6"/>
      <c r="M1523" s="6" t="str">
        <f>IF(D1523&lt;&gt;"",VLOOKUP(H1523,TABLEITEM,3,FALSE),"")</f>
        <v>เหล็กกล่อง 3x11/2 หนา1.2 มิล</v>
      </c>
      <c r="N1523" s="7">
        <f>INSTOCK!$I1523*INSTOCK!$K1523</f>
        <v>310.0002</v>
      </c>
      <c r="O1523" s="2"/>
      <c r="P1523" s="2"/>
    </row>
    <row r="1524" ht="18.0" hidden="1" customHeight="1">
      <c r="A1524" s="1"/>
      <c r="B1524" s="3"/>
      <c r="C1524" s="4">
        <v>43626.0</v>
      </c>
      <c r="D1524" s="2" t="s">
        <v>1896</v>
      </c>
      <c r="E1524" s="2">
        <v>6.206000883E9</v>
      </c>
      <c r="F1524" s="3" t="s">
        <v>1897</v>
      </c>
      <c r="G1524" s="2" t="s">
        <v>733</v>
      </c>
      <c r="H1524" s="2" t="s">
        <v>839</v>
      </c>
      <c r="I1524" s="3">
        <v>14.0</v>
      </c>
      <c r="J1524" s="3"/>
      <c r="K1524" s="5">
        <v>25.0</v>
      </c>
      <c r="L1524" s="6"/>
      <c r="M1524" s="6" t="str">
        <f>IF(D1524&lt;&gt;"",VLOOKUP(H1524,TABLEITEM,3,FALSE),"")</f>
        <v>กระจก40x80T3.0</v>
      </c>
      <c r="N1524" s="7">
        <f>INSTOCK!$I1524*INSTOCK!$K1524</f>
        <v>350</v>
      </c>
      <c r="O1524" s="2"/>
      <c r="P1524" s="2"/>
    </row>
    <row r="1525" ht="18.0" hidden="1" customHeight="1">
      <c r="A1525" s="1"/>
      <c r="B1525" s="3"/>
      <c r="C1525" s="4">
        <v>43615.0</v>
      </c>
      <c r="D1525" s="2" t="s">
        <v>1898</v>
      </c>
      <c r="E1525" s="2">
        <v>6.206000883E9</v>
      </c>
      <c r="F1525" s="3" t="s">
        <v>1899</v>
      </c>
      <c r="G1525" s="2" t="s">
        <v>733</v>
      </c>
      <c r="H1525" s="2" t="s">
        <v>1900</v>
      </c>
      <c r="I1525" s="3">
        <v>3.0</v>
      </c>
      <c r="J1525" s="3"/>
      <c r="K1525" s="5">
        <v>25.0</v>
      </c>
      <c r="L1525" s="6"/>
      <c r="M1525" s="6" t="str">
        <f>IF(D1525&lt;&gt;"",VLOOKUP(H1525,TABLEITEM,3,FALSE),"")</f>
        <v>กระจกใส 224x254 หนา 3.0 มิล</v>
      </c>
      <c r="N1525" s="7">
        <f>INSTOCK!$I1525*INSTOCK!$K1525</f>
        <v>75</v>
      </c>
      <c r="O1525" s="2"/>
      <c r="P1525" s="2"/>
    </row>
    <row r="1526" ht="18.0" hidden="1" customHeight="1">
      <c r="A1526" s="1"/>
      <c r="B1526" s="3"/>
      <c r="C1526" s="4">
        <v>43615.0</v>
      </c>
      <c r="D1526" s="2" t="s">
        <v>1901</v>
      </c>
      <c r="E1526" s="2">
        <v>6.206000883E9</v>
      </c>
      <c r="F1526" s="3" t="s">
        <v>1902</v>
      </c>
      <c r="G1526" s="2" t="s">
        <v>733</v>
      </c>
      <c r="H1526" s="2" t="s">
        <v>1903</v>
      </c>
      <c r="I1526" s="3">
        <v>3.0</v>
      </c>
      <c r="J1526" s="3"/>
      <c r="K1526" s="5">
        <v>25.0</v>
      </c>
      <c r="L1526" s="6"/>
      <c r="M1526" s="6" t="str">
        <f>IF(D1526&lt;&gt;"",VLOOKUP(H1526,TABLEITEM,3,FALSE),"")</f>
        <v>กระจกใส 94x254 หนา 3.0 มิล</v>
      </c>
      <c r="N1526" s="7">
        <f>INSTOCK!$I1526*INSTOCK!$K1526</f>
        <v>75</v>
      </c>
      <c r="O1526" s="2"/>
      <c r="P1526" s="2"/>
    </row>
    <row r="1527" ht="18.0" hidden="1" customHeight="1">
      <c r="A1527" s="1"/>
      <c r="B1527" s="3"/>
      <c r="C1527" s="4">
        <v>43626.0</v>
      </c>
      <c r="D1527" s="2" t="s">
        <v>1904</v>
      </c>
      <c r="E1527" s="2">
        <v>6.206000883E9</v>
      </c>
      <c r="F1527" s="3" t="s">
        <v>1905</v>
      </c>
      <c r="G1527" s="2" t="s">
        <v>733</v>
      </c>
      <c r="H1527" s="2" t="s">
        <v>1906</v>
      </c>
      <c r="I1527" s="3">
        <v>1.0</v>
      </c>
      <c r="J1527" s="3"/>
      <c r="K1527" s="5">
        <v>75.0</v>
      </c>
      <c r="L1527" s="6"/>
      <c r="M1527" s="6" t="str">
        <f>IF(D1527&lt;&gt;"",VLOOKUP(H1527,TABLEITEM,3,FALSE),"")</f>
        <v>กระจกใส 364x454 หนา 3.0 มิล</v>
      </c>
      <c r="N1527" s="7">
        <f>INSTOCK!$I1527*INSTOCK!$K1527</f>
        <v>75</v>
      </c>
      <c r="O1527" s="2"/>
      <c r="P1527" s="2"/>
    </row>
    <row r="1528" ht="18.0" hidden="1" customHeight="1">
      <c r="A1528" s="1"/>
      <c r="B1528" s="3"/>
      <c r="C1528" s="4">
        <v>43626.0</v>
      </c>
      <c r="D1528" s="2" t="s">
        <v>1904</v>
      </c>
      <c r="E1528" s="2">
        <v>6.206000883E9</v>
      </c>
      <c r="F1528" s="3" t="s">
        <v>1893</v>
      </c>
      <c r="G1528" s="2" t="s">
        <v>733</v>
      </c>
      <c r="H1528" s="2" t="s">
        <v>1907</v>
      </c>
      <c r="I1528" s="3">
        <v>2.0</v>
      </c>
      <c r="J1528" s="3"/>
      <c r="K1528" s="5">
        <v>600.0</v>
      </c>
      <c r="L1528" s="6"/>
      <c r="M1528" s="6" t="str">
        <f>IF(D1528&lt;&gt;"",VLOOKUP(H1528,TABLEITEM,3,FALSE),"")</f>
        <v>กระจกใส 1129x1204 หนา 5.0 มิล</v>
      </c>
      <c r="N1528" s="7">
        <f>INSTOCK!$I1528*INSTOCK!$K1528</f>
        <v>1200</v>
      </c>
      <c r="O1528" s="2"/>
      <c r="P1528" s="2"/>
    </row>
    <row r="1529" ht="18.0" hidden="1" customHeight="1">
      <c r="A1529" s="1"/>
      <c r="B1529" s="3"/>
      <c r="C1529" s="4">
        <v>43617.0</v>
      </c>
      <c r="D1529" s="2" t="s">
        <v>1908</v>
      </c>
      <c r="E1529" s="2">
        <v>6.206000883E9</v>
      </c>
      <c r="F1529" s="3" t="s">
        <v>1909</v>
      </c>
      <c r="G1529" s="2" t="s">
        <v>733</v>
      </c>
      <c r="H1529" s="2" t="s">
        <v>1910</v>
      </c>
      <c r="I1529" s="3">
        <v>1.0</v>
      </c>
      <c r="J1529" s="3"/>
      <c r="K1529" s="5">
        <v>60.0</v>
      </c>
      <c r="L1529" s="6"/>
      <c r="M1529" s="6" t="str">
        <f>IF(D1529&lt;&gt;"",VLOOKUP(H1529,TABLEITEM,3,FALSE),"")</f>
        <v>กระจกใส 214x514 หนา 5.0 มิล</v>
      </c>
      <c r="N1529" s="7">
        <f>INSTOCK!$I1529*INSTOCK!$K1529</f>
        <v>60</v>
      </c>
      <c r="O1529" s="2"/>
      <c r="P1529" s="2"/>
    </row>
    <row r="1530" ht="18.0" hidden="1" customHeight="1">
      <c r="A1530" s="1"/>
      <c r="B1530" s="3"/>
      <c r="C1530" s="4">
        <v>43623.0</v>
      </c>
      <c r="D1530" s="2" t="s">
        <v>1911</v>
      </c>
      <c r="E1530" s="2">
        <v>6.206000883E9</v>
      </c>
      <c r="F1530" s="3" t="s">
        <v>1912</v>
      </c>
      <c r="G1530" s="2" t="s">
        <v>733</v>
      </c>
      <c r="H1530" s="2" t="s">
        <v>1913</v>
      </c>
      <c r="I1530" s="3">
        <v>2.0</v>
      </c>
      <c r="J1530" s="3"/>
      <c r="K1530" s="5">
        <v>68.0</v>
      </c>
      <c r="L1530" s="6"/>
      <c r="M1530" s="6" t="str">
        <f>IF(D1530&lt;&gt;"",VLOOKUP(H1530,TABLEITEM,3,FALSE),"")</f>
        <v>กระจกใส 374x394 หนา 5.0 มิล</v>
      </c>
      <c r="N1530" s="7">
        <f>INSTOCK!$I1530*INSTOCK!$K1530</f>
        <v>136</v>
      </c>
      <c r="O1530" s="2"/>
      <c r="P1530" s="2"/>
    </row>
    <row r="1531" ht="18.0" hidden="1" customHeight="1">
      <c r="A1531" s="1"/>
      <c r="B1531" s="3"/>
      <c r="C1531" s="4">
        <v>43629.0</v>
      </c>
      <c r="D1531" s="43" t="s">
        <v>1914</v>
      </c>
      <c r="E1531" s="2"/>
      <c r="F1531" s="3" t="s">
        <v>161</v>
      </c>
      <c r="G1531" s="2" t="s">
        <v>456</v>
      </c>
      <c r="H1531" s="2" t="s">
        <v>489</v>
      </c>
      <c r="I1531" s="3">
        <v>53.0</v>
      </c>
      <c r="J1531" s="3"/>
      <c r="K1531" s="5"/>
      <c r="L1531" s="6"/>
      <c r="M1531" s="6" t="str">
        <f>IF(D1531&lt;&gt;"",VLOOKUP(H1531,TABLEITEM,3,FALSE),"")</f>
        <v>คานตัวC 70x25T3.0x520</v>
      </c>
      <c r="N1531" s="7">
        <f>INSTOCK!$I1531*INSTOCK!$K1531</f>
        <v>0</v>
      </c>
      <c r="O1531" s="2"/>
      <c r="P1531" s="2"/>
    </row>
    <row r="1532" ht="18.0" hidden="1" customHeight="1">
      <c r="A1532" s="1"/>
      <c r="B1532" s="3"/>
      <c r="C1532" s="4">
        <v>43629.0</v>
      </c>
      <c r="D1532" s="2" t="s">
        <v>1878</v>
      </c>
      <c r="E1532" s="2"/>
      <c r="F1532" s="3" t="s">
        <v>161</v>
      </c>
      <c r="G1532" s="2" t="s">
        <v>456</v>
      </c>
      <c r="H1532" s="2" t="s">
        <v>513</v>
      </c>
      <c r="I1532" s="3">
        <v>180.0</v>
      </c>
      <c r="J1532" s="3"/>
      <c r="K1532" s="5"/>
      <c r="L1532" s="6"/>
      <c r="M1532" s="6" t="str">
        <f>IF(D1532&lt;&gt;"",VLOOKUP(H1532,TABLEITEM,3,FALSE),"")</f>
        <v>เสาเชื่อม1925x40x50</v>
      </c>
      <c r="N1532" s="7">
        <f>INSTOCK!$I1532*INSTOCK!$K1532</f>
        <v>0</v>
      </c>
      <c r="O1532" s="2"/>
      <c r="P1532" s="2"/>
    </row>
    <row r="1533" ht="18.0" hidden="1" customHeight="1">
      <c r="A1533" s="1"/>
      <c r="B1533" s="3"/>
      <c r="C1533" s="4">
        <v>43629.0</v>
      </c>
      <c r="D1533" s="2" t="s">
        <v>1915</v>
      </c>
      <c r="E1533" s="2"/>
      <c r="F1533" s="3" t="s">
        <v>161</v>
      </c>
      <c r="G1533" s="2" t="s">
        <v>456</v>
      </c>
      <c r="H1533" s="2" t="s">
        <v>567</v>
      </c>
      <c r="I1533" s="3">
        <v>20.0</v>
      </c>
      <c r="J1533" s="3"/>
      <c r="K1533" s="5"/>
      <c r="L1533" s="6"/>
      <c r="M1533" s="6" t="str">
        <f>IF(D1533&lt;&gt;"",VLOOKUP(H1533,TABLEITEM,3,FALSE),"")</f>
        <v>เพลทเบกเกอร์ 614x170</v>
      </c>
      <c r="N1533" s="7">
        <f>INSTOCK!$I1533*INSTOCK!$K1533</f>
        <v>0</v>
      </c>
      <c r="O1533" s="2"/>
      <c r="P1533" s="2"/>
    </row>
    <row r="1534" ht="18.0" hidden="1" customHeight="1">
      <c r="A1534" s="1"/>
      <c r="B1534" s="3"/>
      <c r="C1534" s="4">
        <v>43629.0</v>
      </c>
      <c r="D1534" s="2" t="s">
        <v>1916</v>
      </c>
      <c r="E1534" s="2"/>
      <c r="F1534" s="3" t="s">
        <v>161</v>
      </c>
      <c r="G1534" s="2" t="s">
        <v>456</v>
      </c>
      <c r="H1534" s="2" t="s">
        <v>1917</v>
      </c>
      <c r="I1534" s="3">
        <v>20.0</v>
      </c>
      <c r="J1534" s="3"/>
      <c r="K1534" s="5"/>
      <c r="L1534" s="6"/>
      <c r="M1534" s="6" t="str">
        <f>IF(D1534&lt;&gt;"",VLOOKUP(H1534,TABLEITEM,3,FALSE),"")</f>
        <v>เพลทเบกเกอร์ 514x170</v>
      </c>
      <c r="N1534" s="7">
        <f>INSTOCK!$I1534*INSTOCK!$K1534</f>
        <v>0</v>
      </c>
      <c r="O1534" s="2"/>
      <c r="P1534" s="2"/>
    </row>
    <row r="1535" ht="18.0" hidden="1" customHeight="1">
      <c r="A1535" s="1"/>
      <c r="B1535" s="3"/>
      <c r="C1535" s="4">
        <v>43629.0</v>
      </c>
      <c r="D1535" s="2" t="s">
        <v>1918</v>
      </c>
      <c r="E1535" s="2"/>
      <c r="F1535" s="3" t="s">
        <v>161</v>
      </c>
      <c r="G1535" s="2" t="s">
        <v>456</v>
      </c>
      <c r="H1535" s="2" t="s">
        <v>504</v>
      </c>
      <c r="I1535" s="3">
        <v>26.0</v>
      </c>
      <c r="J1535" s="3"/>
      <c r="K1535" s="5"/>
      <c r="L1535" s="6"/>
      <c r="M1535" s="6" t="str">
        <f>IF(D1535&lt;&gt;"",VLOOKUP(H1535,TABLEITEM,3,FALSE),"")</f>
        <v>แพลทยึดอุปกรณ์595x300</v>
      </c>
      <c r="N1535" s="7">
        <f>INSTOCK!$I1535*INSTOCK!$K1535</f>
        <v>0</v>
      </c>
      <c r="O1535" s="2"/>
      <c r="P1535" s="2"/>
    </row>
    <row r="1536" ht="18.0" hidden="1" customHeight="1">
      <c r="A1536" s="1"/>
      <c r="B1536" s="3"/>
      <c r="C1536" s="4">
        <v>43629.0</v>
      </c>
      <c r="D1536" s="2" t="s">
        <v>1919</v>
      </c>
      <c r="E1536" s="2"/>
      <c r="F1536" s="3" t="s">
        <v>161</v>
      </c>
      <c r="G1536" s="2" t="s">
        <v>456</v>
      </c>
      <c r="H1536" s="2" t="s">
        <v>507</v>
      </c>
      <c r="I1536" s="3">
        <v>30.0</v>
      </c>
      <c r="J1536" s="3"/>
      <c r="K1536" s="5"/>
      <c r="L1536" s="6"/>
      <c r="M1536" s="6" t="str">
        <f>IF(D1536&lt;&gt;"",VLOOKUP(H1536,TABLEITEM,3,FALSE),"")</f>
        <v>แพลทยึดอุปกรณ์345x300</v>
      </c>
      <c r="N1536" s="7">
        <f>INSTOCK!$I1536*INSTOCK!$K1536</f>
        <v>0</v>
      </c>
      <c r="O1536" s="2"/>
      <c r="P1536" s="2"/>
    </row>
    <row r="1537" ht="18.0" hidden="1" customHeight="1">
      <c r="A1537" s="1"/>
      <c r="B1537" s="3"/>
      <c r="C1537" s="4">
        <v>43631.0</v>
      </c>
      <c r="D1537" s="2" t="s">
        <v>1920</v>
      </c>
      <c r="E1537" s="2"/>
      <c r="F1537" s="3" t="s">
        <v>161</v>
      </c>
      <c r="G1537" s="2" t="s">
        <v>456</v>
      </c>
      <c r="H1537" s="2" t="s">
        <v>586</v>
      </c>
      <c r="I1537" s="3">
        <v>117.0</v>
      </c>
      <c r="J1537" s="3"/>
      <c r="K1537" s="5"/>
      <c r="L1537" s="6"/>
      <c r="M1537" s="6" t="str">
        <f>IF(D1537&lt;&gt;"",VLOOKUP(H1537,TABLEITEM,3,FALSE),"")</f>
        <v>หมวกตู้ 40x775</v>
      </c>
      <c r="N1537" s="7">
        <f>INSTOCK!$I1537*INSTOCK!$K1537</f>
        <v>0</v>
      </c>
      <c r="O1537" s="2"/>
      <c r="P1537" s="2"/>
    </row>
    <row r="1538" ht="18.0" hidden="1" customHeight="1">
      <c r="A1538" s="1"/>
      <c r="B1538" s="3"/>
      <c r="C1538" s="4">
        <v>43633.0</v>
      </c>
      <c r="D1538" s="2" t="s">
        <v>1734</v>
      </c>
      <c r="E1538" s="2"/>
      <c r="F1538" s="3" t="s">
        <v>161</v>
      </c>
      <c r="G1538" s="2" t="s">
        <v>456</v>
      </c>
      <c r="H1538" s="2" t="s">
        <v>511</v>
      </c>
      <c r="I1538" s="3">
        <v>90.0</v>
      </c>
      <c r="J1538" s="3"/>
      <c r="K1538" s="5"/>
      <c r="L1538" s="6"/>
      <c r="M1538" s="6" t="str">
        <f>IF(D1538&lt;&gt;"",VLOOKUP(H1538,TABLEITEM,3,FALSE),"")</f>
        <v>เสาเสริม 40x50x1788</v>
      </c>
      <c r="N1538" s="7">
        <f>INSTOCK!$I1538*INSTOCK!$K1538</f>
        <v>0</v>
      </c>
      <c r="O1538" s="2"/>
      <c r="P1538" s="2"/>
    </row>
    <row r="1539" ht="18.0" hidden="1" customHeight="1">
      <c r="A1539" s="1"/>
      <c r="B1539" s="3"/>
      <c r="C1539" s="4">
        <v>43633.0</v>
      </c>
      <c r="D1539" s="2" t="s">
        <v>1888</v>
      </c>
      <c r="E1539" s="2"/>
      <c r="F1539" s="3" t="s">
        <v>161</v>
      </c>
      <c r="G1539" s="2" t="s">
        <v>456</v>
      </c>
      <c r="H1539" s="2" t="s">
        <v>542</v>
      </c>
      <c r="I1539" s="3">
        <v>30.0</v>
      </c>
      <c r="J1539" s="3"/>
      <c r="K1539" s="5"/>
      <c r="L1539" s="6"/>
      <c r="M1539" s="6" t="str">
        <f>IF(D1539&lt;&gt;"",VLOOKUP(H1539,TABLEITEM,3,FALSE),"")</f>
        <v>ฝาข้าง-ฝาหลัง 1875x770</v>
      </c>
      <c r="N1539" s="7">
        <f>INSTOCK!$I1539*INSTOCK!$K1539</f>
        <v>0</v>
      </c>
      <c r="O1539" s="2"/>
      <c r="P1539" s="2"/>
    </row>
    <row r="1540" ht="18.0" hidden="1" customHeight="1">
      <c r="A1540" s="1"/>
      <c r="B1540" s="3"/>
      <c r="C1540" s="4">
        <v>43636.0</v>
      </c>
      <c r="D1540" s="2" t="s">
        <v>1921</v>
      </c>
      <c r="E1540" s="2"/>
      <c r="F1540" s="3" t="s">
        <v>161</v>
      </c>
      <c r="G1540" s="2" t="s">
        <v>456</v>
      </c>
      <c r="H1540" s="2" t="s">
        <v>593</v>
      </c>
      <c r="I1540" s="3">
        <v>30.0</v>
      </c>
      <c r="J1540" s="3"/>
      <c r="K1540" s="5"/>
      <c r="L1540" s="6"/>
      <c r="M1540" s="6" t="str">
        <f>IF(D1540&lt;&gt;"",VLOOKUP(H1540,TABLEITEM,3,FALSE),"")</f>
        <v>แพลทยึดอุปกรณ์695x300</v>
      </c>
      <c r="N1540" s="7">
        <f>INSTOCK!$I1540*INSTOCK!$K1540</f>
        <v>0</v>
      </c>
      <c r="O1540" s="2"/>
      <c r="P1540" s="2"/>
    </row>
    <row r="1541" ht="18.0" hidden="1" customHeight="1">
      <c r="A1541" s="1"/>
      <c r="B1541" s="3"/>
      <c r="C1541" s="4">
        <v>43636.0</v>
      </c>
      <c r="D1541" s="2" t="s">
        <v>1922</v>
      </c>
      <c r="E1541" s="2"/>
      <c r="F1541" s="3" t="s">
        <v>161</v>
      </c>
      <c r="G1541" s="2" t="s">
        <v>456</v>
      </c>
      <c r="H1541" s="2" t="s">
        <v>539</v>
      </c>
      <c r="I1541" s="3">
        <v>40.0</v>
      </c>
      <c r="J1541" s="3"/>
      <c r="K1541" s="5"/>
      <c r="L1541" s="6"/>
      <c r="M1541" s="6" t="str">
        <f>IF(D1541&lt;&gt;"",VLOOKUP(H1541,TABLEITEM,3,FALSE),"")</f>
        <v>แพลทยึดอุปกรณ์595x250</v>
      </c>
      <c r="N1541" s="7">
        <f>INSTOCK!$I1541*INSTOCK!$K1541</f>
        <v>0</v>
      </c>
      <c r="O1541" s="2"/>
      <c r="P1541" s="2"/>
    </row>
    <row r="1542" ht="18.0" hidden="1" customHeight="1">
      <c r="A1542" s="1"/>
      <c r="B1542" s="3"/>
      <c r="C1542" s="4">
        <v>43636.0</v>
      </c>
      <c r="D1542" s="2" t="s">
        <v>1923</v>
      </c>
      <c r="E1542" s="2"/>
      <c r="F1542" s="3" t="s">
        <v>161</v>
      </c>
      <c r="G1542" s="2" t="s">
        <v>456</v>
      </c>
      <c r="H1542" s="2" t="s">
        <v>553</v>
      </c>
      <c r="I1542" s="3">
        <v>20.0</v>
      </c>
      <c r="J1542" s="3"/>
      <c r="K1542" s="5"/>
      <c r="L1542" s="6"/>
      <c r="M1542" s="6" t="str">
        <f>IF(D1542&lt;&gt;"",VLOOKUP(H1542,TABLEITEM,3,FALSE),"")</f>
        <v>ฝาข้าง-ฝาหลัง 1875x570</v>
      </c>
      <c r="N1542" s="7">
        <f>INSTOCK!$I1542*INSTOCK!$K1542</f>
        <v>0</v>
      </c>
      <c r="O1542" s="2"/>
      <c r="P1542" s="2"/>
    </row>
    <row r="1543" ht="18.0" hidden="1" customHeight="1">
      <c r="A1543" s="1"/>
      <c r="B1543" s="3"/>
      <c r="C1543" s="4">
        <v>43636.0</v>
      </c>
      <c r="D1543" s="2" t="s">
        <v>1924</v>
      </c>
      <c r="E1543" s="2"/>
      <c r="F1543" s="3" t="s">
        <v>161</v>
      </c>
      <c r="G1543" s="2" t="s">
        <v>456</v>
      </c>
      <c r="H1543" s="2" t="s">
        <v>481</v>
      </c>
      <c r="I1543" s="3">
        <v>10.0</v>
      </c>
      <c r="J1543" s="3"/>
      <c r="K1543" s="5"/>
      <c r="L1543" s="6"/>
      <c r="M1543" s="6" t="str">
        <f>IF(D1543&lt;&gt;"",VLOOKUP(H1543,TABLEITEM,3,FALSE),"")</f>
        <v>ฝาข้าง-ฝาหลัง 2075x870</v>
      </c>
      <c r="N1543" s="7">
        <f>INSTOCK!$I1543*INSTOCK!$K1543</f>
        <v>0</v>
      </c>
      <c r="O1543" s="2"/>
      <c r="P1543" s="2"/>
    </row>
    <row r="1544" ht="18.0" hidden="1" customHeight="1">
      <c r="A1544" s="1"/>
      <c r="B1544" s="3"/>
      <c r="C1544" s="4">
        <v>43636.0</v>
      </c>
      <c r="D1544" s="2" t="s">
        <v>1925</v>
      </c>
      <c r="E1544" s="2"/>
      <c r="F1544" s="3" t="s">
        <v>161</v>
      </c>
      <c r="G1544" s="2" t="s">
        <v>456</v>
      </c>
      <c r="H1544" s="2" t="s">
        <v>649</v>
      </c>
      <c r="I1544" s="3">
        <v>19.0</v>
      </c>
      <c r="J1544" s="3"/>
      <c r="K1544" s="5"/>
      <c r="L1544" s="6"/>
      <c r="M1544" s="6" t="str">
        <f>IF(D1544&lt;&gt;"",VLOOKUP(H1544,TABLEITEM,3,FALSE),"")</f>
        <v>เพลทเบกเกอร์ 275x220</v>
      </c>
      <c r="N1544" s="7">
        <f>INSTOCK!$I1544*INSTOCK!$K1544</f>
        <v>0</v>
      </c>
      <c r="O1544" s="2"/>
      <c r="P1544" s="2"/>
    </row>
    <row r="1545" ht="18.0" hidden="1" customHeight="1">
      <c r="A1545" s="1"/>
      <c r="B1545" s="3"/>
      <c r="C1545" s="4">
        <v>43633.0</v>
      </c>
      <c r="D1545" s="2" t="s">
        <v>1926</v>
      </c>
      <c r="E1545" s="2"/>
      <c r="F1545" s="3" t="s">
        <v>1927</v>
      </c>
      <c r="G1545" s="2" t="s">
        <v>953</v>
      </c>
      <c r="H1545" s="2" t="s">
        <v>1350</v>
      </c>
      <c r="I1545" s="3">
        <v>10.0</v>
      </c>
      <c r="J1545" s="3"/>
      <c r="K1545" s="5">
        <v>450.0</v>
      </c>
      <c r="L1545" s="6"/>
      <c r="M1545" s="6" t="str">
        <f>IF(D1545&lt;&gt;"",VLOOKUP(H1545,TABLEITEM,3,FALSE),"")</f>
        <v>กระจกลวด190X290T6.0</v>
      </c>
      <c r="N1545" s="7">
        <f>INSTOCK!$I1545*INSTOCK!$K1545</f>
        <v>4500</v>
      </c>
      <c r="O1545" s="2"/>
      <c r="P1545" s="2"/>
    </row>
    <row r="1546" ht="18.0" hidden="1" customHeight="1">
      <c r="A1546" s="1"/>
      <c r="B1546" s="3"/>
      <c r="C1546" s="4">
        <v>43433.0</v>
      </c>
      <c r="D1546" s="2" t="s">
        <v>1928</v>
      </c>
      <c r="E1546" s="2"/>
      <c r="F1546" s="3" t="s">
        <v>161</v>
      </c>
      <c r="G1546" s="2" t="s">
        <v>171</v>
      </c>
      <c r="H1546" s="2" t="s">
        <v>19</v>
      </c>
      <c r="I1546" s="3">
        <v>341.0</v>
      </c>
      <c r="J1546" s="3"/>
      <c r="K1546" s="5">
        <v>918.4985</v>
      </c>
      <c r="L1546" s="6"/>
      <c r="M1546" s="6" t="str">
        <f>IF(D1546&lt;&gt;"",VLOOKUP(H1546,TABLEITEM,3,FALSE),"")</f>
        <v>เหล็กแผ่นขาว4'x8'T1.6</v>
      </c>
      <c r="N1546" s="7">
        <f>INSTOCK!$I1546*INSTOCK!$K1546</f>
        <v>313207.9885</v>
      </c>
      <c r="O1546" s="2" t="s">
        <v>1929</v>
      </c>
      <c r="P1546" s="2"/>
    </row>
    <row r="1547" ht="18.0" hidden="1" customHeight="1">
      <c r="A1547" s="1"/>
      <c r="B1547" s="3"/>
      <c r="C1547" s="4">
        <v>43433.0</v>
      </c>
      <c r="D1547" s="2" t="s">
        <v>1930</v>
      </c>
      <c r="E1547" s="2"/>
      <c r="F1547" s="3" t="s">
        <v>161</v>
      </c>
      <c r="G1547" s="2" t="s">
        <v>171</v>
      </c>
      <c r="H1547" s="2" t="s">
        <v>19</v>
      </c>
      <c r="I1547" s="3">
        <v>561.0</v>
      </c>
      <c r="J1547" s="3"/>
      <c r="K1547" s="5">
        <v>916.8503</v>
      </c>
      <c r="L1547" s="6"/>
      <c r="M1547" s="6" t="str">
        <f>IF(D1547&lt;&gt;"",VLOOKUP(H1547,TABLEITEM,3,FALSE),"")</f>
        <v>เหล็กแผ่นขาว4'x8'T1.6</v>
      </c>
      <c r="N1547" s="7">
        <f>INSTOCK!$I1547*INSTOCK!$K1547</f>
        <v>514353.0183</v>
      </c>
      <c r="O1547" s="2" t="s">
        <v>1931</v>
      </c>
      <c r="P1547" s="2"/>
    </row>
    <row r="1548" ht="18.0" hidden="1" customHeight="1">
      <c r="A1548" s="1"/>
      <c r="B1548" s="3"/>
      <c r="C1548" s="4">
        <v>43432.0</v>
      </c>
      <c r="D1548" s="2" t="s">
        <v>1932</v>
      </c>
      <c r="E1548" s="2"/>
      <c r="F1548" s="3" t="s">
        <v>161</v>
      </c>
      <c r="G1548" s="2" t="s">
        <v>171</v>
      </c>
      <c r="H1548" s="2" t="s">
        <v>19</v>
      </c>
      <c r="I1548" s="3">
        <v>342.0</v>
      </c>
      <c r="J1548" s="3"/>
      <c r="K1548" s="5">
        <v>917.2456</v>
      </c>
      <c r="L1548" s="6"/>
      <c r="M1548" s="6" t="str">
        <f>IF(D1548&lt;&gt;"",VLOOKUP(H1548,TABLEITEM,3,FALSE),"")</f>
        <v>เหล็กแผ่นขาว4'x8'T1.6</v>
      </c>
      <c r="N1548" s="7">
        <f>INSTOCK!$I1548*INSTOCK!$K1548</f>
        <v>313697.9952</v>
      </c>
      <c r="O1548" s="2" t="s">
        <v>1933</v>
      </c>
      <c r="P1548" s="2"/>
    </row>
    <row r="1549" ht="18.0" hidden="1" customHeight="1">
      <c r="A1549" s="1"/>
      <c r="B1549" s="3"/>
      <c r="C1549" s="4">
        <v>43432.0</v>
      </c>
      <c r="D1549" s="2" t="s">
        <v>1934</v>
      </c>
      <c r="E1549" s="2"/>
      <c r="F1549" s="3" t="s">
        <v>1798</v>
      </c>
      <c r="G1549" s="2" t="s">
        <v>171</v>
      </c>
      <c r="H1549" s="2" t="s">
        <v>19</v>
      </c>
      <c r="I1549" s="3">
        <v>347.0</v>
      </c>
      <c r="J1549" s="3"/>
      <c r="K1549" s="5">
        <v>917.585</v>
      </c>
      <c r="L1549" s="6"/>
      <c r="M1549" s="6" t="str">
        <f>IF(D1549&lt;&gt;"",VLOOKUP(H1549,TABLEITEM,3,FALSE),"")</f>
        <v>เหล็กแผ่นขาว4'x8'T1.6</v>
      </c>
      <c r="N1549" s="7">
        <f>INSTOCK!$I1549*INSTOCK!$K1549</f>
        <v>318401.995</v>
      </c>
      <c r="O1549" s="2" t="s">
        <v>1935</v>
      </c>
      <c r="P1549" s="2"/>
    </row>
    <row r="1550" ht="18.0" hidden="1" customHeight="1">
      <c r="A1550" s="1"/>
      <c r="B1550" s="3"/>
      <c r="C1550" s="4">
        <v>43431.0</v>
      </c>
      <c r="D1550" s="2" t="s">
        <v>1936</v>
      </c>
      <c r="E1550" s="2"/>
      <c r="F1550" s="3" t="s">
        <v>161</v>
      </c>
      <c r="G1550" s="2" t="s">
        <v>171</v>
      </c>
      <c r="H1550" s="2" t="s">
        <v>17</v>
      </c>
      <c r="I1550" s="3">
        <v>799.0</v>
      </c>
      <c r="J1550" s="3"/>
      <c r="K1550" s="5">
        <v>684.5742</v>
      </c>
      <c r="L1550" s="6"/>
      <c r="M1550" s="6" t="str">
        <f>IF(D1550&lt;&gt;"",VLOOKUP(H1550,TABLEITEM,3,FALSE),"")</f>
        <v>เหล็กแผ่นขาว4'x8'T1.2</v>
      </c>
      <c r="N1550" s="7">
        <f>INSTOCK!$I1550*INSTOCK!$K1550</f>
        <v>546974.7858</v>
      </c>
      <c r="O1550" s="2" t="s">
        <v>1937</v>
      </c>
      <c r="P1550" s="2"/>
    </row>
    <row r="1551" ht="18.0" hidden="1" customHeight="1">
      <c r="A1551" s="1"/>
      <c r="B1551" s="3"/>
      <c r="C1551" s="4">
        <v>43431.0</v>
      </c>
      <c r="D1551" s="2" t="s">
        <v>1936</v>
      </c>
      <c r="E1551" s="2"/>
      <c r="F1551" s="3" t="s">
        <v>161</v>
      </c>
      <c r="G1551" s="2" t="s">
        <v>171</v>
      </c>
      <c r="H1551" s="2" t="s">
        <v>19</v>
      </c>
      <c r="I1551" s="3">
        <v>347.0</v>
      </c>
      <c r="J1551" s="3"/>
      <c r="K1551" s="5">
        <v>916.8084</v>
      </c>
      <c r="L1551" s="6"/>
      <c r="M1551" s="6" t="str">
        <f>IF(D1551&lt;&gt;"",VLOOKUP(H1551,TABLEITEM,3,FALSE),"")</f>
        <v>เหล็กแผ่นขาว4'x8'T1.6</v>
      </c>
      <c r="N1551" s="7">
        <f>INSTOCK!$I1551*INSTOCK!$K1551</f>
        <v>318132.5148</v>
      </c>
      <c r="O1551" s="2" t="s">
        <v>1938</v>
      </c>
      <c r="P1551" s="2"/>
    </row>
    <row r="1552" ht="18.0" hidden="1" customHeight="1">
      <c r="A1552" s="1"/>
      <c r="B1552" s="3"/>
      <c r="C1552" s="4">
        <v>43431.0</v>
      </c>
      <c r="D1552" s="2" t="s">
        <v>1939</v>
      </c>
      <c r="E1552" s="2"/>
      <c r="F1552" s="3" t="s">
        <v>161</v>
      </c>
      <c r="G1552" s="2" t="s">
        <v>171</v>
      </c>
      <c r="H1552" s="2" t="s">
        <v>19</v>
      </c>
      <c r="I1552" s="3">
        <v>341.0</v>
      </c>
      <c r="J1552" s="3"/>
      <c r="K1552" s="5">
        <v>917.9238</v>
      </c>
      <c r="L1552" s="6"/>
      <c r="M1552" s="6" t="str">
        <f>IF(D1552&lt;&gt;"",VLOOKUP(H1552,TABLEITEM,3,FALSE),"")</f>
        <v>เหล็กแผ่นขาว4'x8'T1.6</v>
      </c>
      <c r="N1552" s="7">
        <f>INSTOCK!$I1552*INSTOCK!$K1552</f>
        <v>313012.0158</v>
      </c>
      <c r="O1552" s="2" t="s">
        <v>1940</v>
      </c>
      <c r="P1552" s="2"/>
    </row>
    <row r="1553" ht="18.0" hidden="1" customHeight="1">
      <c r="A1553" s="1"/>
      <c r="B1553" s="3"/>
      <c r="C1553" s="4">
        <v>43417.0</v>
      </c>
      <c r="D1553" s="2" t="s">
        <v>1941</v>
      </c>
      <c r="E1553" s="2">
        <v>6.111001413E9</v>
      </c>
      <c r="F1553" s="3" t="s">
        <v>1942</v>
      </c>
      <c r="G1553" s="2" t="s">
        <v>165</v>
      </c>
      <c r="H1553" s="2" t="s">
        <v>1943</v>
      </c>
      <c r="I1553" s="3">
        <v>5.0</v>
      </c>
      <c r="J1553" s="3"/>
      <c r="K1553" s="5">
        <v>1520.0</v>
      </c>
      <c r="L1553" s="6"/>
      <c r="M1553" s="6" t="str">
        <f>IF(D1553&lt;&gt;"",VLOOKUP(H1553,TABLEITEM,3,FALSE),"")</f>
        <v>แผ่น PVC ใส 4x8 หนา 3.0 มิล</v>
      </c>
      <c r="N1553" s="7">
        <f>INSTOCK!$I1553*INSTOCK!$K1553</f>
        <v>7600</v>
      </c>
      <c r="O1553" s="2"/>
      <c r="P1553" s="2"/>
    </row>
    <row r="1554" ht="18.0" hidden="1" customHeight="1">
      <c r="A1554" s="1"/>
      <c r="B1554" s="3"/>
      <c r="C1554" s="4">
        <v>43638.0</v>
      </c>
      <c r="D1554" s="2" t="s">
        <v>1944</v>
      </c>
      <c r="E1554" s="2">
        <v>6.206000923E9</v>
      </c>
      <c r="F1554" s="3" t="s">
        <v>161</v>
      </c>
      <c r="G1554" s="2" t="s">
        <v>202</v>
      </c>
      <c r="H1554" s="2" t="s">
        <v>52</v>
      </c>
      <c r="I1554" s="3">
        <v>50.0</v>
      </c>
      <c r="J1554" s="3"/>
      <c r="K1554" s="5">
        <v>1715.0</v>
      </c>
      <c r="L1554" s="6"/>
      <c r="M1554" s="6" t="str">
        <f>IF(D1554&lt;&gt;"",VLOOKUP(H1554,TABLEITEM,3,FALSE),"")</f>
        <v>เหล็กแผ่นดำ5'x10'T2.0</v>
      </c>
      <c r="N1554" s="7">
        <f>INSTOCK!$I1554*INSTOCK!$K1554</f>
        <v>85750</v>
      </c>
      <c r="O1554" s="2"/>
      <c r="P1554" s="2"/>
    </row>
    <row r="1555" ht="18.0" hidden="1" customHeight="1">
      <c r="A1555" s="1"/>
      <c r="B1555" s="3"/>
      <c r="C1555" s="4">
        <v>43638.0</v>
      </c>
      <c r="D1555" s="2" t="s">
        <v>1945</v>
      </c>
      <c r="E1555" s="2">
        <v>6.206000932E9</v>
      </c>
      <c r="F1555" s="3" t="s">
        <v>161</v>
      </c>
      <c r="G1555" s="2" t="s">
        <v>240</v>
      </c>
      <c r="H1555" s="2" t="s">
        <v>66</v>
      </c>
      <c r="I1555" s="3">
        <v>2.0</v>
      </c>
      <c r="J1555" s="3"/>
      <c r="K1555" s="5">
        <v>5350.0</v>
      </c>
      <c r="L1555" s="6"/>
      <c r="M1555" s="6" t="str">
        <f>IF(D1555&lt;&gt;"",VLOOKUP(H1555,TABLEITEM,3,FALSE),"")</f>
        <v>สแตนเลสแผ่น4'x8'T3.0</v>
      </c>
      <c r="N1555" s="7">
        <f>INSTOCK!$I1555*INSTOCK!$K1555</f>
        <v>10700</v>
      </c>
      <c r="O1555" s="2"/>
      <c r="P1555" s="2"/>
    </row>
    <row r="1556" ht="18.0" hidden="1" customHeight="1">
      <c r="A1556" s="1"/>
      <c r="B1556" s="3"/>
      <c r="C1556" s="4">
        <v>43597.0</v>
      </c>
      <c r="D1556" s="2" t="s">
        <v>1946</v>
      </c>
      <c r="E1556" s="2">
        <v>6.20600097E9</v>
      </c>
      <c r="F1556" s="3" t="s">
        <v>1947</v>
      </c>
      <c r="G1556" s="2" t="s">
        <v>733</v>
      </c>
      <c r="H1556" s="2" t="s">
        <v>1948</v>
      </c>
      <c r="I1556" s="3">
        <v>1.0</v>
      </c>
      <c r="J1556" s="3"/>
      <c r="K1556" s="5">
        <v>25.0</v>
      </c>
      <c r="L1556" s="6"/>
      <c r="M1556" s="6" t="str">
        <f>IF(D1556&lt;&gt;"",VLOOKUP(H1556,TABLEITEM,3,FALSE),"")</f>
        <v>กระจกใส 109x274 หนา 3.0</v>
      </c>
      <c r="N1556" s="7">
        <f>INSTOCK!$I1556*INSTOCK!$K1556</f>
        <v>25</v>
      </c>
      <c r="O1556" s="2"/>
      <c r="P1556" s="2"/>
    </row>
    <row r="1557" ht="18.0" hidden="1" customHeight="1">
      <c r="A1557" s="1"/>
      <c r="B1557" s="3"/>
      <c r="C1557" s="4">
        <v>43597.0</v>
      </c>
      <c r="D1557" s="2" t="s">
        <v>1949</v>
      </c>
      <c r="E1557" s="2">
        <v>6.20600097E9</v>
      </c>
      <c r="F1557" s="3" t="s">
        <v>1950</v>
      </c>
      <c r="G1557" s="2" t="s">
        <v>733</v>
      </c>
      <c r="H1557" s="2" t="s">
        <v>1948</v>
      </c>
      <c r="I1557" s="3">
        <v>1.0</v>
      </c>
      <c r="J1557" s="3"/>
      <c r="K1557" s="5">
        <v>25.0</v>
      </c>
      <c r="L1557" s="6"/>
      <c r="M1557" s="6" t="str">
        <f>IF(D1557&lt;&gt;"",VLOOKUP(H1557,TABLEITEM,3,FALSE),"")</f>
        <v>กระจกใส 109x274 หนา 3.0</v>
      </c>
      <c r="N1557" s="7">
        <f>INSTOCK!$I1557*INSTOCK!$K1557</f>
        <v>25</v>
      </c>
      <c r="O1557" s="2"/>
      <c r="P1557" s="2"/>
    </row>
    <row r="1558" ht="18.0" hidden="1" customHeight="1">
      <c r="A1558" s="1"/>
      <c r="B1558" s="3"/>
      <c r="C1558" s="4">
        <v>43633.0</v>
      </c>
      <c r="D1558" s="2" t="s">
        <v>1951</v>
      </c>
      <c r="E1558" s="2">
        <v>6.20600097E9</v>
      </c>
      <c r="F1558" s="3" t="s">
        <v>1952</v>
      </c>
      <c r="G1558" s="2" t="s">
        <v>733</v>
      </c>
      <c r="H1558" s="2" t="s">
        <v>1953</v>
      </c>
      <c r="I1558" s="3">
        <v>2.0</v>
      </c>
      <c r="J1558" s="3"/>
      <c r="K1558" s="5">
        <v>25.0</v>
      </c>
      <c r="L1558" s="6"/>
      <c r="M1558" s="6" t="str">
        <f>IF(D1558&lt;&gt;"",VLOOKUP(H1558,TABLEITEM,3,FALSE),"")</f>
        <v>กระจกใส 208x208 หนา 3.0</v>
      </c>
      <c r="N1558" s="7">
        <f>INSTOCK!$I1558*INSTOCK!$K1558</f>
        <v>50</v>
      </c>
      <c r="O1558" s="2"/>
      <c r="P1558" s="2"/>
    </row>
    <row r="1559" ht="18.0" hidden="1" customHeight="1">
      <c r="A1559" s="1"/>
      <c r="B1559" s="3"/>
      <c r="C1559" s="4">
        <v>43633.0</v>
      </c>
      <c r="D1559" s="2" t="s">
        <v>1954</v>
      </c>
      <c r="E1559" s="2">
        <v>6.20600097E9</v>
      </c>
      <c r="F1559" s="3" t="s">
        <v>1905</v>
      </c>
      <c r="G1559" s="2" t="s">
        <v>733</v>
      </c>
      <c r="H1559" s="2" t="s">
        <v>1906</v>
      </c>
      <c r="I1559" s="3">
        <v>1.0</v>
      </c>
      <c r="J1559" s="3"/>
      <c r="K1559" s="5">
        <v>75.0</v>
      </c>
      <c r="L1559" s="6"/>
      <c r="M1559" s="6" t="str">
        <f>IF(D1559&lt;&gt;"",VLOOKUP(H1559,TABLEITEM,3,FALSE),"")</f>
        <v>กระจกใส 364x454 หนา 3.0 มิล</v>
      </c>
      <c r="N1559" s="7">
        <f>INSTOCK!$I1559*INSTOCK!$K1559</f>
        <v>75</v>
      </c>
      <c r="O1559" s="2"/>
      <c r="P1559" s="2"/>
    </row>
    <row r="1560" ht="18.0" hidden="1" customHeight="1">
      <c r="A1560" s="1"/>
      <c r="B1560" s="3"/>
      <c r="C1560" s="4">
        <v>43637.0</v>
      </c>
      <c r="D1560" s="2" t="s">
        <v>1955</v>
      </c>
      <c r="E1560" s="2">
        <v>6.20600097E9</v>
      </c>
      <c r="F1560" s="3" t="s">
        <v>1956</v>
      </c>
      <c r="G1560" s="2" t="s">
        <v>733</v>
      </c>
      <c r="H1560" s="2" t="s">
        <v>1957</v>
      </c>
      <c r="I1560" s="3">
        <v>1.0</v>
      </c>
      <c r="J1560" s="3"/>
      <c r="K1560" s="5">
        <v>25.0</v>
      </c>
      <c r="L1560" s="6"/>
      <c r="M1560" s="6" t="str">
        <f>IF(D1560&lt;&gt;"",VLOOKUP(H1560,TABLEITEM,3,FALSE),"")</f>
        <v>กระจกใส 214x214 หนา 3.0</v>
      </c>
      <c r="N1560" s="7">
        <f>INSTOCK!$I1560*INSTOCK!$K1560</f>
        <v>25</v>
      </c>
      <c r="O1560" s="2"/>
      <c r="P1560" s="2"/>
    </row>
    <row r="1561" ht="18.0" hidden="1" customHeight="1">
      <c r="A1561" s="1"/>
      <c r="B1561" s="3"/>
      <c r="C1561" s="4">
        <v>43633.0</v>
      </c>
      <c r="D1561" s="2" t="s">
        <v>1958</v>
      </c>
      <c r="E1561" s="2">
        <v>6.20600097E9</v>
      </c>
      <c r="F1561" s="3" t="s">
        <v>1959</v>
      </c>
      <c r="G1561" s="2" t="s">
        <v>733</v>
      </c>
      <c r="H1561" s="2" t="s">
        <v>1960</v>
      </c>
      <c r="I1561" s="3">
        <v>1.0</v>
      </c>
      <c r="J1561" s="3"/>
      <c r="K1561" s="5">
        <v>180.0</v>
      </c>
      <c r="L1561" s="6"/>
      <c r="M1561" s="6" t="str">
        <f>IF(D1561&lt;&gt;"",VLOOKUP(H1561,TABLEITEM,3,FALSE),"")</f>
        <v>กระจกใส 514x764 หนา 5.0</v>
      </c>
      <c r="N1561" s="7">
        <f>INSTOCK!$I1561*INSTOCK!$K1561</f>
        <v>180</v>
      </c>
      <c r="O1561" s="2"/>
      <c r="P1561" s="2"/>
    </row>
    <row r="1562" ht="18.0" hidden="1" customHeight="1">
      <c r="A1562" s="1"/>
      <c r="B1562" s="3"/>
      <c r="C1562" s="4">
        <v>43403.0</v>
      </c>
      <c r="D1562" s="2" t="s">
        <v>1961</v>
      </c>
      <c r="E1562" s="2"/>
      <c r="F1562" s="3" t="s">
        <v>456</v>
      </c>
      <c r="G1562" s="2" t="s">
        <v>1962</v>
      </c>
      <c r="H1562" s="2" t="s">
        <v>1963</v>
      </c>
      <c r="I1562" s="3">
        <v>2.44</v>
      </c>
      <c r="J1562" s="3" t="s">
        <v>1964</v>
      </c>
      <c r="K1562" s="5">
        <v>155.0</v>
      </c>
      <c r="L1562" s="6"/>
      <c r="M1562" s="6" t="str">
        <f>IF(D1562&lt;&gt;"",VLOOKUP(H1562,TABLEITEM,3,FALSE),"")</f>
        <v>ตะแกรง 1-1/2 #10 ขนาด 0.400x1.018 -6แผ่น</v>
      </c>
      <c r="N1562" s="7">
        <f>INSTOCK!$I1562*INSTOCK!$K1562</f>
        <v>378.2</v>
      </c>
      <c r="O1562" s="2"/>
      <c r="P1562" s="2"/>
    </row>
    <row r="1563" ht="18.0" hidden="1" customHeight="1">
      <c r="A1563" s="1"/>
      <c r="B1563" s="3"/>
      <c r="C1563" s="4">
        <v>43403.0</v>
      </c>
      <c r="D1563" s="2" t="s">
        <v>1961</v>
      </c>
      <c r="E1563" s="2"/>
      <c r="F1563" s="3" t="s">
        <v>456</v>
      </c>
      <c r="G1563" s="2" t="s">
        <v>1962</v>
      </c>
      <c r="H1563" s="2" t="s">
        <v>1965</v>
      </c>
      <c r="I1563" s="3">
        <v>2.48</v>
      </c>
      <c r="J1563" s="3" t="s">
        <v>1964</v>
      </c>
      <c r="K1563" s="5">
        <v>155.0</v>
      </c>
      <c r="L1563" s="6"/>
      <c r="M1563" s="6" t="str">
        <f>IF(D1563&lt;&gt;"",VLOOKUP(H1563,TABLEITEM,3,FALSE),"")</f>
        <v>ตะแกรง 1-1/2 #10 ขนาด 0.375x1.100 -6แผ่น</v>
      </c>
      <c r="N1563" s="7">
        <f>INSTOCK!$I1563*INSTOCK!$K1563</f>
        <v>384.4</v>
      </c>
      <c r="O1563" s="2"/>
      <c r="P1563" s="2"/>
    </row>
    <row r="1564" ht="18.0" hidden="1" customHeight="1">
      <c r="A1564" s="1"/>
      <c r="B1564" s="3"/>
      <c r="C1564" s="4">
        <v>43403.0</v>
      </c>
      <c r="D1564" s="2" t="s">
        <v>1961</v>
      </c>
      <c r="E1564" s="2"/>
      <c r="F1564" s="3" t="s">
        <v>456</v>
      </c>
      <c r="G1564" s="2" t="s">
        <v>1962</v>
      </c>
      <c r="H1564" s="2" t="s">
        <v>1966</v>
      </c>
      <c r="I1564" s="3">
        <v>6.18</v>
      </c>
      <c r="J1564" s="3" t="s">
        <v>1964</v>
      </c>
      <c r="K1564" s="5">
        <v>155.0</v>
      </c>
      <c r="L1564" s="6"/>
      <c r="M1564" s="6" t="str">
        <f>IF(D1564&lt;&gt;"",VLOOKUP(H1564,TABLEITEM,3,FALSE),"")</f>
        <v>ตะแกรง 1-1/2 #10 ขนาด 0.920x1.120 -6แผ่น</v>
      </c>
      <c r="N1564" s="7">
        <f>INSTOCK!$I1564*INSTOCK!$K1564</f>
        <v>957.9</v>
      </c>
      <c r="O1564" s="2"/>
      <c r="P1564" s="2"/>
    </row>
    <row r="1565" ht="18.0" hidden="1" customHeight="1">
      <c r="A1565" s="1"/>
      <c r="B1565" s="3"/>
      <c r="C1565" s="4">
        <v>43403.0</v>
      </c>
      <c r="D1565" s="2" t="s">
        <v>1961</v>
      </c>
      <c r="E1565" s="2"/>
      <c r="F1565" s="3" t="s">
        <v>456</v>
      </c>
      <c r="G1565" s="2" t="s">
        <v>1962</v>
      </c>
      <c r="H1565" s="2" t="s">
        <v>1967</v>
      </c>
      <c r="I1565" s="3">
        <v>5.61</v>
      </c>
      <c r="J1565" s="3" t="s">
        <v>1964</v>
      </c>
      <c r="K1565" s="5">
        <v>155.0</v>
      </c>
      <c r="L1565" s="6"/>
      <c r="M1565" s="6" t="str">
        <f>IF(D1565&lt;&gt;"",VLOOKUP(H1565,TABLEITEM,3,FALSE),"")</f>
        <v>ตะแกรง 1-1/2 #10 ขนาด 0.850x1.100 -6แผ่น</v>
      </c>
      <c r="N1565" s="7">
        <f>INSTOCK!$I1565*INSTOCK!$K1565</f>
        <v>869.55</v>
      </c>
      <c r="O1565" s="2"/>
      <c r="P1565" s="2"/>
    </row>
    <row r="1566" ht="18.0" hidden="1" customHeight="1">
      <c r="A1566" s="1"/>
      <c r="B1566" s="3"/>
      <c r="C1566" s="4">
        <v>43403.0</v>
      </c>
      <c r="D1566" s="2" t="s">
        <v>1961</v>
      </c>
      <c r="E1566" s="2"/>
      <c r="F1566" s="3" t="s">
        <v>456</v>
      </c>
      <c r="G1566" s="2" t="s">
        <v>1962</v>
      </c>
      <c r="H1566" s="2" t="s">
        <v>1968</v>
      </c>
      <c r="I1566" s="3">
        <v>9.18</v>
      </c>
      <c r="J1566" s="3" t="s">
        <v>1964</v>
      </c>
      <c r="K1566" s="5">
        <v>155.0</v>
      </c>
      <c r="L1566" s="6"/>
      <c r="M1566" s="6" t="str">
        <f>IF(D1566&lt;&gt;"",VLOOKUP(H1566,TABLEITEM,3,FALSE),"")</f>
        <v>ตะแกรง 1-1/2 #10 ขนาด 0.850x0.900 -6แผ่น</v>
      </c>
      <c r="N1566" s="7">
        <f>INSTOCK!$I1566*INSTOCK!$K1566</f>
        <v>1422.9</v>
      </c>
      <c r="O1566" s="2"/>
      <c r="P1566" s="2"/>
    </row>
    <row r="1567" ht="18.0" hidden="1" customHeight="1">
      <c r="A1567" s="1"/>
      <c r="B1567" s="3"/>
      <c r="C1567" s="4">
        <v>43459.0</v>
      </c>
      <c r="D1567" s="2" t="s">
        <v>1969</v>
      </c>
      <c r="E1567" s="2"/>
      <c r="F1567" s="3" t="s">
        <v>1970</v>
      </c>
      <c r="G1567" s="2" t="s">
        <v>953</v>
      </c>
      <c r="H1567" s="2" t="s">
        <v>961</v>
      </c>
      <c r="I1567" s="3">
        <v>4.0</v>
      </c>
      <c r="J1567" s="3"/>
      <c r="K1567" s="5">
        <v>300.0</v>
      </c>
      <c r="L1567" s="6"/>
      <c r="M1567" s="6" t="str">
        <f>IF(D1567&lt;&gt;"",VLOOKUP(H1567,TABLEITEM,3,FALSE),"")</f>
        <v>กระจกลวด150X230T6.0</v>
      </c>
      <c r="N1567" s="7">
        <f>INSTOCK!$I1567*INSTOCK!$K1567</f>
        <v>1200</v>
      </c>
      <c r="O1567" s="2"/>
      <c r="P1567" s="2"/>
    </row>
    <row r="1568" ht="18.0" hidden="1" customHeight="1">
      <c r="A1568" s="1"/>
      <c r="B1568" s="3"/>
      <c r="C1568" s="4">
        <v>43643.0</v>
      </c>
      <c r="D1568" s="2">
        <v>6.2060186E7</v>
      </c>
      <c r="E1568" s="2"/>
      <c r="F1568" s="3" t="s">
        <v>1971</v>
      </c>
      <c r="G1568" s="2" t="s">
        <v>1645</v>
      </c>
      <c r="H1568" s="2" t="s">
        <v>1972</v>
      </c>
      <c r="I1568" s="3">
        <v>18.0</v>
      </c>
      <c r="J1568" s="3" t="s">
        <v>78</v>
      </c>
      <c r="K1568" s="5">
        <v>36.6667</v>
      </c>
      <c r="L1568" s="6"/>
      <c r="M1568" s="6" t="str">
        <f>IF(D1568&lt;&gt;"",VLOOKUP(H1568,TABLEITEM,3,FALSE),"")</f>
        <v>เหล็กกล่อง 1-1/4x1-1/4 T 1.2 </v>
      </c>
      <c r="N1568" s="7">
        <f>INSTOCK!$I1568*INSTOCK!$K1568</f>
        <v>660.0006</v>
      </c>
      <c r="O1568" s="2"/>
      <c r="P1568" s="2"/>
    </row>
    <row r="1569" ht="18.0" hidden="1" customHeight="1">
      <c r="A1569" s="1"/>
      <c r="B1569" s="3"/>
      <c r="C1569" s="4">
        <v>43638.0</v>
      </c>
      <c r="D1569" s="2">
        <v>6.2060594E7</v>
      </c>
      <c r="E1569" s="2"/>
      <c r="F1569" s="3" t="s">
        <v>1973</v>
      </c>
      <c r="G1569" s="2" t="s">
        <v>1974</v>
      </c>
      <c r="H1569" s="2" t="s">
        <v>1975</v>
      </c>
      <c r="I1569" s="3">
        <v>6.0</v>
      </c>
      <c r="J1569" s="3" t="s">
        <v>78</v>
      </c>
      <c r="K1569" s="5">
        <v>46.6667</v>
      </c>
      <c r="L1569" s="6"/>
      <c r="M1569" s="6" t="str">
        <f>IF(D1569&lt;&gt;"",VLOOKUP(H1569,TABLEITEM,3,FALSE),"")</f>
        <v>แสตนเลสกลม 304 8mm</v>
      </c>
      <c r="N1569" s="7">
        <f>INSTOCK!$I1569*INSTOCK!$K1569</f>
        <v>280.0002</v>
      </c>
      <c r="O1569" s="2"/>
      <c r="P1569" s="2"/>
    </row>
    <row r="1570" ht="18.0" hidden="1" customHeight="1">
      <c r="A1570" s="1"/>
      <c r="B1570" s="3"/>
      <c r="C1570" s="4">
        <v>43647.0</v>
      </c>
      <c r="D1570" s="2" t="s">
        <v>1976</v>
      </c>
      <c r="E1570" s="2">
        <v>6.206000928E9</v>
      </c>
      <c r="F1570" s="3" t="s">
        <v>161</v>
      </c>
      <c r="G1570" s="2" t="s">
        <v>171</v>
      </c>
      <c r="H1570" s="2" t="s">
        <v>19</v>
      </c>
      <c r="I1570" s="3">
        <v>300.0</v>
      </c>
      <c r="J1570" s="3"/>
      <c r="K1570" s="5">
        <v>855.34067</v>
      </c>
      <c r="L1570" s="6"/>
      <c r="M1570" s="6" t="str">
        <f>IF(D1570&lt;&gt;"",VLOOKUP(H1570,TABLEITEM,3,FALSE),"")</f>
        <v>เหล็กแผ่นขาว4'x8'T1.6</v>
      </c>
      <c r="N1570" s="7">
        <f>INSTOCK!$I1570*INSTOCK!$K1570</f>
        <v>256602.201</v>
      </c>
      <c r="O1570" s="2" t="s">
        <v>1977</v>
      </c>
      <c r="P1570" s="2"/>
    </row>
    <row r="1571" ht="18.0" hidden="1" customHeight="1">
      <c r="A1571" s="1"/>
      <c r="B1571" s="3"/>
      <c r="C1571" s="4">
        <v>43644.0</v>
      </c>
      <c r="D1571" s="2" t="s">
        <v>1978</v>
      </c>
      <c r="E1571" s="2">
        <v>6.206000981E9</v>
      </c>
      <c r="F1571" s="3" t="s">
        <v>1893</v>
      </c>
      <c r="G1571" s="2" t="s">
        <v>153</v>
      </c>
      <c r="H1571" s="2" t="s">
        <v>147</v>
      </c>
      <c r="I1571" s="3">
        <v>48.0</v>
      </c>
      <c r="J1571" s="3" t="s">
        <v>78</v>
      </c>
      <c r="K1571" s="5">
        <v>15.0</v>
      </c>
      <c r="L1571" s="6"/>
      <c r="M1571" s="6" t="str">
        <f>IF(D1571&lt;&gt;"",VLOOKUP(H1571,TABLEITEM,3,FALSE),"")</f>
        <v>เหล็กกล่อง 3/4 X 3/4หนา1.2 มิล</v>
      </c>
      <c r="N1571" s="7">
        <f>INSTOCK!$I1571*INSTOCK!$K1571</f>
        <v>720</v>
      </c>
      <c r="O1571" s="2" t="s">
        <v>1979</v>
      </c>
      <c r="P1571" s="2"/>
    </row>
    <row r="1572" ht="18.0" hidden="1" customHeight="1">
      <c r="A1572" s="1"/>
      <c r="B1572" s="3"/>
      <c r="C1572" s="4">
        <v>43649.0</v>
      </c>
      <c r="D1572" s="2" t="s">
        <v>1980</v>
      </c>
      <c r="E1572" s="2"/>
      <c r="F1572" s="3" t="s">
        <v>161</v>
      </c>
      <c r="G1572" s="2" t="s">
        <v>456</v>
      </c>
      <c r="H1572" s="2" t="s">
        <v>487</v>
      </c>
      <c r="I1572" s="3">
        <v>81.0</v>
      </c>
      <c r="J1572" s="3"/>
      <c r="K1572" s="5"/>
      <c r="L1572" s="6"/>
      <c r="M1572" s="6" t="str">
        <f>IF(D1572&lt;&gt;"",VLOOKUP(H1572,TABLEITEM,3,FALSE),"")</f>
        <v>กระเป๋าเอกสารรุ่น 316x224</v>
      </c>
      <c r="N1572" s="7">
        <f>INSTOCK!$I1572*INSTOCK!$K1572</f>
        <v>0</v>
      </c>
      <c r="O1572" s="2"/>
      <c r="P1572" s="2"/>
    </row>
    <row r="1573" ht="18.0" hidden="1" customHeight="1">
      <c r="A1573" s="1"/>
      <c r="B1573" s="3"/>
      <c r="C1573" s="4">
        <v>43649.0</v>
      </c>
      <c r="D1573" s="2" t="s">
        <v>1981</v>
      </c>
      <c r="E1573" s="2"/>
      <c r="F1573" s="3" t="s">
        <v>161</v>
      </c>
      <c r="G1573" s="2" t="s">
        <v>456</v>
      </c>
      <c r="H1573" s="2" t="s">
        <v>1340</v>
      </c>
      <c r="I1573" s="3">
        <v>54.0</v>
      </c>
      <c r="J1573" s="3"/>
      <c r="K1573" s="5"/>
      <c r="L1573" s="6"/>
      <c r="M1573" s="6" t="str">
        <f>IF(D1573&lt;&gt;"",VLOOKUP(H1573,TABLEITEM,3,FALSE),"")</f>
        <v>แผ่นสไลค์ 280x100</v>
      </c>
      <c r="N1573" s="7">
        <f>INSTOCK!$I1573*INSTOCK!$K1573</f>
        <v>0</v>
      </c>
      <c r="O1573" s="2"/>
      <c r="P1573" s="2"/>
    </row>
    <row r="1574" ht="18.0" hidden="1" customHeight="1">
      <c r="A1574" s="1"/>
      <c r="B1574" s="3"/>
      <c r="C1574" s="4">
        <v>43649.0</v>
      </c>
      <c r="D1574" s="2" t="s">
        <v>1982</v>
      </c>
      <c r="E1574" s="2"/>
      <c r="F1574" s="3" t="s">
        <v>161</v>
      </c>
      <c r="G1574" s="2" t="s">
        <v>456</v>
      </c>
      <c r="H1574" s="2" t="s">
        <v>651</v>
      </c>
      <c r="I1574" s="3">
        <v>43.0</v>
      </c>
      <c r="J1574" s="3"/>
      <c r="K1574" s="5"/>
      <c r="L1574" s="6"/>
      <c r="M1574" s="6" t="str">
        <f>IF(D1574&lt;&gt;"",VLOOKUP(H1574,TABLEITEM,3,FALSE),"")</f>
        <v>แผ่นสไลค์ 350x100</v>
      </c>
      <c r="N1574" s="7">
        <f>INSTOCK!$I1574*INSTOCK!$K1574</f>
        <v>0</v>
      </c>
      <c r="O1574" s="2"/>
      <c r="P1574" s="2"/>
    </row>
    <row r="1575" ht="18.0" hidden="1" customHeight="1">
      <c r="A1575" s="1"/>
      <c r="B1575" s="3"/>
      <c r="C1575" s="4">
        <v>43649.0</v>
      </c>
      <c r="D1575" s="2" t="s">
        <v>1983</v>
      </c>
      <c r="E1575" s="2"/>
      <c r="F1575" s="3" t="s">
        <v>161</v>
      </c>
      <c r="G1575" s="2" t="s">
        <v>456</v>
      </c>
      <c r="H1575" s="2" t="s">
        <v>563</v>
      </c>
      <c r="I1575" s="3">
        <v>26.0</v>
      </c>
      <c r="J1575" s="3"/>
      <c r="K1575" s="5"/>
      <c r="L1575" s="6"/>
      <c r="M1575" s="6" t="str">
        <f>IF(D1575&lt;&gt;"",VLOOKUP(H1575,TABLEITEM,3,FALSE),"")</f>
        <v>เพลทเบกเกอร์ 525x280</v>
      </c>
      <c r="N1575" s="7">
        <f>INSTOCK!$I1575*INSTOCK!$K1575</f>
        <v>0</v>
      </c>
      <c r="O1575" s="2"/>
      <c r="P1575" s="2"/>
    </row>
    <row r="1576" ht="18.0" hidden="1" customHeight="1">
      <c r="A1576" s="1"/>
      <c r="B1576" s="3"/>
      <c r="C1576" s="4">
        <v>43649.0</v>
      </c>
      <c r="D1576" s="2" t="s">
        <v>1984</v>
      </c>
      <c r="E1576" s="2"/>
      <c r="F1576" s="3" t="s">
        <v>161</v>
      </c>
      <c r="G1576" s="2" t="s">
        <v>456</v>
      </c>
      <c r="H1576" s="2" t="s">
        <v>474</v>
      </c>
      <c r="I1576" s="3">
        <v>20.0</v>
      </c>
      <c r="J1576" s="3"/>
      <c r="K1576" s="5"/>
      <c r="L1576" s="6"/>
      <c r="M1576" s="6" t="str">
        <f>IF(D1576&lt;&gt;"",VLOOKUP(H1576,TABLEITEM,3,FALSE),"")</f>
        <v>เพลทเบกเกอร์ 625x280</v>
      </c>
      <c r="N1576" s="7">
        <f>INSTOCK!$I1576*INSTOCK!$K1576</f>
        <v>0</v>
      </c>
      <c r="O1576" s="2"/>
      <c r="P1576" s="2"/>
    </row>
    <row r="1577" ht="18.0" hidden="1" customHeight="1">
      <c r="A1577" s="1"/>
      <c r="B1577" s="3"/>
      <c r="C1577" s="4">
        <v>43649.0</v>
      </c>
      <c r="D1577" s="2" t="s">
        <v>1985</v>
      </c>
      <c r="E1577" s="2"/>
      <c r="F1577" s="3" t="s">
        <v>161</v>
      </c>
      <c r="G1577" s="2" t="s">
        <v>456</v>
      </c>
      <c r="H1577" s="2" t="s">
        <v>1986</v>
      </c>
      <c r="I1577" s="3">
        <v>22.0</v>
      </c>
      <c r="J1577" s="3"/>
      <c r="K1577" s="5"/>
      <c r="L1577" s="6"/>
      <c r="M1577" s="6" t="str">
        <f>IF(D1577&lt;&gt;"",VLOOKUP(H1577,TABLEITEM,3,FALSE),"")</f>
        <v>ฉากกันตก 595x175</v>
      </c>
      <c r="N1577" s="7">
        <f>INSTOCK!$I1577*INSTOCK!$K1577</f>
        <v>0</v>
      </c>
      <c r="O1577" s="2"/>
      <c r="P1577" s="2"/>
    </row>
    <row r="1578" ht="18.0" hidden="1" customHeight="1">
      <c r="A1578" s="1"/>
      <c r="B1578" s="3"/>
      <c r="C1578" s="4">
        <v>43649.0</v>
      </c>
      <c r="D1578" s="2" t="s">
        <v>1987</v>
      </c>
      <c r="E1578" s="2"/>
      <c r="F1578" s="3" t="s">
        <v>161</v>
      </c>
      <c r="G1578" s="2" t="s">
        <v>456</v>
      </c>
      <c r="H1578" s="2" t="s">
        <v>1988</v>
      </c>
      <c r="I1578" s="3">
        <v>20.0</v>
      </c>
      <c r="J1578" s="3"/>
      <c r="K1578" s="5"/>
      <c r="L1578" s="6"/>
      <c r="M1578" s="6" t="str">
        <f>IF(D1578&lt;&gt;"",VLOOKUP(H1578,TABLEITEM,3,FALSE),"")</f>
        <v>ฉากมิเตอร์ 595x305</v>
      </c>
      <c r="N1578" s="7">
        <f>INSTOCK!$I1578*INSTOCK!$K1578</f>
        <v>0</v>
      </c>
      <c r="O1578" s="2"/>
      <c r="P1578" s="2"/>
    </row>
    <row r="1579" ht="18.0" hidden="1" customHeight="1">
      <c r="A1579" s="1"/>
      <c r="B1579" s="3"/>
      <c r="C1579" s="4">
        <v>43649.0</v>
      </c>
      <c r="D1579" s="2" t="s">
        <v>1989</v>
      </c>
      <c r="E1579" s="2"/>
      <c r="F1579" s="3" t="s">
        <v>161</v>
      </c>
      <c r="G1579" s="2" t="s">
        <v>456</v>
      </c>
      <c r="H1579" s="2" t="s">
        <v>547</v>
      </c>
      <c r="I1579" s="3">
        <v>133.0</v>
      </c>
      <c r="J1579" s="3"/>
      <c r="K1579" s="5"/>
      <c r="L1579" s="6"/>
      <c r="M1579" s="6" t="str">
        <f>IF(D1579&lt;&gt;"",VLOOKUP(H1579,TABLEITEM,3,FALSE),"")</f>
        <v>คานต่อโครง3mm 68x45x270</v>
      </c>
      <c r="N1579" s="7">
        <f>INSTOCK!$I1579*INSTOCK!$K1579</f>
        <v>0</v>
      </c>
      <c r="O1579" s="2"/>
      <c r="P1579" s="2"/>
    </row>
    <row r="1580" ht="18.0" hidden="1" customHeight="1">
      <c r="A1580" s="1"/>
      <c r="B1580" s="3"/>
      <c r="C1580" s="4">
        <v>43647.0</v>
      </c>
      <c r="D1580" s="2" t="s">
        <v>1990</v>
      </c>
      <c r="E1580" s="2">
        <v>6.206000924E9</v>
      </c>
      <c r="F1580" s="3" t="s">
        <v>161</v>
      </c>
      <c r="G1580" s="2" t="s">
        <v>202</v>
      </c>
      <c r="H1580" s="2" t="s">
        <v>54</v>
      </c>
      <c r="I1580" s="3">
        <v>100.0</v>
      </c>
      <c r="J1580" s="3"/>
      <c r="K1580" s="5">
        <v>2550.0</v>
      </c>
      <c r="L1580" s="6"/>
      <c r="M1580" s="6" t="str">
        <f>IF(D1580&lt;&gt;"",VLOOKUP(H1580,TABLEITEM,3,FALSE),"")</f>
        <v>เหล็กแผ่นดำ5'x10'T3.0</v>
      </c>
      <c r="N1580" s="7">
        <f>INSTOCK!$I1580*INSTOCK!$K1580</f>
        <v>255000</v>
      </c>
      <c r="O1580" s="2"/>
      <c r="P1580" s="2"/>
    </row>
    <row r="1581" ht="18.0" hidden="1" customHeight="1">
      <c r="A1581" s="1"/>
      <c r="B1581" s="3"/>
      <c r="C1581" s="4">
        <v>43648.0</v>
      </c>
      <c r="D1581" s="2" t="s">
        <v>1991</v>
      </c>
      <c r="E1581" s="2">
        <v>6.207000997E9</v>
      </c>
      <c r="F1581" s="3" t="s">
        <v>161</v>
      </c>
      <c r="G1581" s="2" t="s">
        <v>202</v>
      </c>
      <c r="H1581" s="2" t="s">
        <v>79</v>
      </c>
      <c r="I1581" s="3">
        <v>300.0</v>
      </c>
      <c r="J1581" s="3" t="s">
        <v>78</v>
      </c>
      <c r="K1581" s="5">
        <v>144.1667</v>
      </c>
      <c r="L1581" s="6"/>
      <c r="M1581" s="6" t="str">
        <f>IF(D1581&lt;&gt;"",VLOOKUP(H1581,TABLEITEM,3,FALSE),"")</f>
        <v>เหล็กรางน้ำ U' 3</v>
      </c>
      <c r="N1581" s="7">
        <f>INSTOCK!$I1581*INSTOCK!$K1581</f>
        <v>43250.01</v>
      </c>
      <c r="O1581" s="2" t="s">
        <v>1992</v>
      </c>
      <c r="P1581" s="2"/>
    </row>
    <row r="1582" ht="18.0" hidden="1" customHeight="1">
      <c r="A1582" s="1"/>
      <c r="B1582" s="3"/>
      <c r="C1582" s="4">
        <v>43648.0</v>
      </c>
      <c r="D1582" s="2" t="s">
        <v>1991</v>
      </c>
      <c r="E1582" s="2">
        <v>6.207000997E9</v>
      </c>
      <c r="F1582" s="3" t="s">
        <v>161</v>
      </c>
      <c r="G1582" s="2" t="s">
        <v>202</v>
      </c>
      <c r="H1582" s="2" t="s">
        <v>82</v>
      </c>
      <c r="I1582" s="3">
        <v>6.0</v>
      </c>
      <c r="J1582" s="3" t="s">
        <v>78</v>
      </c>
      <c r="K1582" s="5">
        <v>415.0</v>
      </c>
      <c r="L1582" s="6"/>
      <c r="M1582" s="6" t="str">
        <f>IF(D1582&lt;&gt;"",VLOOKUP(H1582,TABLEITEM,3,FALSE),"")</f>
        <v>เหล็กรางน้ำ U' 6</v>
      </c>
      <c r="N1582" s="7">
        <f>INSTOCK!$I1582*INSTOCK!$K1582</f>
        <v>2490</v>
      </c>
      <c r="O1582" s="2" t="s">
        <v>1993</v>
      </c>
      <c r="P1582" s="2"/>
    </row>
    <row r="1583" ht="18.0" hidden="1" customHeight="1">
      <c r="A1583" s="1"/>
      <c r="B1583" s="3"/>
      <c r="C1583" s="4">
        <v>43648.0</v>
      </c>
      <c r="D1583" s="2" t="s">
        <v>1991</v>
      </c>
      <c r="E1583" s="2">
        <v>6.207000997E9</v>
      </c>
      <c r="F1583" s="3" t="s">
        <v>161</v>
      </c>
      <c r="G1583" s="2" t="s">
        <v>202</v>
      </c>
      <c r="H1583" s="2" t="s">
        <v>83</v>
      </c>
      <c r="I1583" s="3">
        <v>18.0</v>
      </c>
      <c r="J1583" s="3" t="s">
        <v>78</v>
      </c>
      <c r="K1583" s="5">
        <v>845.0</v>
      </c>
      <c r="L1583" s="6"/>
      <c r="M1583" s="6" t="str">
        <f>IF(D1583&lt;&gt;"",VLOOKUP(H1583,TABLEITEM,3,FALSE),"")</f>
        <v>เหล็กรางน้ำ U' 8</v>
      </c>
      <c r="N1583" s="7">
        <f>INSTOCK!$I1583*INSTOCK!$K1583</f>
        <v>15210</v>
      </c>
      <c r="O1583" s="2" t="s">
        <v>1994</v>
      </c>
      <c r="P1583" s="2"/>
    </row>
    <row r="1584" ht="18.0" hidden="1" customHeight="1">
      <c r="A1584" s="1"/>
      <c r="B1584" s="3"/>
      <c r="C1584" s="4">
        <v>43647.0</v>
      </c>
      <c r="D1584" s="2" t="s">
        <v>1995</v>
      </c>
      <c r="E1584" s="2">
        <v>6.206000853E9</v>
      </c>
      <c r="F1584" s="3" t="s">
        <v>161</v>
      </c>
      <c r="G1584" s="2" t="s">
        <v>158</v>
      </c>
      <c r="H1584" s="2" t="s">
        <v>76</v>
      </c>
      <c r="I1584" s="3">
        <v>10.0</v>
      </c>
      <c r="J1584" s="3"/>
      <c r="K1584" s="5">
        <v>490.0</v>
      </c>
      <c r="L1584" s="6"/>
      <c r="M1584" s="6" t="str">
        <f>IF(D1584&lt;&gt;"",VLOOKUP(H1584,TABLEITEM,3,FALSE),"")</f>
        <v>แผ่นตระแกรงระบาย 4x8รู 3มิลT0.6</v>
      </c>
      <c r="N1584" s="7">
        <f>INSTOCK!$I1584*INSTOCK!$K1584</f>
        <v>4900</v>
      </c>
      <c r="O1584" s="2"/>
      <c r="P1584" s="2"/>
    </row>
    <row r="1585" ht="18.0" hidden="1" customHeight="1">
      <c r="A1585" s="1"/>
      <c r="B1585" s="3"/>
      <c r="C1585" s="4">
        <v>43638.0</v>
      </c>
      <c r="D1585" s="2" t="s">
        <v>1996</v>
      </c>
      <c r="E1585" s="2">
        <v>6.204001024E9</v>
      </c>
      <c r="F1585" s="3" t="s">
        <v>1956</v>
      </c>
      <c r="G1585" s="2" t="s">
        <v>733</v>
      </c>
      <c r="H1585" s="2" t="s">
        <v>1957</v>
      </c>
      <c r="I1585" s="3">
        <v>2.0</v>
      </c>
      <c r="J1585" s="3"/>
      <c r="K1585" s="5">
        <v>25.0</v>
      </c>
      <c r="L1585" s="6"/>
      <c r="M1585" s="6" t="str">
        <f>IF(D1585&lt;&gt;"",VLOOKUP(H1585,TABLEITEM,3,FALSE),"")</f>
        <v>กระจกใส 214x214 หนา 3.0</v>
      </c>
      <c r="N1585" s="7">
        <f>INSTOCK!$I1585*INSTOCK!$K1585</f>
        <v>50</v>
      </c>
      <c r="O1585" s="2"/>
      <c r="P1585" s="2"/>
    </row>
    <row r="1586" ht="18.0" hidden="1" customHeight="1">
      <c r="A1586" s="1"/>
      <c r="B1586" s="3"/>
      <c r="C1586" s="4">
        <v>43647.0</v>
      </c>
      <c r="D1586" s="2" t="s">
        <v>1997</v>
      </c>
      <c r="E1586" s="2">
        <v>6.207001024E9</v>
      </c>
      <c r="F1586" s="3" t="s">
        <v>1998</v>
      </c>
      <c r="G1586" s="2" t="s">
        <v>733</v>
      </c>
      <c r="H1586" s="2" t="s">
        <v>1414</v>
      </c>
      <c r="I1586" s="3">
        <v>2.0</v>
      </c>
      <c r="J1586" s="3"/>
      <c r="K1586" s="5">
        <v>45.0</v>
      </c>
      <c r="L1586" s="6"/>
      <c r="M1586" s="6" t="str">
        <f>IF(D1586&lt;&gt;"",VLOOKUP(H1586,TABLEITEM,3,FALSE),"")</f>
        <v>กระจก 212x412 T 5.0</v>
      </c>
      <c r="N1586" s="7">
        <f>INSTOCK!$I1586*INSTOCK!$K1586</f>
        <v>90</v>
      </c>
      <c r="O1586" s="2"/>
      <c r="P1586" s="2"/>
    </row>
    <row r="1587" ht="18.0" hidden="1" customHeight="1">
      <c r="A1587" s="1"/>
      <c r="B1587" s="3"/>
      <c r="C1587" s="4">
        <v>43645.0</v>
      </c>
      <c r="D1587" s="2" t="s">
        <v>1999</v>
      </c>
      <c r="E1587" s="2">
        <v>6.207001024E9</v>
      </c>
      <c r="F1587" s="3" t="s">
        <v>2000</v>
      </c>
      <c r="G1587" s="2" t="s">
        <v>733</v>
      </c>
      <c r="H1587" s="2" t="s">
        <v>2001</v>
      </c>
      <c r="I1587" s="3">
        <v>1.0</v>
      </c>
      <c r="J1587" s="3"/>
      <c r="K1587" s="5">
        <v>113.0</v>
      </c>
      <c r="L1587" s="6"/>
      <c r="M1587" s="6" t="str">
        <f>IF(D1587&lt;&gt;"",VLOOKUP(H1587,TABLEITEM,3,FALSE),"")</f>
        <v>กระจกใส  364x714 T 5.0</v>
      </c>
      <c r="N1587" s="7">
        <f>INSTOCK!$I1587*INSTOCK!$K1587</f>
        <v>113</v>
      </c>
      <c r="O1587" s="2"/>
      <c r="P1587" s="2"/>
    </row>
    <row r="1588" ht="18.0" hidden="1" customHeight="1">
      <c r="A1588" s="1"/>
      <c r="B1588" s="3"/>
      <c r="C1588" s="4">
        <v>43645.0</v>
      </c>
      <c r="D1588" s="2" t="s">
        <v>1999</v>
      </c>
      <c r="E1588" s="2">
        <v>6.207001024E9</v>
      </c>
      <c r="F1588" s="3" t="s">
        <v>2000</v>
      </c>
      <c r="G1588" s="2" t="s">
        <v>733</v>
      </c>
      <c r="H1588" s="2" t="s">
        <v>2002</v>
      </c>
      <c r="I1588" s="3">
        <v>1.0</v>
      </c>
      <c r="J1588" s="3"/>
      <c r="K1588" s="5">
        <v>180.0</v>
      </c>
      <c r="L1588" s="6"/>
      <c r="M1588" s="6" t="str">
        <f>IF(D1588&lt;&gt;"",VLOOKUP(H1588,TABLEITEM,3,FALSE),"")</f>
        <v>กระจกใส  314x1114 T 5.0</v>
      </c>
      <c r="N1588" s="7">
        <f>INSTOCK!$I1588*INSTOCK!$K1588</f>
        <v>180</v>
      </c>
      <c r="O1588" s="2"/>
      <c r="P1588" s="2"/>
    </row>
    <row r="1589" ht="18.0" hidden="1" customHeight="1">
      <c r="A1589" s="1"/>
      <c r="B1589" s="3"/>
      <c r="C1589" s="4">
        <v>43644.0</v>
      </c>
      <c r="D1589" s="2" t="s">
        <v>2003</v>
      </c>
      <c r="E1589" s="2">
        <v>6.207001024E9</v>
      </c>
      <c r="F1589" s="3" t="s">
        <v>2004</v>
      </c>
      <c r="G1589" s="2" t="s">
        <v>733</v>
      </c>
      <c r="H1589" s="2" t="s">
        <v>2005</v>
      </c>
      <c r="I1589" s="3">
        <v>1.0</v>
      </c>
      <c r="J1589" s="3"/>
      <c r="K1589" s="5">
        <v>113.0</v>
      </c>
      <c r="L1589" s="6"/>
      <c r="M1589" s="6" t="str">
        <f>IF(D1589&lt;&gt;"",VLOOKUP(H1589,TABLEITEM,3,FALSE),"")</f>
        <v>กระจกใส  414x714 T 5.0</v>
      </c>
      <c r="N1589" s="7">
        <f>INSTOCK!$I1589*INSTOCK!$K1589</f>
        <v>113</v>
      </c>
      <c r="O1589" s="2"/>
      <c r="P1589" s="2"/>
    </row>
    <row r="1590" ht="18.0" hidden="1" customHeight="1">
      <c r="A1590" s="1"/>
      <c r="B1590" s="3"/>
      <c r="C1590" s="4">
        <v>43636.0</v>
      </c>
      <c r="D1590" s="2" t="s">
        <v>2006</v>
      </c>
      <c r="E1590" s="2">
        <v>6.207001024E9</v>
      </c>
      <c r="F1590" s="3" t="s">
        <v>2007</v>
      </c>
      <c r="G1590" s="2" t="s">
        <v>733</v>
      </c>
      <c r="H1590" s="2" t="s">
        <v>2008</v>
      </c>
      <c r="I1590" s="3">
        <v>1.0</v>
      </c>
      <c r="J1590" s="3"/>
      <c r="K1590" s="5">
        <v>45.0</v>
      </c>
      <c r="L1590" s="6"/>
      <c r="M1590" s="6" t="str">
        <f>IF(D1590&lt;&gt;"",VLOOKUP(H1590,TABLEITEM,3,FALSE),"")</f>
        <v>กระจกใส  264x314 T 5.0</v>
      </c>
      <c r="N1590" s="7">
        <f>INSTOCK!$I1590*INSTOCK!$K1590</f>
        <v>45</v>
      </c>
      <c r="O1590" s="2"/>
      <c r="P1590" s="2"/>
    </row>
    <row r="1591" ht="18.0" hidden="1" customHeight="1">
      <c r="A1591" s="1"/>
      <c r="B1591" s="3"/>
      <c r="C1591" s="4">
        <v>43647.0</v>
      </c>
      <c r="D1591" s="2" t="s">
        <v>2009</v>
      </c>
      <c r="E1591" s="2">
        <v>6.207001024E9</v>
      </c>
      <c r="F1591" s="3" t="s">
        <v>2010</v>
      </c>
      <c r="G1591" s="2" t="s">
        <v>733</v>
      </c>
      <c r="H1591" s="2" t="s">
        <v>2011</v>
      </c>
      <c r="I1591" s="3">
        <v>1.0</v>
      </c>
      <c r="J1591" s="3"/>
      <c r="K1591" s="5">
        <v>180.0</v>
      </c>
      <c r="L1591" s="6"/>
      <c r="M1591" s="6" t="str">
        <f>IF(D1591&lt;&gt;"",VLOOKUP(H1591,TABLEITEM,3,FALSE),"")</f>
        <v>กระจกใส  514x914 T 5.0</v>
      </c>
      <c r="N1591" s="7">
        <f>INSTOCK!$I1591*INSTOCK!$K1591</f>
        <v>180</v>
      </c>
      <c r="O1591" s="2"/>
      <c r="P1591" s="2"/>
    </row>
    <row r="1592" ht="18.0" hidden="1" customHeight="1">
      <c r="A1592" s="1"/>
      <c r="B1592" s="3"/>
      <c r="C1592" s="4">
        <v>43652.0</v>
      </c>
      <c r="D1592" s="2" t="s">
        <v>1788</v>
      </c>
      <c r="E1592" s="2"/>
      <c r="F1592" s="3" t="s">
        <v>161</v>
      </c>
      <c r="G1592" s="2" t="s">
        <v>456</v>
      </c>
      <c r="H1592" s="2" t="s">
        <v>550</v>
      </c>
      <c r="I1592" s="3">
        <v>294.0</v>
      </c>
      <c r="J1592" s="3"/>
      <c r="K1592" s="5"/>
      <c r="L1592" s="6"/>
      <c r="M1592" s="6" t="str">
        <f>IF(D1592&lt;&gt;"",VLOOKUP(H1592,TABLEITEM,3,FALSE),"")</f>
        <v>ฉากตัวZ รับแผ่นกั้น50x34x29</v>
      </c>
      <c r="N1592" s="7">
        <f>INSTOCK!$I1592*INSTOCK!$K1592</f>
        <v>0</v>
      </c>
      <c r="O1592" s="2"/>
      <c r="P1592" s="2"/>
    </row>
    <row r="1593" ht="18.0" hidden="1" customHeight="1">
      <c r="A1593" s="1"/>
      <c r="B1593" s="3"/>
      <c r="C1593" s="4">
        <v>43652.0</v>
      </c>
      <c r="D1593" s="2" t="s">
        <v>1714</v>
      </c>
      <c r="E1593" s="2"/>
      <c r="F1593" s="3" t="s">
        <v>161</v>
      </c>
      <c r="G1593" s="2" t="s">
        <v>456</v>
      </c>
      <c r="H1593" s="2" t="s">
        <v>484</v>
      </c>
      <c r="I1593" s="3">
        <v>240.0</v>
      </c>
      <c r="J1593" s="3"/>
      <c r="K1593" s="5"/>
      <c r="L1593" s="6"/>
      <c r="M1593" s="6" t="str">
        <f>IF(D1593&lt;&gt;"",VLOOKUP(H1593,TABLEITEM,3,FALSE),"")</f>
        <v>คานต่อโครง3mm 68x45x720</v>
      </c>
      <c r="N1593" s="7">
        <f>INSTOCK!$I1593*INSTOCK!$K1593</f>
        <v>0</v>
      </c>
      <c r="O1593" s="2"/>
      <c r="P1593" s="2"/>
    </row>
    <row r="1594" ht="18.0" hidden="1" customHeight="1">
      <c r="A1594" s="1"/>
      <c r="B1594" s="3"/>
      <c r="C1594" s="4">
        <v>43652.0</v>
      </c>
      <c r="D1594" s="2" t="s">
        <v>1989</v>
      </c>
      <c r="E1594" s="2"/>
      <c r="F1594" s="3" t="s">
        <v>161</v>
      </c>
      <c r="G1594" s="2" t="s">
        <v>456</v>
      </c>
      <c r="H1594" s="2" t="s">
        <v>547</v>
      </c>
      <c r="I1594" s="3">
        <v>69.0</v>
      </c>
      <c r="J1594" s="3"/>
      <c r="K1594" s="5"/>
      <c r="L1594" s="6"/>
      <c r="M1594" s="6" t="str">
        <f>IF(D1594&lt;&gt;"",VLOOKUP(H1594,TABLEITEM,3,FALSE),"")</f>
        <v>คานต่อโครง3mm 68x45x270</v>
      </c>
      <c r="N1594" s="7">
        <f>INSTOCK!$I1594*INSTOCK!$K1594</f>
        <v>0</v>
      </c>
      <c r="O1594" s="2"/>
      <c r="P1594" s="2"/>
    </row>
    <row r="1595" ht="18.0" hidden="1" customHeight="1">
      <c r="A1595" s="1"/>
      <c r="B1595" s="3"/>
      <c r="C1595" s="4">
        <v>43652.0</v>
      </c>
      <c r="D1595" s="2" t="s">
        <v>2012</v>
      </c>
      <c r="E1595" s="2"/>
      <c r="F1595" s="3" t="s">
        <v>161</v>
      </c>
      <c r="G1595" s="2" t="s">
        <v>456</v>
      </c>
      <c r="H1595" s="2" t="s">
        <v>620</v>
      </c>
      <c r="I1595" s="3">
        <v>16.0</v>
      </c>
      <c r="J1595" s="3"/>
      <c r="K1595" s="5"/>
      <c r="L1595" s="6"/>
      <c r="M1595" s="6" t="str">
        <f>IF(D1595&lt;&gt;"",VLOOKUP(H1595,TABLEITEM,3,FALSE),"")</f>
        <v>คานต่อโครง3mm 68x45x620</v>
      </c>
      <c r="N1595" s="7">
        <f>INSTOCK!$I1595*INSTOCK!$K1595</f>
        <v>0</v>
      </c>
      <c r="O1595" s="2"/>
      <c r="P1595" s="2"/>
    </row>
    <row r="1596" ht="18.0" hidden="1" customHeight="1">
      <c r="A1596" s="1"/>
      <c r="B1596" s="3"/>
      <c r="C1596" s="4">
        <v>43652.0</v>
      </c>
      <c r="D1596" s="2" t="s">
        <v>2012</v>
      </c>
      <c r="E1596" s="2"/>
      <c r="F1596" s="3" t="s">
        <v>161</v>
      </c>
      <c r="G1596" s="2" t="s">
        <v>456</v>
      </c>
      <c r="H1596" s="2" t="s">
        <v>603</v>
      </c>
      <c r="I1596" s="3">
        <v>9.0</v>
      </c>
      <c r="J1596" s="3"/>
      <c r="K1596" s="5"/>
      <c r="L1596" s="6"/>
      <c r="M1596" s="6" t="str">
        <f>IF(D1596&lt;&gt;"",VLOOKUP(H1596,TABLEITEM,3,FALSE),"")</f>
        <v>คานต่อโครง3mm 68x45x260</v>
      </c>
      <c r="N1596" s="7">
        <f>INSTOCK!$I1596*INSTOCK!$K1596</f>
        <v>0</v>
      </c>
      <c r="O1596" s="2"/>
      <c r="P1596" s="2"/>
    </row>
    <row r="1597" ht="18.0" hidden="1" customHeight="1">
      <c r="A1597" s="1"/>
      <c r="B1597" s="3"/>
      <c r="C1597" s="4">
        <v>43652.0</v>
      </c>
      <c r="D1597" s="2" t="s">
        <v>2012</v>
      </c>
      <c r="E1597" s="2"/>
      <c r="F1597" s="3" t="s">
        <v>161</v>
      </c>
      <c r="G1597" s="2" t="s">
        <v>456</v>
      </c>
      <c r="H1597" s="2" t="s">
        <v>472</v>
      </c>
      <c r="I1597" s="3">
        <v>18.0</v>
      </c>
      <c r="J1597" s="3"/>
      <c r="K1597" s="5"/>
      <c r="L1597" s="6"/>
      <c r="M1597" s="6" t="str">
        <f>IF(D1597&lt;&gt;"",VLOOKUP(H1597,TABLEITEM,3,FALSE),"")</f>
        <v>คานต่อโครง3mm 68x45x420</v>
      </c>
      <c r="N1597" s="7">
        <f>INSTOCK!$I1597*INSTOCK!$K1597</f>
        <v>0</v>
      </c>
      <c r="O1597" s="2"/>
      <c r="P1597" s="2"/>
    </row>
    <row r="1598" ht="18.0" hidden="1" customHeight="1">
      <c r="A1598" s="1"/>
      <c r="B1598" s="3"/>
      <c r="C1598" s="4">
        <v>43652.0</v>
      </c>
      <c r="D1598" s="2" t="s">
        <v>2012</v>
      </c>
      <c r="E1598" s="2"/>
      <c r="F1598" s="3" t="s">
        <v>161</v>
      </c>
      <c r="G1598" s="2" t="s">
        <v>456</v>
      </c>
      <c r="H1598" s="2" t="s">
        <v>548</v>
      </c>
      <c r="I1598" s="3">
        <v>25.0</v>
      </c>
      <c r="J1598" s="3"/>
      <c r="K1598" s="5"/>
      <c r="L1598" s="6"/>
      <c r="M1598" s="6" t="str">
        <f>IF(D1598&lt;&gt;"",VLOOKUP(H1598,TABLEITEM,3,FALSE),"")</f>
        <v>คานต่อโครง 80x45x3mmx520</v>
      </c>
      <c r="N1598" s="7">
        <f>INSTOCK!$I1598*INSTOCK!$K1598</f>
        <v>0</v>
      </c>
      <c r="O1598" s="2"/>
      <c r="P1598" s="2"/>
    </row>
    <row r="1599" ht="18.0" hidden="1" customHeight="1">
      <c r="A1599" s="1"/>
      <c r="B1599" s="3"/>
      <c r="C1599" s="4">
        <v>43652.0</v>
      </c>
      <c r="D1599" s="2" t="s">
        <v>2012</v>
      </c>
      <c r="E1599" s="2"/>
      <c r="F1599" s="3" t="s">
        <v>161</v>
      </c>
      <c r="G1599" s="2" t="s">
        <v>456</v>
      </c>
      <c r="H1599" s="2" t="s">
        <v>459</v>
      </c>
      <c r="I1599" s="3">
        <v>14.0</v>
      </c>
      <c r="J1599" s="3"/>
      <c r="K1599" s="5"/>
      <c r="L1599" s="6"/>
      <c r="M1599" s="6" t="str">
        <f>IF(D1599&lt;&gt;"",VLOOKUP(H1599,TABLEITEM,3,FALSE),"")</f>
        <v>คานต่อโครง3mm 68x45x520</v>
      </c>
      <c r="N1599" s="7">
        <f>INSTOCK!$I1599*INSTOCK!$K1599</f>
        <v>0</v>
      </c>
      <c r="O1599" s="2"/>
      <c r="P1599" s="2"/>
    </row>
    <row r="1600" ht="18.0" hidden="1" customHeight="1">
      <c r="A1600" s="1"/>
      <c r="B1600" s="3"/>
      <c r="C1600" s="4">
        <v>43652.0</v>
      </c>
      <c r="D1600" s="2" t="s">
        <v>2012</v>
      </c>
      <c r="E1600" s="2"/>
      <c r="F1600" s="3" t="s">
        <v>161</v>
      </c>
      <c r="G1600" s="2" t="s">
        <v>456</v>
      </c>
      <c r="H1600" s="2" t="s">
        <v>623</v>
      </c>
      <c r="I1600" s="3">
        <v>1.0</v>
      </c>
      <c r="J1600" s="3"/>
      <c r="K1600" s="5"/>
      <c r="L1600" s="6"/>
      <c r="M1600" s="6" t="str">
        <f>IF(D1600&lt;&gt;"",VLOOKUP(H1600,TABLEITEM,3,FALSE),"")</f>
        <v>คานต่อโครง3mm 68x45x920</v>
      </c>
      <c r="N1600" s="7">
        <f>INSTOCK!$I1600*INSTOCK!$K1600</f>
        <v>0</v>
      </c>
      <c r="O1600" s="2"/>
      <c r="P1600" s="2"/>
    </row>
    <row r="1601" ht="18.0" hidden="1" customHeight="1">
      <c r="A1601" s="1"/>
      <c r="B1601" s="3"/>
      <c r="C1601" s="4">
        <v>43652.0</v>
      </c>
      <c r="D1601" s="2" t="s">
        <v>2012</v>
      </c>
      <c r="E1601" s="2"/>
      <c r="F1601" s="3" t="s">
        <v>161</v>
      </c>
      <c r="G1601" s="2" t="s">
        <v>456</v>
      </c>
      <c r="H1601" s="2" t="s">
        <v>624</v>
      </c>
      <c r="I1601" s="3">
        <v>2.0</v>
      </c>
      <c r="J1601" s="3"/>
      <c r="K1601" s="5"/>
      <c r="L1601" s="6"/>
      <c r="M1601" s="6" t="str">
        <f>IF(D1601&lt;&gt;"",VLOOKUP(H1601,TABLEITEM,3,FALSE),"")</f>
        <v>คานต่อโครง 80x45x3mmx920</v>
      </c>
      <c r="N1601" s="7">
        <f>INSTOCK!$I1601*INSTOCK!$K1601</f>
        <v>0</v>
      </c>
      <c r="O1601" s="2"/>
      <c r="P1601" s="2"/>
    </row>
    <row r="1602" ht="18.0" hidden="1" customHeight="1">
      <c r="A1602" s="1"/>
      <c r="B1602" s="3"/>
      <c r="C1602" s="4">
        <v>43652.0</v>
      </c>
      <c r="D1602" s="2" t="s">
        <v>2012</v>
      </c>
      <c r="E1602" s="2"/>
      <c r="F1602" s="3" t="s">
        <v>161</v>
      </c>
      <c r="G1602" s="2" t="s">
        <v>456</v>
      </c>
      <c r="H1602" s="2" t="s">
        <v>621</v>
      </c>
      <c r="I1602" s="3">
        <v>8.0</v>
      </c>
      <c r="J1602" s="3"/>
      <c r="K1602" s="5"/>
      <c r="L1602" s="6"/>
      <c r="M1602" s="6" t="str">
        <f>IF(D1602&lt;&gt;"",VLOOKUP(H1602,TABLEITEM,3,FALSE),"")</f>
        <v>คานต่อโครง 80x45x3mmx620</v>
      </c>
      <c r="N1602" s="7">
        <f>INSTOCK!$I1602*INSTOCK!$K1602</f>
        <v>0</v>
      </c>
      <c r="O1602" s="2"/>
      <c r="P1602" s="2"/>
    </row>
    <row r="1603" ht="18.0" hidden="1" customHeight="1">
      <c r="A1603" s="1"/>
      <c r="B1603" s="3"/>
      <c r="C1603" s="4">
        <v>43652.0</v>
      </c>
      <c r="D1603" s="2" t="s">
        <v>2012</v>
      </c>
      <c r="E1603" s="2"/>
      <c r="F1603" s="3" t="s">
        <v>161</v>
      </c>
      <c r="G1603" s="2" t="s">
        <v>456</v>
      </c>
      <c r="H1603" s="2" t="s">
        <v>605</v>
      </c>
      <c r="I1603" s="3">
        <v>18.0</v>
      </c>
      <c r="J1603" s="3"/>
      <c r="K1603" s="5"/>
      <c r="L1603" s="6"/>
      <c r="M1603" s="6" t="str">
        <f>IF(D1603&lt;&gt;"",VLOOKUP(H1603,TABLEITEM,3,FALSE),"")</f>
        <v>คานต่อโครง 80x45x3mmx260</v>
      </c>
      <c r="N1603" s="7">
        <f>INSTOCK!$I1603*INSTOCK!$K1603</f>
        <v>0</v>
      </c>
      <c r="O1603" s="2"/>
      <c r="P1603" s="2"/>
    </row>
    <row r="1604" ht="18.0" hidden="1" customHeight="1">
      <c r="A1604" s="1"/>
      <c r="B1604" s="3"/>
      <c r="C1604" s="4">
        <v>43652.0</v>
      </c>
      <c r="D1604" s="2" t="s">
        <v>2012</v>
      </c>
      <c r="E1604" s="2"/>
      <c r="F1604" s="3" t="s">
        <v>161</v>
      </c>
      <c r="G1604" s="2" t="s">
        <v>456</v>
      </c>
      <c r="H1604" s="2" t="s">
        <v>1761</v>
      </c>
      <c r="I1604" s="3">
        <v>5.0</v>
      </c>
      <c r="J1604" s="3"/>
      <c r="K1604" s="5"/>
      <c r="L1604" s="6"/>
      <c r="M1604" s="6" t="str">
        <f>IF(D1604&lt;&gt;"",VLOOKUP(H1604,TABLEITEM,3,FALSE),"")</f>
        <v>หมวกตู้ 40x875</v>
      </c>
      <c r="N1604" s="7">
        <f>INSTOCK!$I1604*INSTOCK!$K1604</f>
        <v>0</v>
      </c>
      <c r="O1604" s="2"/>
      <c r="P1604" s="2"/>
    </row>
    <row r="1605" ht="18.0" hidden="1" customHeight="1">
      <c r="A1605" s="1"/>
      <c r="B1605" s="3"/>
      <c r="C1605" s="4">
        <v>43648.0</v>
      </c>
      <c r="D1605" s="2">
        <v>1.310002632E9</v>
      </c>
      <c r="E1605" s="2">
        <v>6.206000931E9</v>
      </c>
      <c r="F1605" s="3" t="s">
        <v>161</v>
      </c>
      <c r="G1605" s="2" t="s">
        <v>192</v>
      </c>
      <c r="H1605" s="2" t="s">
        <v>61</v>
      </c>
      <c r="I1605" s="3">
        <v>30.0</v>
      </c>
      <c r="J1605" s="3"/>
      <c r="K1605" s="5">
        <v>1900.0</v>
      </c>
      <c r="L1605" s="6"/>
      <c r="M1605" s="6" t="str">
        <f>IF(D1605&lt;&gt;"",VLOOKUP(H1605,TABLEITEM,3,FALSE),"")</f>
        <v>สแตนเลสแผ่น4'x8'T1.2</v>
      </c>
      <c r="N1605" s="7">
        <f>INSTOCK!$I1605*INSTOCK!$K1605</f>
        <v>57000</v>
      </c>
      <c r="O1605" s="2"/>
      <c r="P1605" s="2"/>
    </row>
    <row r="1606" ht="18.0" hidden="1" customHeight="1">
      <c r="A1606" s="1"/>
      <c r="B1606" s="3"/>
      <c r="C1606" s="4">
        <v>43648.0</v>
      </c>
      <c r="D1606" s="2">
        <v>1.310002632E9</v>
      </c>
      <c r="E1606" s="2">
        <v>6.206000931E9</v>
      </c>
      <c r="F1606" s="3" t="s">
        <v>161</v>
      </c>
      <c r="G1606" s="2" t="s">
        <v>192</v>
      </c>
      <c r="H1606" s="2" t="s">
        <v>62</v>
      </c>
      <c r="I1606" s="3">
        <v>30.0</v>
      </c>
      <c r="J1606" s="3"/>
      <c r="K1606" s="5">
        <v>2320.0</v>
      </c>
      <c r="L1606" s="6"/>
      <c r="M1606" s="6" t="str">
        <f>IF(D1606&lt;&gt;"",VLOOKUP(H1606,TABLEITEM,3,FALSE),"")</f>
        <v>สแตนเลสแผ่น4'x8'T1.5</v>
      </c>
      <c r="N1606" s="7">
        <f>INSTOCK!$I1606*INSTOCK!$K1606</f>
        <v>69600</v>
      </c>
      <c r="O1606" s="2"/>
      <c r="P1606" s="2"/>
    </row>
    <row r="1607" ht="18.0" hidden="1" customHeight="1">
      <c r="A1607" s="1"/>
      <c r="B1607" s="3"/>
      <c r="C1607" s="4">
        <v>43648.0</v>
      </c>
      <c r="D1607" s="2">
        <v>1.310002632E9</v>
      </c>
      <c r="E1607" s="2">
        <v>6.206000931E9</v>
      </c>
      <c r="F1607" s="3" t="s">
        <v>161</v>
      </c>
      <c r="G1607" s="2" t="s">
        <v>192</v>
      </c>
      <c r="H1607" s="2" t="s">
        <v>72</v>
      </c>
      <c r="I1607" s="3">
        <v>10.0</v>
      </c>
      <c r="J1607" s="3"/>
      <c r="K1607" s="5">
        <v>4700.0</v>
      </c>
      <c r="L1607" s="6"/>
      <c r="M1607" s="6" t="str">
        <f>IF(D1607&lt;&gt;"",VLOOKUP(H1607,TABLEITEM,3,FALSE),"")</f>
        <v>แผ่นอลูมิเนียม4'x8'T6.0</v>
      </c>
      <c r="N1607" s="7">
        <f>INSTOCK!$I1607*INSTOCK!$K1607</f>
        <v>47000</v>
      </c>
      <c r="O1607" s="2"/>
      <c r="P1607" s="2"/>
    </row>
    <row r="1608" ht="18.0" hidden="1" customHeight="1">
      <c r="A1608" s="1"/>
      <c r="B1608" s="3"/>
      <c r="C1608" s="4">
        <v>43650.0</v>
      </c>
      <c r="D1608" s="2" t="s">
        <v>2013</v>
      </c>
      <c r="E1608" s="2">
        <v>6.207001009E9</v>
      </c>
      <c r="F1608" s="3" t="s">
        <v>1973</v>
      </c>
      <c r="G1608" s="2" t="s">
        <v>153</v>
      </c>
      <c r="H1608" s="2" t="s">
        <v>1652</v>
      </c>
      <c r="I1608" s="3">
        <v>24.0</v>
      </c>
      <c r="J1608" s="3" t="s">
        <v>78</v>
      </c>
      <c r="K1608" s="5">
        <v>108.3333</v>
      </c>
      <c r="L1608" s="6"/>
      <c r="M1608" s="6" t="str">
        <f>IF(D1608&lt;&gt;"",VLOOKUP(H1608,TABLEITEM,3,FALSE),"")</f>
        <v>เหล็กกล่อง2''หนา3.2มิล</v>
      </c>
      <c r="N1608" s="7">
        <f>INSTOCK!$I1608*INSTOCK!$K1608</f>
        <v>2599.9992</v>
      </c>
      <c r="O1608" s="2"/>
      <c r="P1608" s="2"/>
    </row>
    <row r="1609" ht="18.0" hidden="1" customHeight="1">
      <c r="A1609" s="1"/>
      <c r="B1609" s="3"/>
      <c r="C1609" s="4">
        <v>43650.0</v>
      </c>
      <c r="D1609" s="2" t="s">
        <v>2013</v>
      </c>
      <c r="E1609" s="2">
        <v>6.207001009E9</v>
      </c>
      <c r="F1609" s="3" t="s">
        <v>1973</v>
      </c>
      <c r="G1609" s="2" t="s">
        <v>153</v>
      </c>
      <c r="H1609" s="2" t="s">
        <v>87</v>
      </c>
      <c r="I1609" s="3">
        <v>12.0</v>
      </c>
      <c r="J1609" s="3" t="s">
        <v>78</v>
      </c>
      <c r="K1609" s="5">
        <v>30.0</v>
      </c>
      <c r="L1609" s="6"/>
      <c r="M1609" s="6" t="str">
        <f>IF(D1609&lt;&gt;"",VLOOKUP(H1609,TABLEITEM,3,FALSE),"")</f>
        <v>เหล็กฉาก 2''หนา3 มิล</v>
      </c>
      <c r="N1609" s="7">
        <f>INSTOCK!$I1609*INSTOCK!$K1609</f>
        <v>360</v>
      </c>
      <c r="O1609" s="2"/>
      <c r="P1609" s="2"/>
    </row>
    <row r="1610" ht="18.0" hidden="1" customHeight="1">
      <c r="A1610" s="1"/>
      <c r="B1610" s="3"/>
      <c r="C1610" s="4">
        <v>43654.0</v>
      </c>
      <c r="D1610" s="2" t="s">
        <v>2014</v>
      </c>
      <c r="E1610" s="2"/>
      <c r="F1610" s="3" t="s">
        <v>161</v>
      </c>
      <c r="G1610" s="2" t="s">
        <v>456</v>
      </c>
      <c r="H1610" s="2" t="s">
        <v>521</v>
      </c>
      <c r="I1610" s="3">
        <v>117.0</v>
      </c>
      <c r="J1610" s="3"/>
      <c r="K1610" s="5"/>
      <c r="L1610" s="6"/>
      <c r="M1610" s="6" t="str">
        <f>IF(D1610&lt;&gt;"",VLOOKUP(H1610,TABLEITEM,3,FALSE),"")</f>
        <v>คานเจ 45x32x754</v>
      </c>
      <c r="N1610" s="7">
        <f>INSTOCK!$I1610*INSTOCK!$K1610</f>
        <v>0</v>
      </c>
      <c r="O1610" s="2"/>
      <c r="P1610" s="2"/>
    </row>
    <row r="1611" ht="18.0" hidden="1" customHeight="1">
      <c r="A1611" s="1"/>
      <c r="B1611" s="3"/>
      <c r="C1611" s="4">
        <v>43654.0</v>
      </c>
      <c r="D1611" s="2" t="s">
        <v>2015</v>
      </c>
      <c r="E1611" s="2"/>
      <c r="F1611" s="3" t="s">
        <v>161</v>
      </c>
      <c r="G1611" s="2" t="s">
        <v>456</v>
      </c>
      <c r="H1611" s="2" t="s">
        <v>574</v>
      </c>
      <c r="I1611" s="3">
        <v>50.0</v>
      </c>
      <c r="J1611" s="3"/>
      <c r="K1611" s="5"/>
      <c r="L1611" s="6"/>
      <c r="M1611" s="6" t="str">
        <f>IF(D1611&lt;&gt;"",VLOOKUP(H1611,TABLEITEM,3,FALSE),"")</f>
        <v>คานตัวC 70x25T.2.0x695</v>
      </c>
      <c r="N1611" s="7">
        <f>INSTOCK!$I1611*INSTOCK!$K1611</f>
        <v>0</v>
      </c>
      <c r="O1611" s="2"/>
      <c r="P1611" s="2"/>
    </row>
    <row r="1612" ht="18.0" hidden="1" customHeight="1">
      <c r="A1612" s="1"/>
      <c r="B1612" s="3"/>
      <c r="C1612" s="4">
        <v>43654.0</v>
      </c>
      <c r="D1612" s="2" t="s">
        <v>2016</v>
      </c>
      <c r="E1612" s="2"/>
      <c r="F1612" s="3" t="s">
        <v>161</v>
      </c>
      <c r="G1612" s="2" t="s">
        <v>456</v>
      </c>
      <c r="H1612" s="2" t="s">
        <v>527</v>
      </c>
      <c r="I1612" s="3">
        <v>58.0</v>
      </c>
      <c r="J1612" s="3"/>
      <c r="K1612" s="5"/>
      <c r="L1612" s="6"/>
      <c r="M1612" s="6" t="str">
        <f>IF(D1612&lt;&gt;"",VLOOKUP(H1612,TABLEITEM,3,FALSE),"")</f>
        <v>คานตัวC 70x25T2.0x595</v>
      </c>
      <c r="N1612" s="7">
        <f>INSTOCK!$I1612*INSTOCK!$K1612</f>
        <v>0</v>
      </c>
      <c r="O1612" s="2"/>
      <c r="P1612" s="2"/>
    </row>
    <row r="1613" ht="18.0" hidden="1" customHeight="1">
      <c r="A1613" s="1"/>
      <c r="B1613" s="3"/>
      <c r="C1613" s="4">
        <v>43647.0</v>
      </c>
      <c r="D1613" s="2" t="s">
        <v>2017</v>
      </c>
      <c r="E1613" s="2">
        <v>6.20600928E8</v>
      </c>
      <c r="F1613" s="3" t="s">
        <v>161</v>
      </c>
      <c r="G1613" s="2" t="s">
        <v>171</v>
      </c>
      <c r="H1613" s="2" t="s">
        <v>21</v>
      </c>
      <c r="I1613" s="3">
        <v>400.0</v>
      </c>
      <c r="J1613" s="3"/>
      <c r="K1613" s="5">
        <v>1086.2775</v>
      </c>
      <c r="L1613" s="6"/>
      <c r="M1613" s="6" t="str">
        <f>IF(D1613&lt;&gt;"",VLOOKUP(H1613,TABLEITEM,3,FALSE),"")</f>
        <v>เหล็กแผ่นขาว4'x8'T2.0</v>
      </c>
      <c r="N1613" s="7">
        <f>INSTOCK!$I1613*INSTOCK!$K1613</f>
        <v>434511</v>
      </c>
      <c r="O1613" s="2" t="s">
        <v>2018</v>
      </c>
      <c r="P1613" s="2"/>
    </row>
    <row r="1614" ht="18.0" hidden="1" customHeight="1">
      <c r="A1614" s="1"/>
      <c r="B1614" s="3"/>
      <c r="C1614" s="4">
        <v>43647.0</v>
      </c>
      <c r="D1614" s="2" t="s">
        <v>2019</v>
      </c>
      <c r="E1614" s="2">
        <v>6.206000928E9</v>
      </c>
      <c r="F1614" s="3" t="s">
        <v>161</v>
      </c>
      <c r="G1614" s="2" t="s">
        <v>171</v>
      </c>
      <c r="H1614" s="2" t="s">
        <v>25</v>
      </c>
      <c r="I1614" s="3">
        <v>200.0</v>
      </c>
      <c r="J1614" s="3"/>
      <c r="K1614" s="5">
        <v>1701.0</v>
      </c>
      <c r="L1614" s="6"/>
      <c r="M1614" s="6" t="str">
        <f>IF(D1614&lt;&gt;"",VLOOKUP(H1614,TABLEITEM,3,FALSE),"")</f>
        <v>เหล็กแผ่นขาว4'x8'T3.0</v>
      </c>
      <c r="N1614" s="7">
        <f>INSTOCK!$I1614*INSTOCK!$K1614</f>
        <v>340200</v>
      </c>
      <c r="O1614" s="2" t="s">
        <v>2020</v>
      </c>
      <c r="P1614" s="2"/>
    </row>
    <row r="1615" ht="18.0" hidden="1" customHeight="1">
      <c r="A1615" s="1"/>
      <c r="B1615" s="3"/>
      <c r="C1615" s="4">
        <v>43656.0</v>
      </c>
      <c r="D1615" s="2" t="s">
        <v>2021</v>
      </c>
      <c r="E1615" s="2"/>
      <c r="F1615" s="3" t="s">
        <v>161</v>
      </c>
      <c r="G1615" s="2" t="s">
        <v>456</v>
      </c>
      <c r="H1615" s="2" t="s">
        <v>525</v>
      </c>
      <c r="I1615" s="3">
        <v>90.0</v>
      </c>
      <c r="J1615" s="3"/>
      <c r="K1615" s="5"/>
      <c r="L1615" s="6"/>
      <c r="M1615" s="6" t="str">
        <f>IF(D1615&lt;&gt;"",VLOOKUP(H1615,TABLEITEM,3,FALSE),"")</f>
        <v>เสาเชื่อม2275x40x50</v>
      </c>
      <c r="N1615" s="7">
        <f>INSTOCK!$I1615*INSTOCK!$K1615</f>
        <v>0</v>
      </c>
      <c r="O1615" s="2"/>
      <c r="P1615" s="2"/>
    </row>
    <row r="1616" ht="18.0" hidden="1" customHeight="1">
      <c r="A1616" s="1"/>
      <c r="B1616" s="3"/>
      <c r="C1616" s="4">
        <v>43655.0</v>
      </c>
      <c r="D1616" s="2" t="s">
        <v>2022</v>
      </c>
      <c r="E1616" s="2">
        <v>6.20700102E9</v>
      </c>
      <c r="F1616" s="3" t="s">
        <v>161</v>
      </c>
      <c r="G1616" s="2" t="s">
        <v>171</v>
      </c>
      <c r="H1616" s="2" t="s">
        <v>42</v>
      </c>
      <c r="I1616" s="3">
        <v>200.0</v>
      </c>
      <c r="J1616" s="3"/>
      <c r="K1616" s="5">
        <v>1247.664</v>
      </c>
      <c r="L1616" s="6"/>
      <c r="M1616" s="6" t="str">
        <f>IF(D1616&lt;&gt;"",VLOOKUP(H1616,TABLEITEM,3,FALSE),"")</f>
        <v>เหล็กแผ่นEG4'x8'T2.0</v>
      </c>
      <c r="N1616" s="7">
        <f>INSTOCK!$I1616*INSTOCK!$K1616</f>
        <v>249532.8</v>
      </c>
      <c r="O1616" s="2" t="s">
        <v>2023</v>
      </c>
      <c r="P1616" s="2"/>
    </row>
    <row r="1617" ht="18.0" hidden="1" customHeight="1">
      <c r="A1617" s="1"/>
      <c r="B1617" s="3"/>
      <c r="C1617" s="4">
        <v>43657.0</v>
      </c>
      <c r="D1617" s="2" t="s">
        <v>2024</v>
      </c>
      <c r="E1617" s="2"/>
      <c r="F1617" s="3" t="s">
        <v>2025</v>
      </c>
      <c r="G1617" s="2" t="s">
        <v>1511</v>
      </c>
      <c r="H1617" s="2" t="s">
        <v>1773</v>
      </c>
      <c r="I1617" s="3">
        <v>1.0</v>
      </c>
      <c r="J1617" s="3"/>
      <c r="K1617" s="5">
        <v>850.0</v>
      </c>
      <c r="L1617" s="6"/>
      <c r="M1617" s="6" t="str">
        <f>IF(D1617&lt;&gt;"",VLOOKUP(H1617,TABLEITEM,3,FALSE),"")</f>
        <v>กระจกลวด 250x600 หนา 6.0มิล</v>
      </c>
      <c r="N1617" s="7">
        <f>INSTOCK!$I1617*INSTOCK!$K1617</f>
        <v>850</v>
      </c>
      <c r="O1617" s="2"/>
      <c r="P1617" s="2"/>
    </row>
    <row r="1618" ht="18.0" hidden="1" customHeight="1">
      <c r="A1618" s="1"/>
      <c r="B1618" s="3"/>
      <c r="C1618" s="4">
        <v>43652.0</v>
      </c>
      <c r="D1618" s="2" t="s">
        <v>2026</v>
      </c>
      <c r="E1618" s="2"/>
      <c r="F1618" s="3" t="s">
        <v>161</v>
      </c>
      <c r="G1618" s="2" t="s">
        <v>953</v>
      </c>
      <c r="H1618" s="2" t="s">
        <v>1350</v>
      </c>
      <c r="I1618" s="3">
        <v>10.0</v>
      </c>
      <c r="J1618" s="3"/>
      <c r="K1618" s="5">
        <v>450.0</v>
      </c>
      <c r="L1618" s="6"/>
      <c r="M1618" s="6" t="str">
        <f>IF(D1618&lt;&gt;"",VLOOKUP(H1618,TABLEITEM,3,FALSE),"")</f>
        <v>กระจกลวด190X290T6.0</v>
      </c>
      <c r="N1618" s="7">
        <f>INSTOCK!$I1618*INSTOCK!$K1618</f>
        <v>4500</v>
      </c>
      <c r="O1618" s="2"/>
      <c r="P1618" s="2"/>
    </row>
    <row r="1619" ht="18.0" hidden="1" customHeight="1">
      <c r="A1619" s="1"/>
      <c r="B1619" s="3"/>
      <c r="C1619" s="4">
        <v>43663.0</v>
      </c>
      <c r="D1619" s="2" t="s">
        <v>2027</v>
      </c>
      <c r="E1619" s="2"/>
      <c r="F1619" s="3" t="s">
        <v>161</v>
      </c>
      <c r="G1619" s="2" t="s">
        <v>456</v>
      </c>
      <c r="H1619" s="2" t="s">
        <v>629</v>
      </c>
      <c r="I1619" s="3">
        <v>55.0</v>
      </c>
      <c r="J1619" s="3"/>
      <c r="K1619" s="5"/>
      <c r="L1619" s="6"/>
      <c r="M1619" s="6" t="str">
        <f>IF(D1619&lt;&gt;"",VLOOKUP(H1619,TABLEITEM,3,FALSE),"")</f>
        <v>ตัวแซดยึดแผ่นพื้น 60x895</v>
      </c>
      <c r="N1619" s="7">
        <f>INSTOCK!$I1619*INSTOCK!$K1619</f>
        <v>0</v>
      </c>
      <c r="O1619" s="2"/>
      <c r="P1619" s="2"/>
    </row>
    <row r="1620" ht="18.0" hidden="1" customHeight="1">
      <c r="A1620" s="1"/>
      <c r="B1620" s="3"/>
      <c r="C1620" s="4">
        <v>43655.0</v>
      </c>
      <c r="D1620" s="2" t="s">
        <v>2028</v>
      </c>
      <c r="E1620" s="2">
        <v>6.207001073E9</v>
      </c>
      <c r="F1620" s="3" t="s">
        <v>2029</v>
      </c>
      <c r="G1620" s="2" t="s">
        <v>733</v>
      </c>
      <c r="H1620" s="2" t="s">
        <v>1867</v>
      </c>
      <c r="I1620" s="3">
        <v>2.0</v>
      </c>
      <c r="J1620" s="3"/>
      <c r="K1620" s="5">
        <v>90.0</v>
      </c>
      <c r="L1620" s="6"/>
      <c r="M1620" s="6" t="str">
        <f>IF(D1620&lt;&gt;"",VLOOKUP(H1620,TABLEITEM,3,FALSE),"")</f>
        <v>กระจก 314x514 หนา 5.0มิล</v>
      </c>
      <c r="N1620" s="7">
        <f>INSTOCK!$I1620*INSTOCK!$K1620</f>
        <v>180</v>
      </c>
      <c r="O1620" s="2"/>
      <c r="P1620" s="2"/>
    </row>
    <row r="1621" ht="18.0" hidden="1" customHeight="1">
      <c r="A1621" s="1"/>
      <c r="B1621" s="3"/>
      <c r="C1621" s="4">
        <v>43656.0</v>
      </c>
      <c r="D1621" s="2" t="s">
        <v>2030</v>
      </c>
      <c r="E1621" s="2">
        <v>6.207001073E9</v>
      </c>
      <c r="F1621" s="3" t="s">
        <v>2031</v>
      </c>
      <c r="G1621" s="2" t="s">
        <v>733</v>
      </c>
      <c r="H1621" s="2" t="s">
        <v>2032</v>
      </c>
      <c r="I1621" s="3">
        <v>1.0</v>
      </c>
      <c r="J1621" s="3"/>
      <c r="K1621" s="5">
        <v>210.0</v>
      </c>
      <c r="L1621" s="6"/>
      <c r="M1621" s="6" t="str">
        <f>IF(D1621&lt;&gt;"",VLOOKUP(H1621,TABLEITEM,3,FALSE),"")</f>
        <v>กระจกใส  514x964 T 5.0</v>
      </c>
      <c r="N1621" s="7">
        <f>INSTOCK!$I1621*INSTOCK!$K1621</f>
        <v>210</v>
      </c>
      <c r="O1621" s="2"/>
      <c r="P1621" s="2"/>
    </row>
    <row r="1622" ht="18.0" hidden="1" customHeight="1">
      <c r="A1622" s="1"/>
      <c r="B1622" s="3"/>
      <c r="C1622" s="4">
        <v>43654.0</v>
      </c>
      <c r="D1622" s="2" t="s">
        <v>2033</v>
      </c>
      <c r="E1622" s="2">
        <v>6.207001073E9</v>
      </c>
      <c r="F1622" s="3" t="s">
        <v>2034</v>
      </c>
      <c r="G1622" s="2" t="s">
        <v>733</v>
      </c>
      <c r="H1622" s="2" t="s">
        <v>2035</v>
      </c>
      <c r="I1622" s="3">
        <v>2.0</v>
      </c>
      <c r="J1622" s="3"/>
      <c r="K1622" s="5">
        <v>45.0</v>
      </c>
      <c r="L1622" s="6"/>
      <c r="M1622" s="6" t="str">
        <f>IF(D1622&lt;&gt;"",VLOOKUP(H1622,TABLEITEM,3,FALSE),"")</f>
        <v>กระจกใส  234x334 T 5.0</v>
      </c>
      <c r="N1622" s="7">
        <f>INSTOCK!$I1622*INSTOCK!$K1622</f>
        <v>90</v>
      </c>
      <c r="O1622" s="2"/>
      <c r="P1622" s="2"/>
    </row>
    <row r="1623" ht="18.0" hidden="1" customHeight="1">
      <c r="A1623" s="1"/>
      <c r="B1623" s="3"/>
      <c r="C1623" s="4">
        <v>43651.0</v>
      </c>
      <c r="D1623" s="2" t="s">
        <v>2036</v>
      </c>
      <c r="E1623" s="2">
        <v>6.207001073E9</v>
      </c>
      <c r="F1623" s="3" t="s">
        <v>2037</v>
      </c>
      <c r="G1623" s="2" t="s">
        <v>733</v>
      </c>
      <c r="H1623" s="2" t="s">
        <v>2038</v>
      </c>
      <c r="I1623" s="3">
        <v>1.0</v>
      </c>
      <c r="J1623" s="3"/>
      <c r="K1623" s="5">
        <v>105.0</v>
      </c>
      <c r="L1623" s="6"/>
      <c r="M1623" s="6" t="str">
        <f>IF(D1623&lt;&gt;"",VLOOKUP(H1623,TABLEITEM,3,FALSE),"")</f>
        <v>กระจกใส  164x1044 T 5.0</v>
      </c>
      <c r="N1623" s="7">
        <f>INSTOCK!$I1623*INSTOCK!$K1623</f>
        <v>105</v>
      </c>
      <c r="O1623" s="2"/>
      <c r="P1623" s="2"/>
    </row>
    <row r="1624" ht="18.0" hidden="1" customHeight="1">
      <c r="A1624" s="1"/>
      <c r="B1624" s="3"/>
      <c r="C1624" s="4">
        <v>43651.0</v>
      </c>
      <c r="D1624" s="2" t="s">
        <v>2036</v>
      </c>
      <c r="E1624" s="2">
        <v>6.207001073E9</v>
      </c>
      <c r="F1624" s="3" t="s">
        <v>2037</v>
      </c>
      <c r="G1624" s="2" t="s">
        <v>733</v>
      </c>
      <c r="H1624" s="2" t="s">
        <v>2039</v>
      </c>
      <c r="I1624" s="3">
        <v>1.0</v>
      </c>
      <c r="J1624" s="3"/>
      <c r="K1624" s="5">
        <v>150.0</v>
      </c>
      <c r="L1624" s="6"/>
      <c r="M1624" s="6" t="str">
        <f>IF(D1624&lt;&gt;"",VLOOKUP(H1624,TABLEITEM,3,FALSE),"")</f>
        <v>กระจกใส  164x1398  T 5.0</v>
      </c>
      <c r="N1624" s="7">
        <f>INSTOCK!$I1624*INSTOCK!$K1624</f>
        <v>150</v>
      </c>
      <c r="O1624" s="2"/>
      <c r="P1624" s="2"/>
    </row>
    <row r="1625" ht="18.0" hidden="1" customHeight="1">
      <c r="A1625" s="1"/>
      <c r="B1625" s="3"/>
      <c r="C1625" s="4">
        <v>43651.0</v>
      </c>
      <c r="D1625" s="2" t="s">
        <v>2040</v>
      </c>
      <c r="E1625" s="2">
        <v>6.207001073E9</v>
      </c>
      <c r="F1625" s="3" t="s">
        <v>2041</v>
      </c>
      <c r="G1625" s="2" t="s">
        <v>733</v>
      </c>
      <c r="H1625" s="2" t="s">
        <v>2042</v>
      </c>
      <c r="I1625" s="3">
        <v>1.0</v>
      </c>
      <c r="J1625" s="3"/>
      <c r="K1625" s="5">
        <v>113.0</v>
      </c>
      <c r="L1625" s="6"/>
      <c r="M1625" s="6" t="str">
        <f>IF(D1625&lt;&gt;"",VLOOKUP(H1625,TABLEITEM,3,FALSE),"")</f>
        <v>กระจกใส  414x664 T 5.0</v>
      </c>
      <c r="N1625" s="7">
        <f>INSTOCK!$I1625*INSTOCK!$K1625</f>
        <v>113</v>
      </c>
      <c r="O1625" s="2"/>
      <c r="P1625" s="2"/>
    </row>
    <row r="1626" ht="18.0" hidden="1" customHeight="1">
      <c r="A1626" s="1"/>
      <c r="B1626" s="3"/>
      <c r="C1626" s="4">
        <v>43651.0</v>
      </c>
      <c r="D1626" s="2" t="s">
        <v>2043</v>
      </c>
      <c r="E1626" s="2">
        <v>6.207001073E9</v>
      </c>
      <c r="F1626" s="3" t="s">
        <v>2044</v>
      </c>
      <c r="G1626" s="2" t="s">
        <v>733</v>
      </c>
      <c r="H1626" s="2" t="s">
        <v>2045</v>
      </c>
      <c r="I1626" s="3">
        <v>4.0</v>
      </c>
      <c r="J1626" s="3"/>
      <c r="K1626" s="5">
        <v>90.0</v>
      </c>
      <c r="L1626" s="6"/>
      <c r="M1626" s="6" t="str">
        <f>IF(D1626&lt;&gt;"",VLOOKUP(H1626,TABLEITEM,3,FALSE),"")</f>
        <v>กระจกใส  414x514 T 5.0</v>
      </c>
      <c r="N1626" s="7">
        <f>INSTOCK!$I1626*INSTOCK!$K1626</f>
        <v>360</v>
      </c>
      <c r="O1626" s="2"/>
      <c r="P1626" s="2"/>
    </row>
    <row r="1627" ht="18.0" hidden="1" customHeight="1">
      <c r="A1627" s="1"/>
      <c r="B1627" s="3"/>
      <c r="C1627" s="4">
        <v>43651.0</v>
      </c>
      <c r="D1627" s="2" t="s">
        <v>2043</v>
      </c>
      <c r="E1627" s="2">
        <v>6.207001073E9</v>
      </c>
      <c r="F1627" s="3" t="s">
        <v>2044</v>
      </c>
      <c r="G1627" s="2" t="s">
        <v>733</v>
      </c>
      <c r="H1627" s="2" t="s">
        <v>2046</v>
      </c>
      <c r="I1627" s="3">
        <v>2.0</v>
      </c>
      <c r="J1627" s="3"/>
      <c r="K1627" s="5">
        <v>180.0</v>
      </c>
      <c r="L1627" s="6"/>
      <c r="M1627" s="6" t="str">
        <f>IF(D1627&lt;&gt;"",VLOOKUP(H1627,TABLEITEM,3,FALSE),"")</f>
        <v>กระจกใส  514x864 T 5.0</v>
      </c>
      <c r="N1627" s="7">
        <f>INSTOCK!$I1627*INSTOCK!$K1627</f>
        <v>360</v>
      </c>
      <c r="O1627" s="2"/>
      <c r="P1627" s="2"/>
    </row>
    <row r="1628" ht="18.0" hidden="1" customHeight="1">
      <c r="A1628" s="1"/>
      <c r="B1628" s="3"/>
      <c r="C1628" s="4">
        <v>43655.0</v>
      </c>
      <c r="D1628" s="2" t="s">
        <v>2047</v>
      </c>
      <c r="E1628" s="2">
        <v>6.207001073E9</v>
      </c>
      <c r="F1628" s="3" t="s">
        <v>2048</v>
      </c>
      <c r="G1628" s="2" t="s">
        <v>733</v>
      </c>
      <c r="H1628" s="2" t="s">
        <v>2049</v>
      </c>
      <c r="I1628" s="3">
        <v>2.0</v>
      </c>
      <c r="J1628" s="3"/>
      <c r="K1628" s="5">
        <v>75.0</v>
      </c>
      <c r="L1628" s="6"/>
      <c r="M1628" s="6" t="str">
        <f>IF(D1628&lt;&gt;"",VLOOKUP(H1628,TABLEITEM,3,FALSE),"")</f>
        <v>กระจกใส  339x464 T 3.0</v>
      </c>
      <c r="N1628" s="7">
        <f>INSTOCK!$I1628*INSTOCK!$K1628</f>
        <v>150</v>
      </c>
      <c r="O1628" s="2"/>
      <c r="P1628" s="2"/>
    </row>
    <row r="1629" ht="18.0" hidden="1" customHeight="1">
      <c r="A1629" s="1"/>
      <c r="B1629" s="3"/>
      <c r="C1629" s="4">
        <v>43665.0</v>
      </c>
      <c r="D1629" s="2" t="s">
        <v>2050</v>
      </c>
      <c r="E1629" s="2"/>
      <c r="F1629" s="3" t="s">
        <v>161</v>
      </c>
      <c r="G1629" s="2" t="s">
        <v>456</v>
      </c>
      <c r="H1629" s="2" t="s">
        <v>466</v>
      </c>
      <c r="I1629" s="3">
        <v>105.0</v>
      </c>
      <c r="J1629" s="3"/>
      <c r="K1629" s="5"/>
      <c r="L1629" s="6"/>
      <c r="M1629" s="6" t="str">
        <f>IF(D1629&lt;&gt;"",VLOOKUP(H1629,TABLEITEM,3,FALSE),"")</f>
        <v>คานเจปรับระดับ754x68x35T3.0</v>
      </c>
      <c r="N1629" s="7">
        <f>INSTOCK!$I1629*INSTOCK!$K1629</f>
        <v>0</v>
      </c>
      <c r="O1629" s="2"/>
      <c r="P1629" s="2"/>
    </row>
    <row r="1630" ht="18.0" hidden="1" customHeight="1">
      <c r="A1630" s="1"/>
      <c r="B1630" s="3"/>
      <c r="C1630" s="4">
        <v>43658.0</v>
      </c>
      <c r="D1630" s="2" t="s">
        <v>2051</v>
      </c>
      <c r="E1630" s="2">
        <v>6.2027001046E10</v>
      </c>
      <c r="F1630" s="3" t="s">
        <v>1096</v>
      </c>
      <c r="G1630" s="2" t="s">
        <v>153</v>
      </c>
      <c r="H1630" s="2" t="s">
        <v>125</v>
      </c>
      <c r="I1630" s="3">
        <v>36.0</v>
      </c>
      <c r="J1630" s="3" t="s">
        <v>78</v>
      </c>
      <c r="K1630" s="5">
        <v>211.6667</v>
      </c>
      <c r="L1630" s="6"/>
      <c r="M1630" s="6" t="str">
        <f>IF(D1630&lt;&gt;"",VLOOKUP(H1630,TABLEITEM,3,FALSE),"")</f>
        <v>ฉากสแตนเลส 2''หนา3.0</v>
      </c>
      <c r="N1630" s="7">
        <f>INSTOCK!$I1630*INSTOCK!$K1630</f>
        <v>7620.0012</v>
      </c>
      <c r="O1630" s="2" t="s">
        <v>2052</v>
      </c>
      <c r="P1630" s="2"/>
    </row>
    <row r="1631" ht="18.0" hidden="1" customHeight="1">
      <c r="A1631" s="1"/>
      <c r="B1631" s="3"/>
      <c r="C1631" s="4">
        <v>43658.0</v>
      </c>
      <c r="D1631" s="2" t="s">
        <v>2051</v>
      </c>
      <c r="E1631" s="2">
        <v>6.2027001046E10</v>
      </c>
      <c r="F1631" s="3" t="s">
        <v>1096</v>
      </c>
      <c r="G1631" s="2" t="s">
        <v>153</v>
      </c>
      <c r="H1631" s="2" t="s">
        <v>2053</v>
      </c>
      <c r="I1631" s="3">
        <v>6.0</v>
      </c>
      <c r="J1631" s="3" t="s">
        <v>78</v>
      </c>
      <c r="K1631" s="5">
        <v>91.6667</v>
      </c>
      <c r="L1631" s="6"/>
      <c r="M1631" s="6" t="str">
        <f>IF(D1631&lt;&gt;"",VLOOKUP(H1631,TABLEITEM,3,FALSE),"")</f>
        <v>สแตนเลสแบน  2"x1/8"x6M</v>
      </c>
      <c r="N1631" s="7">
        <f>INSTOCK!$I1631*INSTOCK!$K1631</f>
        <v>550.0002</v>
      </c>
      <c r="O1631" s="2" t="s">
        <v>2054</v>
      </c>
      <c r="P1631" s="2"/>
    </row>
    <row r="1632" ht="18.0" hidden="1" customHeight="1">
      <c r="A1632" s="1"/>
      <c r="B1632" s="3"/>
      <c r="C1632" s="4">
        <v>43659.0</v>
      </c>
      <c r="D1632" s="2" t="s">
        <v>2055</v>
      </c>
      <c r="E1632" s="2">
        <v>6.207001058E9</v>
      </c>
      <c r="F1632" s="3" t="s">
        <v>425</v>
      </c>
      <c r="G1632" s="2" t="s">
        <v>153</v>
      </c>
      <c r="H1632" s="2" t="s">
        <v>143</v>
      </c>
      <c r="I1632" s="3">
        <v>30.0</v>
      </c>
      <c r="J1632" s="3" t="s">
        <v>78</v>
      </c>
      <c r="K1632" s="5">
        <v>24.1667</v>
      </c>
      <c r="L1632" s="6"/>
      <c r="M1632" s="6" t="str">
        <f>IF(D1632&lt;&gt;"",VLOOKUP(H1632,TABLEITEM,3,FALSE),"")</f>
        <v>เพลาสแตนเลส 6 มิล</v>
      </c>
      <c r="N1632" s="7">
        <f>INSTOCK!$I1632*INSTOCK!$K1632</f>
        <v>725.001</v>
      </c>
      <c r="O1632" s="2" t="s">
        <v>2056</v>
      </c>
      <c r="P1632" s="2"/>
    </row>
    <row r="1633" ht="18.0" hidden="1" customHeight="1">
      <c r="A1633" s="1"/>
      <c r="B1633" s="3"/>
      <c r="C1633" s="4">
        <v>43663.0</v>
      </c>
      <c r="D1633" s="2" t="s">
        <v>2057</v>
      </c>
      <c r="E1633" s="2"/>
      <c r="F1633" s="3" t="s">
        <v>161</v>
      </c>
      <c r="G1633" s="2" t="s">
        <v>456</v>
      </c>
      <c r="H1633" s="2" t="s">
        <v>495</v>
      </c>
      <c r="I1633" s="3">
        <v>216.0</v>
      </c>
      <c r="J1633" s="3"/>
      <c r="K1633" s="5"/>
      <c r="L1633" s="6"/>
      <c r="M1633" s="6" t="str">
        <f>IF(D1633&lt;&gt;"",VLOOKUP(H1633,TABLEITEM,3,FALSE),"")</f>
        <v>คานเชื่อม800</v>
      </c>
      <c r="N1633" s="7">
        <f>INSTOCK!$I1633*INSTOCK!$K1633</f>
        <v>0</v>
      </c>
      <c r="O1633" s="2"/>
      <c r="P1633" s="2"/>
    </row>
    <row r="1634" ht="18.0" hidden="1" customHeight="1">
      <c r="A1634" s="1"/>
      <c r="B1634" s="3"/>
      <c r="C1634" s="4">
        <v>43669.0</v>
      </c>
      <c r="D1634" s="2" t="s">
        <v>2058</v>
      </c>
      <c r="E1634" s="2"/>
      <c r="F1634" s="3" t="s">
        <v>161</v>
      </c>
      <c r="G1634" s="2" t="s">
        <v>456</v>
      </c>
      <c r="H1634" s="2" t="s">
        <v>470</v>
      </c>
      <c r="I1634" s="3">
        <v>287.0</v>
      </c>
      <c r="J1634" s="3"/>
      <c r="K1634" s="5"/>
      <c r="L1634" s="6"/>
      <c r="M1634" s="6" t="str">
        <f>IF(D1634&lt;&gt;"",VLOOKUP(H1634,TABLEITEM,3,FALSE),"")</f>
        <v>ฉากรับลูกถ้วย 190x45</v>
      </c>
      <c r="N1634" s="7">
        <f>INSTOCK!$I1634*INSTOCK!$K1634</f>
        <v>0</v>
      </c>
      <c r="O1634" s="2"/>
      <c r="P1634" s="2"/>
    </row>
    <row r="1635" ht="18.0" hidden="1" customHeight="1">
      <c r="A1635" s="1"/>
      <c r="B1635" s="3"/>
      <c r="C1635" s="4">
        <v>43669.0</v>
      </c>
      <c r="D1635" s="2" t="s">
        <v>2050</v>
      </c>
      <c r="E1635" s="2"/>
      <c r="F1635" s="3" t="s">
        <v>161</v>
      </c>
      <c r="G1635" s="2" t="s">
        <v>456</v>
      </c>
      <c r="H1635" s="2" t="s">
        <v>466</v>
      </c>
      <c r="I1635" s="3">
        <v>88.0</v>
      </c>
      <c r="J1635" s="3"/>
      <c r="K1635" s="5"/>
      <c r="L1635" s="6"/>
      <c r="M1635" s="6" t="str">
        <f>IF(D1635&lt;&gt;"",VLOOKUP(H1635,TABLEITEM,3,FALSE),"")</f>
        <v>คานเจปรับระดับ754x68x35T3.0</v>
      </c>
      <c r="N1635" s="7">
        <f>INSTOCK!$I1635*INSTOCK!$K1635</f>
        <v>0</v>
      </c>
      <c r="O1635" s="2"/>
      <c r="P1635" s="2"/>
    </row>
    <row r="1636" ht="18.0" hidden="1" customHeight="1">
      <c r="A1636" s="1"/>
      <c r="B1636" s="3"/>
      <c r="C1636" s="4">
        <v>43669.0</v>
      </c>
      <c r="D1636" s="2" t="s">
        <v>2059</v>
      </c>
      <c r="E1636" s="2"/>
      <c r="F1636" s="3" t="s">
        <v>161</v>
      </c>
      <c r="G1636" s="2" t="s">
        <v>456</v>
      </c>
      <c r="H1636" s="2" t="s">
        <v>556</v>
      </c>
      <c r="I1636" s="3">
        <v>31.0</v>
      </c>
      <c r="J1636" s="3"/>
      <c r="K1636" s="5"/>
      <c r="L1636" s="6"/>
      <c r="M1636" s="6" t="str">
        <f>IF(D1636&lt;&gt;"",VLOOKUP(H1636,TABLEITEM,3,FALSE),"")</f>
        <v>ชุดฝากันระเบิด 600x330</v>
      </c>
      <c r="N1636" s="7">
        <f>INSTOCK!$I1636*INSTOCK!$K1636</f>
        <v>0</v>
      </c>
      <c r="O1636" s="2"/>
      <c r="P1636" s="2"/>
    </row>
    <row r="1637" ht="18.0" hidden="1" customHeight="1">
      <c r="A1637" s="1"/>
      <c r="B1637" s="3"/>
      <c r="C1637" s="4">
        <v>43669.0</v>
      </c>
      <c r="D1637" s="2" t="s">
        <v>2060</v>
      </c>
      <c r="E1637" s="2"/>
      <c r="F1637" s="3" t="s">
        <v>161</v>
      </c>
      <c r="G1637" s="2" t="s">
        <v>456</v>
      </c>
      <c r="H1637" s="2" t="s">
        <v>515</v>
      </c>
      <c r="I1637" s="3">
        <v>32.0</v>
      </c>
      <c r="J1637" s="3"/>
      <c r="K1637" s="5"/>
      <c r="L1637" s="6"/>
      <c r="M1637" s="6" t="str">
        <f>IF(D1637&lt;&gt;"",VLOOKUP(H1637,TABLEITEM,3,FALSE),"")</f>
        <v>ชุดฝากันระเบิด 600x500</v>
      </c>
      <c r="N1637" s="7">
        <f>INSTOCK!$I1637*INSTOCK!$K1637</f>
        <v>0</v>
      </c>
      <c r="O1637" s="2"/>
      <c r="P1637" s="2"/>
    </row>
    <row r="1638" ht="18.0" hidden="1" customHeight="1">
      <c r="A1638" s="1"/>
      <c r="B1638" s="3"/>
      <c r="C1638" s="4">
        <v>43664.0</v>
      </c>
      <c r="D1638" s="2" t="s">
        <v>2061</v>
      </c>
      <c r="E1638" s="2">
        <v>6.207001074E9</v>
      </c>
      <c r="F1638" s="3" t="s">
        <v>2062</v>
      </c>
      <c r="G1638" s="2" t="s">
        <v>153</v>
      </c>
      <c r="H1638" s="2" t="s">
        <v>229</v>
      </c>
      <c r="I1638" s="3">
        <v>1.0</v>
      </c>
      <c r="J1638" s="3"/>
      <c r="K1638" s="5">
        <v>2110.0</v>
      </c>
      <c r="L1638" s="6"/>
      <c r="M1638" s="6" t="str">
        <f>IF(D1638&lt;&gt;"",VLOOKUP(H1638,TABLEITEM,3,FALSE),"")</f>
        <v>เหล็กแผ่นลาย 4'x8' หนา 3 มิล</v>
      </c>
      <c r="N1638" s="7">
        <f>INSTOCK!$I1638*INSTOCK!$K1638</f>
        <v>2110</v>
      </c>
      <c r="O1638" s="2"/>
      <c r="P1638" s="2"/>
    </row>
    <row r="1639" ht="18.0" hidden="1" customHeight="1">
      <c r="A1639" s="1"/>
      <c r="B1639" s="3"/>
      <c r="C1639" s="4">
        <v>43666.0</v>
      </c>
      <c r="D1639" s="2" t="s">
        <v>2063</v>
      </c>
      <c r="E1639" s="2">
        <v>6.207001076E9</v>
      </c>
      <c r="F1639" s="3" t="s">
        <v>161</v>
      </c>
      <c r="G1639" s="2" t="s">
        <v>202</v>
      </c>
      <c r="H1639" s="2" t="s">
        <v>85</v>
      </c>
      <c r="I1639" s="3">
        <v>300.0</v>
      </c>
      <c r="J1639" s="3" t="s">
        <v>78</v>
      </c>
      <c r="K1639" s="5">
        <v>41.6667</v>
      </c>
      <c r="L1639" s="6"/>
      <c r="M1639" s="6" t="str">
        <f>IF(D1639&lt;&gt;"",VLOOKUP(H1639,TABLEITEM,3,FALSE),"")</f>
        <v>เหล็กฉาก 1''1/2'หนา3 มิล</v>
      </c>
      <c r="N1639" s="7">
        <f>INSTOCK!$I1639*INSTOCK!$K1639</f>
        <v>12500.01</v>
      </c>
      <c r="O1639" s="2" t="s">
        <v>2064</v>
      </c>
      <c r="P1639" s="2"/>
    </row>
    <row r="1640" ht="18.0" hidden="1" customHeight="1">
      <c r="A1640" s="1"/>
      <c r="B1640" s="3"/>
      <c r="C1640" s="4">
        <v>43666.0</v>
      </c>
      <c r="D1640" s="2" t="s">
        <v>2065</v>
      </c>
      <c r="E1640" s="2">
        <v>6.207001077E9</v>
      </c>
      <c r="F1640" s="3" t="s">
        <v>161</v>
      </c>
      <c r="G1640" s="2" t="s">
        <v>171</v>
      </c>
      <c r="H1640" s="2" t="s">
        <v>21</v>
      </c>
      <c r="I1640" s="3">
        <v>100.0</v>
      </c>
      <c r="J1640" s="3"/>
      <c r="K1640" s="5">
        <v>1074.164</v>
      </c>
      <c r="L1640" s="6"/>
      <c r="M1640" s="6" t="str">
        <f>IF(D1640&lt;&gt;"",VLOOKUP(H1640,TABLEITEM,3,FALSE),"")</f>
        <v>เหล็กแผ่นขาว4'x8'T2.0</v>
      </c>
      <c r="N1640" s="7">
        <f>INSTOCK!$I1640*INSTOCK!$K1640</f>
        <v>107416.4</v>
      </c>
      <c r="O1640" s="2" t="s">
        <v>2066</v>
      </c>
      <c r="P1640" s="2"/>
    </row>
    <row r="1641" ht="18.0" hidden="1" customHeight="1">
      <c r="A1641" s="1"/>
      <c r="B1641" s="3"/>
      <c r="C1641" s="4">
        <v>43671.0</v>
      </c>
      <c r="D1641" s="2" t="s">
        <v>2027</v>
      </c>
      <c r="E1641" s="2"/>
      <c r="F1641" s="3" t="s">
        <v>161</v>
      </c>
      <c r="G1641" s="2" t="s">
        <v>456</v>
      </c>
      <c r="H1641" s="2" t="s">
        <v>629</v>
      </c>
      <c r="I1641" s="3">
        <v>92.0</v>
      </c>
      <c r="J1641" s="3"/>
      <c r="K1641" s="5"/>
      <c r="L1641" s="6"/>
      <c r="M1641" s="6" t="str">
        <f>IF(D1641&lt;&gt;"",VLOOKUP(H1641,TABLEITEM,3,FALSE),"")</f>
        <v>ตัวแซดยึดแผ่นพื้น 60x895</v>
      </c>
      <c r="N1641" s="7">
        <f>INSTOCK!$I1641*INSTOCK!$K1641</f>
        <v>0</v>
      </c>
      <c r="O1641" s="2"/>
      <c r="P1641" s="2"/>
    </row>
    <row r="1642" ht="18.0" hidden="1" customHeight="1">
      <c r="A1642" s="1"/>
      <c r="B1642" s="3"/>
      <c r="C1642" s="4">
        <v>43671.0</v>
      </c>
      <c r="D1642" s="2" t="s">
        <v>2067</v>
      </c>
      <c r="E1642" s="2"/>
      <c r="F1642" s="3" t="s">
        <v>161</v>
      </c>
      <c r="G1642" s="2" t="s">
        <v>456</v>
      </c>
      <c r="H1642" s="2" t="s">
        <v>483</v>
      </c>
      <c r="I1642" s="3">
        <v>114.0</v>
      </c>
      <c r="J1642" s="3"/>
      <c r="K1642" s="5"/>
      <c r="L1642" s="6"/>
      <c r="M1642" s="6" t="str">
        <f>IF(D1642&lt;&gt;"",VLOOKUP(H1642,TABLEITEM,3,FALSE),"")</f>
        <v>คานต่อโครง4รู 68x45x3mmx720</v>
      </c>
      <c r="N1642" s="7">
        <f>INSTOCK!$I1642*INSTOCK!$K1642</f>
        <v>0</v>
      </c>
      <c r="O1642" s="2"/>
      <c r="P1642" s="2"/>
    </row>
    <row r="1643" ht="18.0" hidden="1" customHeight="1">
      <c r="A1643" s="1"/>
      <c r="B1643" s="3"/>
      <c r="C1643" s="4">
        <v>43671.0</v>
      </c>
      <c r="D1643" s="2" t="s">
        <v>2068</v>
      </c>
      <c r="E1643" s="2"/>
      <c r="F1643" s="3" t="s">
        <v>161</v>
      </c>
      <c r="G1643" s="2" t="s">
        <v>456</v>
      </c>
      <c r="H1643" s="2" t="s">
        <v>983</v>
      </c>
      <c r="I1643" s="3">
        <v>206.0</v>
      </c>
      <c r="J1643" s="3"/>
      <c r="K1643" s="5"/>
      <c r="L1643" s="6"/>
      <c r="M1643" s="6" t="str">
        <f>IF(D1643&lt;&gt;"",VLOOKUP(H1643,TABLEITEM,3,FALSE),"")</f>
        <v>ฉากรับฝาใน 50x30</v>
      </c>
      <c r="N1643" s="7">
        <f>INSTOCK!$I1643*INSTOCK!$K1643</f>
        <v>0</v>
      </c>
      <c r="O1643" s="2"/>
      <c r="P1643" s="2"/>
    </row>
    <row r="1644" ht="18.0" hidden="1" customHeight="1">
      <c r="A1644" s="1"/>
      <c r="B1644" s="3"/>
      <c r="C1644" s="4">
        <v>43671.0</v>
      </c>
      <c r="D1644" s="2" t="s">
        <v>2069</v>
      </c>
      <c r="E1644" s="2">
        <v>6.207001128E9</v>
      </c>
      <c r="F1644" s="3" t="s">
        <v>425</v>
      </c>
      <c r="G1644" s="2" t="s">
        <v>153</v>
      </c>
      <c r="H1644" s="2" t="s">
        <v>66</v>
      </c>
      <c r="I1644" s="3">
        <v>2.0</v>
      </c>
      <c r="J1644" s="3"/>
      <c r="K1644" s="5">
        <v>5000.0</v>
      </c>
      <c r="L1644" s="6"/>
      <c r="M1644" s="6" t="str">
        <f>IF(D1644&lt;&gt;"",VLOOKUP(H1644,TABLEITEM,3,FALSE),"")</f>
        <v>สแตนเลสแผ่น4'x8'T3.0</v>
      </c>
      <c r="N1644" s="7">
        <f>INSTOCK!$I1644*INSTOCK!$K1644</f>
        <v>10000</v>
      </c>
      <c r="O1644" s="2"/>
      <c r="P1644" s="2"/>
    </row>
    <row r="1645" ht="18.0" customHeight="1">
      <c r="A1645" s="1"/>
      <c r="B1645" s="3"/>
      <c r="C1645" s="4">
        <v>43668.0</v>
      </c>
      <c r="D1645" s="2" t="s">
        <v>2070</v>
      </c>
      <c r="E1645" s="2">
        <v>6.207001103E9</v>
      </c>
      <c r="F1645" s="3" t="s">
        <v>161</v>
      </c>
      <c r="G1645" s="2" t="s">
        <v>165</v>
      </c>
      <c r="H1645" s="2" t="s">
        <v>74</v>
      </c>
      <c r="I1645" s="3">
        <v>5.0</v>
      </c>
      <c r="J1645" s="3"/>
      <c r="K1645" s="5">
        <v>1500.0</v>
      </c>
      <c r="L1645" s="6"/>
      <c r="M1645" s="6" t="str">
        <f>IF(D1645&lt;&gt;"",VLOOKUP(H1645,TABLEITEM,3,FALSE),"")</f>
        <v>อคิลิคใส4x8T3.0</v>
      </c>
      <c r="N1645" s="7">
        <f>INSTOCK!$I1645*INSTOCK!$K1645</f>
        <v>7500</v>
      </c>
      <c r="O1645" s="2"/>
      <c r="P1645" s="2"/>
    </row>
    <row r="1646" ht="18.0" hidden="1" customHeight="1">
      <c r="A1646" s="1"/>
      <c r="B1646" s="3"/>
      <c r="C1646" s="4">
        <v>43672.0</v>
      </c>
      <c r="D1646" s="2" t="s">
        <v>2071</v>
      </c>
      <c r="E1646" s="2">
        <v>6.207001162E9</v>
      </c>
      <c r="F1646" s="3" t="s">
        <v>2072</v>
      </c>
      <c r="G1646" s="2" t="s">
        <v>733</v>
      </c>
      <c r="H1646" s="2" t="s">
        <v>1813</v>
      </c>
      <c r="I1646" s="3">
        <v>1.0</v>
      </c>
      <c r="J1646" s="3"/>
      <c r="K1646" s="5">
        <v>75.0</v>
      </c>
      <c r="L1646" s="6"/>
      <c r="M1646" s="6" t="str">
        <f>IF(D1646&lt;&gt;"",VLOOKUP(H1646,TABLEITEM,3,FALSE),"")</f>
        <v>กระจก 321x552 หนา 3.0มิล</v>
      </c>
      <c r="N1646" s="7">
        <f>INSTOCK!$I1646*INSTOCK!$K1646</f>
        <v>75</v>
      </c>
      <c r="O1646" s="2"/>
      <c r="P1646" s="2"/>
    </row>
    <row r="1647" ht="18.0" hidden="1" customHeight="1">
      <c r="A1647" s="1"/>
      <c r="B1647" s="3"/>
      <c r="C1647" s="4">
        <v>43672.0</v>
      </c>
      <c r="D1647" s="2" t="s">
        <v>2073</v>
      </c>
      <c r="E1647" s="2">
        <v>6.207001162E9</v>
      </c>
      <c r="F1647" s="3" t="s">
        <v>2034</v>
      </c>
      <c r="G1647" s="2" t="s">
        <v>733</v>
      </c>
      <c r="H1647" s="2" t="s">
        <v>1948</v>
      </c>
      <c r="I1647" s="3">
        <v>1.0</v>
      </c>
      <c r="J1647" s="3"/>
      <c r="K1647" s="5">
        <v>25.0</v>
      </c>
      <c r="L1647" s="6"/>
      <c r="M1647" s="6" t="str">
        <f>IF(D1647&lt;&gt;"",VLOOKUP(H1647,TABLEITEM,3,FALSE),"")</f>
        <v>กระจกใส 109x274 หนา 3.0</v>
      </c>
      <c r="N1647" s="7">
        <f>INSTOCK!$I1647*INSTOCK!$K1647</f>
        <v>25</v>
      </c>
      <c r="O1647" s="2"/>
      <c r="P1647" s="2"/>
    </row>
    <row r="1648" ht="18.0" hidden="1" customHeight="1">
      <c r="A1648" s="1"/>
      <c r="B1648" s="3"/>
      <c r="C1648" s="4">
        <v>43672.0</v>
      </c>
      <c r="D1648" s="2" t="s">
        <v>2074</v>
      </c>
      <c r="E1648" s="2">
        <v>6.207001162E9</v>
      </c>
      <c r="F1648" s="3" t="s">
        <v>2075</v>
      </c>
      <c r="G1648" s="2" t="s">
        <v>733</v>
      </c>
      <c r="H1648" s="2" t="s">
        <v>2076</v>
      </c>
      <c r="I1648" s="3">
        <v>12.0</v>
      </c>
      <c r="J1648" s="3"/>
      <c r="K1648" s="5">
        <v>38.0</v>
      </c>
      <c r="L1648" s="6"/>
      <c r="M1648" s="6" t="str">
        <f>IF(D1648&lt;&gt;"",VLOOKUP(H1648,TABLEITEM,3,FALSE),"")</f>
        <v>กระจกใส 164x314 T 3.0mm</v>
      </c>
      <c r="N1648" s="7">
        <f>INSTOCK!$I1648*INSTOCK!$K1648</f>
        <v>456</v>
      </c>
      <c r="O1648" s="2"/>
      <c r="P1648" s="2"/>
    </row>
    <row r="1649" ht="18.0" hidden="1" customHeight="1">
      <c r="A1649" s="1"/>
      <c r="B1649" s="3"/>
      <c r="C1649" s="4">
        <v>43672.0</v>
      </c>
      <c r="D1649" s="2" t="s">
        <v>2077</v>
      </c>
      <c r="E1649" s="2">
        <v>6.207001162E9</v>
      </c>
      <c r="F1649" s="3" t="s">
        <v>2078</v>
      </c>
      <c r="G1649" s="2" t="s">
        <v>733</v>
      </c>
      <c r="H1649" s="2" t="s">
        <v>2076</v>
      </c>
      <c r="I1649" s="3">
        <v>6.0</v>
      </c>
      <c r="J1649" s="3"/>
      <c r="K1649" s="5">
        <v>38.0</v>
      </c>
      <c r="L1649" s="6"/>
      <c r="M1649" s="6" t="str">
        <f>IF(D1649&lt;&gt;"",VLOOKUP(H1649,TABLEITEM,3,FALSE),"")</f>
        <v>กระจกใส 164x314 T 3.0mm</v>
      </c>
      <c r="N1649" s="7">
        <f>INSTOCK!$I1649*INSTOCK!$K1649</f>
        <v>228</v>
      </c>
      <c r="O1649" s="2"/>
      <c r="P1649" s="2"/>
    </row>
    <row r="1650" ht="18.0" hidden="1" customHeight="1">
      <c r="A1650" s="1"/>
      <c r="B1650" s="3"/>
      <c r="C1650" s="4">
        <v>43672.0</v>
      </c>
      <c r="D1650" s="2" t="s">
        <v>2079</v>
      </c>
      <c r="E1650" s="2">
        <v>6.207001162E9</v>
      </c>
      <c r="F1650" s="3" t="s">
        <v>2080</v>
      </c>
      <c r="G1650" s="2" t="s">
        <v>733</v>
      </c>
      <c r="H1650" s="2" t="s">
        <v>2081</v>
      </c>
      <c r="I1650" s="3">
        <v>1.0</v>
      </c>
      <c r="J1650" s="3"/>
      <c r="K1650" s="5">
        <v>25.0</v>
      </c>
      <c r="L1650" s="6"/>
      <c r="M1650" s="6" t="str">
        <f>IF(D1650&lt;&gt;"",VLOOKUP(H1650,TABLEITEM,3,FALSE),"")</f>
        <v>กระจกใส 94x244 T 3.0mm</v>
      </c>
      <c r="N1650" s="7">
        <f>INSTOCK!$I1650*INSTOCK!$K1650</f>
        <v>25</v>
      </c>
      <c r="O1650" s="2"/>
      <c r="P1650" s="2"/>
    </row>
    <row r="1651" ht="18.0" hidden="1" customHeight="1">
      <c r="A1651" s="1"/>
      <c r="B1651" s="3"/>
      <c r="C1651" s="4">
        <v>43672.0</v>
      </c>
      <c r="D1651" s="2" t="s">
        <v>2079</v>
      </c>
      <c r="E1651" s="2">
        <v>6.207001162E9</v>
      </c>
      <c r="F1651" s="3" t="s">
        <v>2080</v>
      </c>
      <c r="G1651" s="2" t="s">
        <v>733</v>
      </c>
      <c r="H1651" s="2" t="s">
        <v>2035</v>
      </c>
      <c r="I1651" s="3">
        <v>1.0</v>
      </c>
      <c r="J1651" s="3"/>
      <c r="K1651" s="5">
        <v>45.0</v>
      </c>
      <c r="L1651" s="6"/>
      <c r="M1651" s="6" t="str">
        <f>IF(D1651&lt;&gt;"",VLOOKUP(H1651,TABLEITEM,3,FALSE),"")</f>
        <v>กระจกใส  234x334 T 5.0</v>
      </c>
      <c r="N1651" s="7">
        <f>INSTOCK!$I1651*INSTOCK!$K1651</f>
        <v>45</v>
      </c>
      <c r="O1651" s="2"/>
      <c r="P1651" s="2"/>
    </row>
    <row r="1652" ht="18.0" hidden="1" customHeight="1">
      <c r="A1652" s="1"/>
      <c r="B1652" s="3"/>
      <c r="C1652" s="4">
        <v>43672.0</v>
      </c>
      <c r="D1652" s="2" t="s">
        <v>2082</v>
      </c>
      <c r="E1652" s="2">
        <v>6.207001162E9</v>
      </c>
      <c r="F1652" s="3" t="s">
        <v>2083</v>
      </c>
      <c r="G1652" s="2" t="s">
        <v>733</v>
      </c>
      <c r="H1652" s="2" t="s">
        <v>2084</v>
      </c>
      <c r="I1652" s="3">
        <v>4.0</v>
      </c>
      <c r="J1652" s="3"/>
      <c r="K1652" s="5">
        <v>113.0</v>
      </c>
      <c r="L1652" s="6"/>
      <c r="M1652" s="6" t="str">
        <f>IF(D1652&lt;&gt;"",VLOOKUP(H1652,TABLEITEM,3,FALSE),"")</f>
        <v>กระจกใส 452x632 T 5.0mm</v>
      </c>
      <c r="N1652" s="7">
        <f>INSTOCK!$I1652*INSTOCK!$K1652</f>
        <v>452</v>
      </c>
      <c r="O1652" s="2"/>
      <c r="P1652" s="2"/>
    </row>
    <row r="1653" ht="18.0" hidden="1" customHeight="1">
      <c r="A1653" s="1"/>
      <c r="B1653" s="3"/>
      <c r="C1653" s="4">
        <v>43672.0</v>
      </c>
      <c r="D1653" s="2" t="s">
        <v>2085</v>
      </c>
      <c r="E1653" s="2">
        <v>6.207001162E9</v>
      </c>
      <c r="F1653" s="3" t="s">
        <v>1893</v>
      </c>
      <c r="G1653" s="2" t="s">
        <v>733</v>
      </c>
      <c r="H1653" s="2" t="s">
        <v>2086</v>
      </c>
      <c r="I1653" s="3">
        <v>6.0</v>
      </c>
      <c r="J1653" s="3"/>
      <c r="K1653" s="5">
        <v>150.0</v>
      </c>
      <c r="L1653" s="6"/>
      <c r="M1653" s="6" t="str">
        <f>IF(D1653&lt;&gt;"",VLOOKUP(H1653,TABLEITEM,3,FALSE),"")</f>
        <v>กระจกใส 320x1062 T 5.0mm</v>
      </c>
      <c r="N1653" s="7">
        <f>INSTOCK!$I1653*INSTOCK!$K1653</f>
        <v>900</v>
      </c>
      <c r="O1653" s="2"/>
      <c r="P1653" s="2"/>
    </row>
    <row r="1654" ht="18.0" hidden="1" customHeight="1">
      <c r="A1654" s="1"/>
      <c r="B1654" s="3"/>
      <c r="C1654" s="4">
        <v>43672.0</v>
      </c>
      <c r="D1654" s="2" t="s">
        <v>2087</v>
      </c>
      <c r="E1654" s="2">
        <v>6.207001162E9</v>
      </c>
      <c r="F1654" s="3" t="s">
        <v>2088</v>
      </c>
      <c r="G1654" s="2" t="s">
        <v>733</v>
      </c>
      <c r="H1654" s="2" t="s">
        <v>1913</v>
      </c>
      <c r="I1654" s="3">
        <v>1.0</v>
      </c>
      <c r="J1654" s="3"/>
      <c r="K1654" s="5">
        <v>50.0</v>
      </c>
      <c r="L1654" s="6"/>
      <c r="M1654" s="6" t="str">
        <f>IF(D1654&lt;&gt;"",VLOOKUP(H1654,TABLEITEM,3,FALSE),"")</f>
        <v>กระจกใส 374x394 หนา 5.0 มิล</v>
      </c>
      <c r="N1654" s="7">
        <f>INSTOCK!$I1654*INSTOCK!$K1654</f>
        <v>50</v>
      </c>
      <c r="O1654" s="2"/>
      <c r="P1654" s="2"/>
    </row>
    <row r="1655" ht="18.0" hidden="1" customHeight="1">
      <c r="A1655" s="1"/>
      <c r="B1655" s="3"/>
      <c r="C1655" s="4">
        <v>43672.0</v>
      </c>
      <c r="D1655" s="2" t="s">
        <v>2089</v>
      </c>
      <c r="E1655" s="2">
        <v>6.207001162E9</v>
      </c>
      <c r="F1655" s="3" t="s">
        <v>2090</v>
      </c>
      <c r="G1655" s="2" t="s">
        <v>733</v>
      </c>
      <c r="H1655" s="2" t="s">
        <v>2091</v>
      </c>
      <c r="I1655" s="3">
        <v>1.0</v>
      </c>
      <c r="J1655" s="3"/>
      <c r="K1655" s="5">
        <v>120.0</v>
      </c>
      <c r="L1655" s="6"/>
      <c r="M1655" s="6" t="str">
        <f>IF(D1655&lt;&gt;"",VLOOKUP(H1655,TABLEITEM,3,FALSE),"")</f>
        <v>กระจกใส 444x574 T 5.0mm</v>
      </c>
      <c r="N1655" s="7">
        <f>INSTOCK!$I1655*INSTOCK!$K1655</f>
        <v>120</v>
      </c>
      <c r="O1655" s="2"/>
      <c r="P1655" s="2"/>
    </row>
    <row r="1656" ht="18.0" hidden="1" customHeight="1">
      <c r="A1656" s="1"/>
      <c r="B1656" s="3"/>
      <c r="C1656" s="4">
        <v>43672.0</v>
      </c>
      <c r="D1656" s="2" t="s">
        <v>2092</v>
      </c>
      <c r="E1656" s="2">
        <v>6.207001162E9</v>
      </c>
      <c r="F1656" s="3" t="s">
        <v>2093</v>
      </c>
      <c r="G1656" s="2" t="s">
        <v>733</v>
      </c>
      <c r="H1656" s="2" t="s">
        <v>2094</v>
      </c>
      <c r="I1656" s="3">
        <v>1.0</v>
      </c>
      <c r="J1656" s="3"/>
      <c r="K1656" s="5">
        <v>113.0</v>
      </c>
      <c r="L1656" s="6"/>
      <c r="M1656" s="6" t="str">
        <f>IF(D1656&lt;&gt;"",VLOOKUP(H1656,TABLEITEM,3,FALSE),"")</f>
        <v>กระจก434X634T5.0</v>
      </c>
      <c r="N1656" s="7">
        <f>INSTOCK!$I1656*INSTOCK!$K1656</f>
        <v>113</v>
      </c>
      <c r="O1656" s="2"/>
      <c r="P1656" s="2"/>
    </row>
    <row r="1657" ht="18.0" hidden="1" customHeight="1">
      <c r="A1657" s="1"/>
      <c r="B1657" s="3"/>
      <c r="C1657" s="4">
        <v>43673.0</v>
      </c>
      <c r="D1657" s="2" t="s">
        <v>2095</v>
      </c>
      <c r="E1657" s="2"/>
      <c r="F1657" s="3" t="s">
        <v>161</v>
      </c>
      <c r="G1657" s="2" t="s">
        <v>456</v>
      </c>
      <c r="H1657" s="2" t="s">
        <v>534</v>
      </c>
      <c r="I1657" s="3">
        <v>106.0</v>
      </c>
      <c r="J1657" s="3"/>
      <c r="K1657" s="5"/>
      <c r="L1657" s="6"/>
      <c r="M1657" s="6" t="str">
        <f>IF(D1657&lt;&gt;"",VLOOKUP(H1657,TABLEITEM,3,FALSE),"")</f>
        <v>ตัวแซดยึดแผ่นพื้น 60x695</v>
      </c>
      <c r="N1657" s="7">
        <f>INSTOCK!$I1657*INSTOCK!$K1657</f>
        <v>0</v>
      </c>
      <c r="O1657" s="2"/>
      <c r="P1657" s="2"/>
    </row>
    <row r="1658" ht="18.0" hidden="1" customHeight="1">
      <c r="A1658" s="1"/>
      <c r="B1658" s="3"/>
      <c r="C1658" s="4">
        <v>43677.0</v>
      </c>
      <c r="D1658" s="2" t="s">
        <v>2096</v>
      </c>
      <c r="E1658" s="2"/>
      <c r="F1658" s="3" t="s">
        <v>161</v>
      </c>
      <c r="G1658" s="2" t="s">
        <v>456</v>
      </c>
      <c r="H1658" s="2" t="s">
        <v>985</v>
      </c>
      <c r="I1658" s="3">
        <v>193.0</v>
      </c>
      <c r="J1658" s="3"/>
      <c r="K1658" s="5"/>
      <c r="L1658" s="6"/>
      <c r="M1658" s="6" t="str">
        <f>IF(D1658&lt;&gt;"",VLOOKUP(H1658,TABLEITEM,3,FALSE),"")</f>
        <v>ฉากรับเพลท70x30x3mm</v>
      </c>
      <c r="N1658" s="7">
        <f>INSTOCK!$I1658*INSTOCK!$K1658</f>
        <v>0</v>
      </c>
      <c r="O1658" s="2"/>
      <c r="P1658" s="2"/>
    </row>
    <row r="1659" ht="18.0" hidden="1" customHeight="1">
      <c r="A1659" s="1"/>
      <c r="B1659" s="3"/>
      <c r="C1659" s="4">
        <v>43677.0</v>
      </c>
      <c r="D1659" s="2" t="s">
        <v>1788</v>
      </c>
      <c r="E1659" s="2"/>
      <c r="F1659" s="3" t="s">
        <v>161</v>
      </c>
      <c r="G1659" s="2" t="s">
        <v>456</v>
      </c>
      <c r="H1659" s="2" t="s">
        <v>550</v>
      </c>
      <c r="I1659" s="3">
        <v>365.0</v>
      </c>
      <c r="J1659" s="3"/>
      <c r="K1659" s="5"/>
      <c r="L1659" s="6"/>
      <c r="M1659" s="6" t="str">
        <f>IF(D1659&lt;&gt;"",VLOOKUP(H1659,TABLEITEM,3,FALSE),"")</f>
        <v>ฉากตัวZ รับแผ่นกั้น50x34x29</v>
      </c>
      <c r="N1659" s="7">
        <f>INSTOCK!$I1659*INSTOCK!$K1659</f>
        <v>0</v>
      </c>
      <c r="O1659" s="2"/>
      <c r="P1659" s="2"/>
    </row>
    <row r="1660" ht="18.0" hidden="1" customHeight="1">
      <c r="A1660" s="1"/>
      <c r="B1660" s="3"/>
      <c r="C1660" s="4">
        <v>43677.0</v>
      </c>
      <c r="D1660" s="2" t="s">
        <v>2097</v>
      </c>
      <c r="E1660" s="2"/>
      <c r="F1660" s="3" t="s">
        <v>161</v>
      </c>
      <c r="G1660" s="2" t="s">
        <v>456</v>
      </c>
      <c r="H1660" s="2" t="s">
        <v>598</v>
      </c>
      <c r="I1660" s="3">
        <v>2.0</v>
      </c>
      <c r="J1660" s="3"/>
      <c r="K1660" s="5"/>
      <c r="L1660" s="6"/>
      <c r="M1660" s="6" t="str">
        <f>IF(D1660&lt;&gt;"",VLOOKUP(H1660,TABLEITEM,3,FALSE),"")</f>
        <v>ฝาข้าง-ฝาหลัง 2075x470</v>
      </c>
      <c r="N1660" s="7">
        <f>INSTOCK!$I1660*INSTOCK!$K1660</f>
        <v>0</v>
      </c>
      <c r="O1660" s="2"/>
      <c r="P1660" s="2"/>
    </row>
    <row r="1661" ht="18.0" hidden="1" customHeight="1">
      <c r="A1661" s="1"/>
      <c r="B1661" s="3"/>
      <c r="C1661" s="4">
        <v>43677.0</v>
      </c>
      <c r="D1661" s="2" t="s">
        <v>2097</v>
      </c>
      <c r="E1661" s="2"/>
      <c r="F1661" s="3" t="s">
        <v>161</v>
      </c>
      <c r="G1661" s="2" t="s">
        <v>456</v>
      </c>
      <c r="H1661" s="2" t="s">
        <v>479</v>
      </c>
      <c r="I1661" s="3">
        <v>1.0</v>
      </c>
      <c r="J1661" s="3"/>
      <c r="K1661" s="5"/>
      <c r="L1661" s="6"/>
      <c r="M1661" s="6" t="str">
        <f>IF(D1661&lt;&gt;"",VLOOKUP(H1661,TABLEITEM,3,FALSE),"")</f>
        <v>ฝาข้าง-ฝาหลัง 2075x570</v>
      </c>
      <c r="N1661" s="7">
        <f>INSTOCK!$I1661*INSTOCK!$K1661</f>
        <v>0</v>
      </c>
      <c r="O1661" s="2"/>
      <c r="P1661" s="2"/>
    </row>
    <row r="1662" ht="18.0" hidden="1" customHeight="1">
      <c r="A1662" s="1"/>
      <c r="B1662" s="3"/>
      <c r="C1662" s="4">
        <v>43678.0</v>
      </c>
      <c r="D1662" s="2" t="s">
        <v>2098</v>
      </c>
      <c r="E1662" s="2">
        <v>6.207001106E9</v>
      </c>
      <c r="F1662" s="3" t="s">
        <v>161</v>
      </c>
      <c r="G1662" s="2" t="s">
        <v>202</v>
      </c>
      <c r="H1662" s="2" t="s">
        <v>54</v>
      </c>
      <c r="I1662" s="3">
        <v>100.0</v>
      </c>
      <c r="J1662" s="3"/>
      <c r="K1662" s="5">
        <v>2470.0</v>
      </c>
      <c r="L1662" s="6"/>
      <c r="M1662" s="6" t="str">
        <f>IF(D1662&lt;&gt;"",VLOOKUP(H1662,TABLEITEM,3,FALSE),"")</f>
        <v>เหล็กแผ่นดำ5'x10'T3.0</v>
      </c>
      <c r="N1662" s="7">
        <f>INSTOCK!$I1662*INSTOCK!$K1662</f>
        <v>247000</v>
      </c>
      <c r="O1662" s="2"/>
      <c r="P1662" s="2"/>
    </row>
    <row r="1663" ht="18.0" hidden="1" customHeight="1">
      <c r="A1663" s="1"/>
      <c r="B1663" s="3"/>
      <c r="C1663" s="4">
        <v>43678.0</v>
      </c>
      <c r="D1663" s="2" t="s">
        <v>2099</v>
      </c>
      <c r="E1663" s="2">
        <v>6.207001143E9</v>
      </c>
      <c r="F1663" s="3" t="s">
        <v>161</v>
      </c>
      <c r="G1663" s="2" t="s">
        <v>202</v>
      </c>
      <c r="H1663" s="2" t="s">
        <v>55</v>
      </c>
      <c r="I1663" s="3">
        <v>5.0</v>
      </c>
      <c r="J1663" s="3"/>
      <c r="K1663" s="5">
        <v>3627.0</v>
      </c>
      <c r="L1663" s="6"/>
      <c r="M1663" s="6" t="str">
        <f>IF(D1663&lt;&gt;"",VLOOKUP(H1663,TABLEITEM,3,FALSE),"")</f>
        <v>เหล็กแผ่นดำ5'x10'T4.5</v>
      </c>
      <c r="N1663" s="7">
        <f>INSTOCK!$I1663*INSTOCK!$K1663</f>
        <v>18135</v>
      </c>
      <c r="O1663" s="2"/>
      <c r="P1663" s="2"/>
    </row>
    <row r="1664" ht="18.0" hidden="1" customHeight="1">
      <c r="A1664" s="1"/>
      <c r="B1664" s="3"/>
      <c r="C1664" s="4">
        <v>43679.0</v>
      </c>
      <c r="D1664" s="2" t="s">
        <v>2100</v>
      </c>
      <c r="E1664" s="2">
        <v>6.207001144E9</v>
      </c>
      <c r="F1664" s="3" t="s">
        <v>161</v>
      </c>
      <c r="G1664" s="2" t="s">
        <v>202</v>
      </c>
      <c r="H1664" s="2" t="s">
        <v>77</v>
      </c>
      <c r="I1664" s="3">
        <v>60.0</v>
      </c>
      <c r="J1664" s="3" t="s">
        <v>78</v>
      </c>
      <c r="K1664" s="5">
        <v>85.0</v>
      </c>
      <c r="L1664" s="6"/>
      <c r="M1664" s="6" t="str">
        <f>IF(D1664&lt;&gt;"",VLOOKUP(H1664,TABLEITEM,3,FALSE),"")</f>
        <v>เหล็กรางน้ำ U' 2</v>
      </c>
      <c r="N1664" s="7">
        <f>INSTOCK!$I1664*INSTOCK!$K1664</f>
        <v>5100</v>
      </c>
      <c r="O1664" s="2" t="s">
        <v>2101</v>
      </c>
      <c r="P1664" s="2"/>
    </row>
    <row r="1665" ht="18.0" hidden="1" customHeight="1">
      <c r="A1665" s="1"/>
      <c r="B1665" s="3"/>
      <c r="C1665" s="4">
        <v>43680.0</v>
      </c>
      <c r="D1665" s="2" t="s">
        <v>2102</v>
      </c>
      <c r="E1665" s="2">
        <v>6.207001145E9</v>
      </c>
      <c r="F1665" s="3" t="s">
        <v>161</v>
      </c>
      <c r="G1665" s="2" t="s">
        <v>202</v>
      </c>
      <c r="H1665" s="2" t="s">
        <v>79</v>
      </c>
      <c r="I1665" s="3">
        <v>300.0</v>
      </c>
      <c r="J1665" s="3" t="s">
        <v>78</v>
      </c>
      <c r="K1665" s="5">
        <v>144.1667</v>
      </c>
      <c r="L1665" s="6"/>
      <c r="M1665" s="6" t="str">
        <f>IF(D1665&lt;&gt;"",VLOOKUP(H1665,TABLEITEM,3,FALSE),"")</f>
        <v>เหล็กรางน้ำ U' 3</v>
      </c>
      <c r="N1665" s="7">
        <f>INSTOCK!$I1665*INSTOCK!$K1665</f>
        <v>43250.01</v>
      </c>
      <c r="O1665" s="2" t="s">
        <v>1992</v>
      </c>
      <c r="P1665" s="2"/>
    </row>
    <row r="1666" ht="18.0" hidden="1" customHeight="1">
      <c r="A1666" s="1"/>
      <c r="B1666" s="3"/>
      <c r="C1666" s="4">
        <v>43681.0</v>
      </c>
      <c r="D1666" s="2" t="s">
        <v>2103</v>
      </c>
      <c r="E1666" s="2">
        <v>6.207001146E9</v>
      </c>
      <c r="F1666" s="3" t="s">
        <v>161</v>
      </c>
      <c r="G1666" s="2" t="s">
        <v>202</v>
      </c>
      <c r="H1666" s="2" t="s">
        <v>85</v>
      </c>
      <c r="I1666" s="3">
        <v>300.0</v>
      </c>
      <c r="J1666" s="3" t="s">
        <v>78</v>
      </c>
      <c r="K1666" s="5">
        <v>339.1667</v>
      </c>
      <c r="L1666" s="6"/>
      <c r="M1666" s="6" t="str">
        <f>IF(D1666&lt;&gt;"",VLOOKUP(H1666,TABLEITEM,3,FALSE),"")</f>
        <v>เหล็กฉาก 1''1/2'หนา3 มิล</v>
      </c>
      <c r="N1666" s="7">
        <f>INSTOCK!$I1666*INSTOCK!$K1666</f>
        <v>101750.01</v>
      </c>
      <c r="O1666" s="2" t="s">
        <v>2104</v>
      </c>
      <c r="P1666" s="2"/>
    </row>
    <row r="1667" ht="18.0" hidden="1" customHeight="1">
      <c r="A1667" s="1"/>
      <c r="B1667" s="3"/>
      <c r="C1667" s="4">
        <v>43682.0</v>
      </c>
      <c r="D1667" s="2" t="s">
        <v>2105</v>
      </c>
      <c r="E1667" s="2">
        <v>6.207001147E9</v>
      </c>
      <c r="F1667" s="3" t="s">
        <v>161</v>
      </c>
      <c r="G1667" s="2" t="s">
        <v>202</v>
      </c>
      <c r="H1667" s="2" t="s">
        <v>89</v>
      </c>
      <c r="I1667" s="3">
        <v>300.0</v>
      </c>
      <c r="J1667" s="3" t="s">
        <v>78</v>
      </c>
      <c r="K1667" s="5">
        <v>80.8334</v>
      </c>
      <c r="L1667" s="6"/>
      <c r="M1667" s="6" t="str">
        <f>IF(D1667&lt;&gt;"",VLOOKUP(H1667,TABLEITEM,3,FALSE),"")</f>
        <v>เหล็กฉาก 2''หนา5 มิล</v>
      </c>
      <c r="N1667" s="7">
        <f>INSTOCK!$I1667*INSTOCK!$K1667</f>
        <v>24250.02</v>
      </c>
      <c r="O1667" s="2" t="s">
        <v>2106</v>
      </c>
      <c r="P1667" s="2"/>
    </row>
    <row r="1668" ht="18.0" hidden="1" customHeight="1">
      <c r="A1668" s="1"/>
      <c r="B1668" s="3"/>
      <c r="C1668" s="4">
        <v>43683.0</v>
      </c>
      <c r="D1668" s="2" t="s">
        <v>2107</v>
      </c>
      <c r="E1668" s="2">
        <v>6.207001148E9</v>
      </c>
      <c r="F1668" s="3" t="s">
        <v>161</v>
      </c>
      <c r="G1668" s="2" t="s">
        <v>202</v>
      </c>
      <c r="H1668" s="2" t="s">
        <v>86</v>
      </c>
      <c r="I1668" s="3">
        <v>300.0</v>
      </c>
      <c r="J1668" s="3" t="s">
        <v>78</v>
      </c>
      <c r="K1668" s="5">
        <v>62.5</v>
      </c>
      <c r="L1668" s="6"/>
      <c r="M1668" s="6" t="str">
        <f>IF(D1668&lt;&gt;"",VLOOKUP(H1668,TABLEITEM,3,FALSE),"")</f>
        <v>เหล็กฉาก 1''1/2'หนา5 มิล</v>
      </c>
      <c r="N1668" s="7">
        <f>INSTOCK!$I1668*INSTOCK!$K1668</f>
        <v>18750</v>
      </c>
      <c r="O1668" s="2" t="s">
        <v>2108</v>
      </c>
      <c r="P1668" s="2"/>
    </row>
    <row r="1669" ht="18.0" hidden="1" customHeight="1">
      <c r="A1669" s="1"/>
      <c r="B1669" s="3"/>
      <c r="C1669" s="4">
        <v>43678.0</v>
      </c>
      <c r="D1669" s="2" t="s">
        <v>2109</v>
      </c>
      <c r="E1669" s="2">
        <v>6.207001142E9</v>
      </c>
      <c r="F1669" s="3" t="s">
        <v>161</v>
      </c>
      <c r="G1669" s="2" t="s">
        <v>171</v>
      </c>
      <c r="H1669" s="2" t="s">
        <v>25</v>
      </c>
      <c r="I1669" s="3">
        <v>200.0</v>
      </c>
      <c r="J1669" s="3"/>
      <c r="K1669" s="5">
        <v>1664.334</v>
      </c>
      <c r="L1669" s="6"/>
      <c r="M1669" s="6" t="str">
        <f>IF(D1669&lt;&gt;"",VLOOKUP(H1669,TABLEITEM,3,FALSE),"")</f>
        <v>เหล็กแผ่นขาว4'x8'T3.0</v>
      </c>
      <c r="N1669" s="7">
        <f>INSTOCK!$I1669*INSTOCK!$K1669</f>
        <v>332866.8</v>
      </c>
      <c r="O1669" s="2" t="s">
        <v>2110</v>
      </c>
      <c r="P1669" s="2"/>
    </row>
    <row r="1670" ht="18.0" hidden="1" customHeight="1">
      <c r="A1670" s="1"/>
      <c r="B1670" s="3"/>
      <c r="C1670" s="4">
        <v>43678.0</v>
      </c>
      <c r="D1670" s="2" t="s">
        <v>2111</v>
      </c>
      <c r="E1670" s="2">
        <v>6.207001161E9</v>
      </c>
      <c r="F1670" s="3" t="s">
        <v>2112</v>
      </c>
      <c r="G1670" s="2" t="s">
        <v>153</v>
      </c>
      <c r="H1670" s="2" t="s">
        <v>84</v>
      </c>
      <c r="I1670" s="3">
        <v>60.0</v>
      </c>
      <c r="J1670" s="3" t="s">
        <v>78</v>
      </c>
      <c r="K1670" s="5">
        <v>30.0</v>
      </c>
      <c r="L1670" s="6"/>
      <c r="M1670" s="6" t="str">
        <f>IF(D1670&lt;&gt;"",VLOOKUP(H1670,TABLEITEM,3,FALSE),"")</f>
        <v>เหล็กฉาก 1'หนา3มิล</v>
      </c>
      <c r="N1670" s="7">
        <f>INSTOCK!$I1670*INSTOCK!$K1670</f>
        <v>1800</v>
      </c>
      <c r="O1670" s="2" t="s">
        <v>2113</v>
      </c>
      <c r="P1670" s="2"/>
    </row>
    <row r="1671" ht="18.0" hidden="1" customHeight="1">
      <c r="A1671" s="1"/>
      <c r="B1671" s="3"/>
      <c r="C1671" s="4">
        <v>43678.0</v>
      </c>
      <c r="D1671" s="2" t="s">
        <v>2114</v>
      </c>
      <c r="E1671" s="2">
        <v>6.207001154E9</v>
      </c>
      <c r="F1671" s="3" t="s">
        <v>2115</v>
      </c>
      <c r="G1671" s="2" t="s">
        <v>153</v>
      </c>
      <c r="H1671" s="2" t="s">
        <v>107</v>
      </c>
      <c r="I1671" s="3">
        <v>400.0</v>
      </c>
      <c r="J1671" s="3" t="s">
        <v>78</v>
      </c>
      <c r="K1671" s="5">
        <v>13.0</v>
      </c>
      <c r="L1671" s="6"/>
      <c r="M1671" s="6" t="str">
        <f>IF(D1671&lt;&gt;"",VLOOKUP(H1671,TABLEITEM,3,FALSE),"")</f>
        <v>เหล็กเพลากลม 8มิล</v>
      </c>
      <c r="N1671" s="7">
        <f>INSTOCK!$I1671*INSTOCK!$K1671</f>
        <v>5200</v>
      </c>
      <c r="O1671" s="2" t="s">
        <v>2116</v>
      </c>
      <c r="P1671" s="2"/>
    </row>
    <row r="1672" ht="18.0" hidden="1" customHeight="1">
      <c r="A1672" s="1"/>
      <c r="B1672" s="3"/>
      <c r="C1672" s="4">
        <v>43676.0</v>
      </c>
      <c r="D1672" s="2" t="s">
        <v>2117</v>
      </c>
      <c r="E1672" s="2">
        <v>6.207001107E9</v>
      </c>
      <c r="F1672" s="3" t="s">
        <v>161</v>
      </c>
      <c r="G1672" s="2" t="s">
        <v>219</v>
      </c>
      <c r="H1672" s="2" t="s">
        <v>71</v>
      </c>
      <c r="I1672" s="3">
        <v>20.0</v>
      </c>
      <c r="J1672" s="3"/>
      <c r="K1672" s="5">
        <v>1970.0</v>
      </c>
      <c r="L1672" s="6"/>
      <c r="M1672" s="6" t="str">
        <f>IF(D1672&lt;&gt;"",VLOOKUP(H1672,TABLEITEM,3,FALSE),"")</f>
        <v>แผ่นอลูมิเนียม4'x8'T3.0</v>
      </c>
      <c r="N1672" s="7">
        <f>INSTOCK!$I1672*INSTOCK!$K1672</f>
        <v>39400</v>
      </c>
      <c r="O1672" s="2"/>
      <c r="P1672" s="2"/>
    </row>
    <row r="1673" ht="18.0" hidden="1" customHeight="1">
      <c r="A1673" s="1"/>
      <c r="B1673" s="3"/>
      <c r="C1673" s="4">
        <v>43680.0</v>
      </c>
      <c r="D1673" s="2" t="s">
        <v>2095</v>
      </c>
      <c r="E1673" s="2"/>
      <c r="F1673" s="3" t="s">
        <v>161</v>
      </c>
      <c r="G1673" s="2" t="s">
        <v>456</v>
      </c>
      <c r="H1673" s="2" t="s">
        <v>534</v>
      </c>
      <c r="I1673" s="3">
        <v>28.0</v>
      </c>
      <c r="J1673" s="3"/>
      <c r="K1673" s="5"/>
      <c r="L1673" s="6"/>
      <c r="M1673" s="6" t="str">
        <f>IF(D1673&lt;&gt;"",VLOOKUP(H1673,TABLEITEM,3,FALSE),"")</f>
        <v>ตัวแซดยึดแผ่นพื้น 60x695</v>
      </c>
      <c r="N1673" s="7">
        <f>INSTOCK!$I1673*INSTOCK!$K1673</f>
        <v>0</v>
      </c>
      <c r="O1673" s="2"/>
      <c r="P1673" s="2"/>
    </row>
    <row r="1674" ht="18.0" hidden="1" customHeight="1">
      <c r="A1674" s="1"/>
      <c r="B1674" s="3"/>
      <c r="C1674" s="4">
        <v>43680.0</v>
      </c>
      <c r="D1674" s="2" t="s">
        <v>2067</v>
      </c>
      <c r="E1674" s="2"/>
      <c r="F1674" s="3" t="s">
        <v>161</v>
      </c>
      <c r="G1674" s="2" t="s">
        <v>456</v>
      </c>
      <c r="H1674" s="2" t="s">
        <v>483</v>
      </c>
      <c r="I1674" s="3">
        <v>54.0</v>
      </c>
      <c r="J1674" s="3"/>
      <c r="K1674" s="5"/>
      <c r="L1674" s="6"/>
      <c r="M1674" s="6" t="str">
        <f>IF(D1674&lt;&gt;"",VLOOKUP(H1674,TABLEITEM,3,FALSE),"")</f>
        <v>คานต่อโครง4รู 68x45x3mmx720</v>
      </c>
      <c r="N1674" s="7">
        <f>INSTOCK!$I1674*INSTOCK!$K1674</f>
        <v>0</v>
      </c>
      <c r="O1674" s="2"/>
      <c r="P1674" s="2"/>
    </row>
    <row r="1675" ht="18.0" hidden="1" customHeight="1">
      <c r="A1675" s="1"/>
      <c r="B1675" s="3"/>
      <c r="C1675" s="4">
        <v>43680.0</v>
      </c>
      <c r="D1675" s="2" t="s">
        <v>2067</v>
      </c>
      <c r="E1675" s="2"/>
      <c r="F1675" s="3" t="s">
        <v>161</v>
      </c>
      <c r="G1675" s="2" t="s">
        <v>456</v>
      </c>
      <c r="H1675" s="2" t="s">
        <v>2118</v>
      </c>
      <c r="I1675" s="3">
        <v>6.0</v>
      </c>
      <c r="J1675" s="3"/>
      <c r="K1675" s="5"/>
      <c r="L1675" s="6"/>
      <c r="M1675" s="6" t="str">
        <f>IF(D1675&lt;&gt;"",VLOOKUP(H1675,TABLEITEM,3,FALSE),"")</f>
        <v>คานต่อโครง4รู 68x45x3mmx820</v>
      </c>
      <c r="N1675" s="7">
        <f>INSTOCK!$I1675*INSTOCK!$K1675</f>
        <v>0</v>
      </c>
      <c r="O1675" s="2"/>
      <c r="P1675" s="2"/>
    </row>
    <row r="1676" ht="18.0" hidden="1" customHeight="1">
      <c r="A1676" s="1"/>
      <c r="B1676" s="3"/>
      <c r="C1676" s="4">
        <v>43678.0</v>
      </c>
      <c r="D1676" s="2" t="s">
        <v>2119</v>
      </c>
      <c r="E1676" s="2">
        <v>6.207001151E9</v>
      </c>
      <c r="F1676" s="3" t="s">
        <v>161</v>
      </c>
      <c r="G1676" s="2" t="s">
        <v>153</v>
      </c>
      <c r="H1676" s="2" t="s">
        <v>2120</v>
      </c>
      <c r="I1676" s="3">
        <v>30.0</v>
      </c>
      <c r="J1676" s="3" t="s">
        <v>78</v>
      </c>
      <c r="K1676" s="5">
        <v>93.3334</v>
      </c>
      <c r="L1676" s="6"/>
      <c r="M1676" s="6" t="str">
        <f>IF(D1676&lt;&gt;"",VLOOKUP(H1676,TABLEITEM,3,FALSE),"")</f>
        <v>ท่อกลมสตีม(API) 3/4" T 2.8mm</v>
      </c>
      <c r="N1676" s="7">
        <f>INSTOCK!$I1676*INSTOCK!$K1676</f>
        <v>2800.002</v>
      </c>
      <c r="O1676" s="2" t="s">
        <v>2121</v>
      </c>
      <c r="P1676" s="2"/>
    </row>
    <row r="1677" ht="18.0" hidden="1" customHeight="1">
      <c r="A1677" s="1"/>
      <c r="B1677" s="3"/>
      <c r="C1677" s="4">
        <v>43678.0</v>
      </c>
      <c r="D1677" s="2" t="s">
        <v>2119</v>
      </c>
      <c r="E1677" s="2">
        <v>6.207001151E9</v>
      </c>
      <c r="F1677" s="3" t="s">
        <v>161</v>
      </c>
      <c r="G1677" s="2" t="s">
        <v>153</v>
      </c>
      <c r="H1677" s="2" t="s">
        <v>134</v>
      </c>
      <c r="I1677" s="3">
        <v>30.0</v>
      </c>
      <c r="J1677" s="3" t="s">
        <v>78</v>
      </c>
      <c r="K1677" s="5">
        <v>398.3334</v>
      </c>
      <c r="L1677" s="6"/>
      <c r="M1677" s="6" t="str">
        <f>IF(D1677&lt;&gt;"",VLOOKUP(H1677,TABLEITEM,3,FALSE),"")</f>
        <v>ฉากสแตนเลส 2''หนา6.0</v>
      </c>
      <c r="N1677" s="7">
        <f>INSTOCK!$I1677*INSTOCK!$K1677</f>
        <v>11950.002</v>
      </c>
      <c r="O1677" s="2" t="s">
        <v>2122</v>
      </c>
      <c r="P1677" s="2"/>
    </row>
    <row r="1678" ht="18.0" hidden="1" customHeight="1">
      <c r="A1678" s="1"/>
      <c r="B1678" s="3"/>
      <c r="C1678" s="4">
        <v>43678.0</v>
      </c>
      <c r="D1678" s="2" t="s">
        <v>2123</v>
      </c>
      <c r="E1678" s="2">
        <v>6.207001163E9</v>
      </c>
      <c r="F1678" s="3" t="s">
        <v>2124</v>
      </c>
      <c r="G1678" s="2" t="s">
        <v>153</v>
      </c>
      <c r="H1678" s="2" t="s">
        <v>48</v>
      </c>
      <c r="I1678" s="3">
        <v>30.0</v>
      </c>
      <c r="J1678" s="3"/>
      <c r="K1678" s="5">
        <v>970.0</v>
      </c>
      <c r="L1678" s="6"/>
      <c r="M1678" s="6" t="str">
        <f>IF(D1678&lt;&gt;"",VLOOKUP(H1678,TABLEITEM,3,FALSE),"")</f>
        <v>เหล็กแผ่นดำ4'x8'T1.6</v>
      </c>
      <c r="N1678" s="7">
        <f>INSTOCK!$I1678*INSTOCK!$K1678</f>
        <v>29100</v>
      </c>
      <c r="O1678" s="2"/>
      <c r="P1678" s="2"/>
    </row>
    <row r="1679" ht="18.0" hidden="1" customHeight="1">
      <c r="A1679" s="1"/>
      <c r="B1679" s="3"/>
      <c r="C1679" s="4">
        <v>43678.0</v>
      </c>
      <c r="D1679" s="2" t="s">
        <v>2123</v>
      </c>
      <c r="E1679" s="2">
        <v>6.207001163E9</v>
      </c>
      <c r="F1679" s="3" t="s">
        <v>2124</v>
      </c>
      <c r="G1679" s="2" t="s">
        <v>153</v>
      </c>
      <c r="H1679" s="2" t="s">
        <v>50</v>
      </c>
      <c r="I1679" s="3">
        <v>10.0</v>
      </c>
      <c r="J1679" s="3"/>
      <c r="K1679" s="5">
        <v>1035.0</v>
      </c>
      <c r="L1679" s="6"/>
      <c r="M1679" s="6" t="str">
        <f>IF(D1679&lt;&gt;"",VLOOKUP(H1679,TABLEITEM,3,FALSE),"")</f>
        <v>เหล็กแผ่นดำ4'x8'T2.0</v>
      </c>
      <c r="N1679" s="7">
        <f>INSTOCK!$I1679*INSTOCK!$K1679</f>
        <v>10350</v>
      </c>
      <c r="O1679" s="2"/>
      <c r="P1679" s="2"/>
    </row>
    <row r="1680" ht="18.0" hidden="1" customHeight="1">
      <c r="A1680" s="1"/>
      <c r="B1680" s="3"/>
      <c r="C1680" s="4">
        <v>43678.0</v>
      </c>
      <c r="D1680" s="2" t="s">
        <v>2123</v>
      </c>
      <c r="E1680" s="2">
        <v>6.207001163E9</v>
      </c>
      <c r="F1680" s="3" t="s">
        <v>2124</v>
      </c>
      <c r="G1680" s="2" t="s">
        <v>153</v>
      </c>
      <c r="H1680" s="2" t="s">
        <v>66</v>
      </c>
      <c r="I1680" s="3">
        <v>1.0</v>
      </c>
      <c r="J1680" s="3"/>
      <c r="K1680" s="5">
        <v>5050.0</v>
      </c>
      <c r="L1680" s="6"/>
      <c r="M1680" s="6" t="str">
        <f>IF(D1680&lt;&gt;"",VLOOKUP(H1680,TABLEITEM,3,FALSE),"")</f>
        <v>สแตนเลสแผ่น4'x8'T3.0</v>
      </c>
      <c r="N1680" s="7">
        <f>INSTOCK!$I1680*INSTOCK!$K1680</f>
        <v>5050</v>
      </c>
      <c r="O1680" s="2"/>
      <c r="P1680" s="2"/>
    </row>
    <row r="1681" ht="18.0" hidden="1" customHeight="1">
      <c r="A1681" s="1"/>
      <c r="B1681" s="3"/>
      <c r="C1681" s="4">
        <v>43683.0</v>
      </c>
      <c r="D1681" s="2" t="s">
        <v>2125</v>
      </c>
      <c r="E1681" s="2"/>
      <c r="F1681" s="3" t="s">
        <v>161</v>
      </c>
      <c r="G1681" s="2" t="s">
        <v>456</v>
      </c>
      <c r="H1681" s="2" t="s">
        <v>710</v>
      </c>
      <c r="I1681" s="3">
        <v>110.0</v>
      </c>
      <c r="J1681" s="3"/>
      <c r="K1681" s="5"/>
      <c r="L1681" s="6"/>
      <c r="M1681" s="6" t="str">
        <f>IF(D1681&lt;&gt;"",VLOOKUP(H1681,TABLEITEM,3,FALSE),"")</f>
        <v>คานฝาหน้า 50x22x720</v>
      </c>
      <c r="N1681" s="7">
        <f>INSTOCK!$I1681*INSTOCK!$K1681</f>
        <v>0</v>
      </c>
      <c r="O1681" s="2"/>
      <c r="P1681" s="2"/>
    </row>
    <row r="1682" ht="18.0" hidden="1" customHeight="1">
      <c r="A1682" s="1"/>
      <c r="B1682" s="3"/>
      <c r="C1682" s="4">
        <v>43683.0</v>
      </c>
      <c r="D1682" s="2" t="s">
        <v>2021</v>
      </c>
      <c r="E1682" s="2"/>
      <c r="F1682" s="3" t="s">
        <v>161</v>
      </c>
      <c r="G1682" s="2" t="s">
        <v>456</v>
      </c>
      <c r="H1682" s="2" t="s">
        <v>525</v>
      </c>
      <c r="I1682" s="3">
        <v>144.0</v>
      </c>
      <c r="J1682" s="3"/>
      <c r="K1682" s="5"/>
      <c r="L1682" s="6"/>
      <c r="M1682" s="6" t="str">
        <f>IF(D1682&lt;&gt;"",VLOOKUP(H1682,TABLEITEM,3,FALSE),"")</f>
        <v>เสาเชื่อม2275x40x50</v>
      </c>
      <c r="N1682" s="7">
        <f>INSTOCK!$I1682*INSTOCK!$K1682</f>
        <v>0</v>
      </c>
      <c r="O1682" s="2"/>
      <c r="P1682" s="2"/>
    </row>
    <row r="1683" ht="18.0" hidden="1" customHeight="1">
      <c r="A1683" s="1"/>
      <c r="B1683" s="3"/>
      <c r="C1683" s="4">
        <v>43683.0</v>
      </c>
      <c r="D1683" s="2" t="s">
        <v>2126</v>
      </c>
      <c r="E1683" s="2"/>
      <c r="F1683" s="3" t="s">
        <v>161</v>
      </c>
      <c r="G1683" s="2" t="s">
        <v>456</v>
      </c>
      <c r="H1683" s="2" t="s">
        <v>491</v>
      </c>
      <c r="I1683" s="3">
        <v>90.0</v>
      </c>
      <c r="J1683" s="3"/>
      <c r="K1683" s="5"/>
      <c r="L1683" s="6"/>
      <c r="M1683" s="6" t="str">
        <f>IF(D1683&lt;&gt;"",VLOOKUP(H1683,TABLEITEM,3,FALSE),"")</f>
        <v>เสาเสริม 40x50x1988</v>
      </c>
      <c r="N1683" s="7">
        <f>INSTOCK!$I1683*INSTOCK!$K1683</f>
        <v>0</v>
      </c>
      <c r="O1683" s="2"/>
      <c r="P1683" s="2"/>
    </row>
    <row r="1684" ht="18.0" hidden="1" customHeight="1">
      <c r="A1684" s="1"/>
      <c r="B1684" s="3"/>
      <c r="C1684" s="4">
        <v>43683.0</v>
      </c>
      <c r="D1684" s="2" t="s">
        <v>2127</v>
      </c>
      <c r="E1684" s="2"/>
      <c r="F1684" s="3" t="s">
        <v>161</v>
      </c>
      <c r="G1684" s="2" t="s">
        <v>456</v>
      </c>
      <c r="H1684" s="2" t="s">
        <v>493</v>
      </c>
      <c r="I1684" s="3">
        <v>90.0</v>
      </c>
      <c r="J1684" s="3"/>
      <c r="K1684" s="5"/>
      <c r="L1684" s="6"/>
      <c r="M1684" s="6" t="str">
        <f>IF(D1684&lt;&gt;"",VLOOKUP(H1684,TABLEITEM,3,FALSE),"")</f>
        <v>เสาเชื่อม2125x40x50</v>
      </c>
      <c r="N1684" s="7">
        <f>INSTOCK!$I1684*INSTOCK!$K1684</f>
        <v>0</v>
      </c>
      <c r="O1684" s="2"/>
      <c r="P1684" s="2"/>
    </row>
    <row r="1685" ht="18.0" hidden="1" customHeight="1">
      <c r="A1685" s="1"/>
      <c r="B1685" s="3"/>
      <c r="C1685" s="4">
        <v>43678.0</v>
      </c>
      <c r="D1685" s="2" t="s">
        <v>2128</v>
      </c>
      <c r="E1685" s="2">
        <v>6.207001078E9</v>
      </c>
      <c r="F1685" s="3" t="s">
        <v>161</v>
      </c>
      <c r="G1685" s="2" t="s">
        <v>171</v>
      </c>
      <c r="H1685" s="2" t="s">
        <v>21</v>
      </c>
      <c r="I1685" s="3">
        <v>150.0</v>
      </c>
      <c r="J1685" s="3"/>
      <c r="K1685" s="5">
        <v>1072.1967</v>
      </c>
      <c r="L1685" s="6"/>
      <c r="M1685" s="6" t="str">
        <f>IF(D1685&lt;&gt;"",VLOOKUP(H1685,TABLEITEM,3,FALSE),"")</f>
        <v>เหล็กแผ่นขาว4'x8'T2.0</v>
      </c>
      <c r="N1685" s="7">
        <f>INSTOCK!$I1685*INSTOCK!$K1685</f>
        <v>160829.505</v>
      </c>
      <c r="O1685" s="2" t="s">
        <v>2129</v>
      </c>
      <c r="P1685" s="2"/>
    </row>
    <row r="1686" ht="18.0" hidden="1" customHeight="1">
      <c r="A1686" s="1"/>
      <c r="B1686" s="3"/>
      <c r="C1686" s="4">
        <v>43678.0</v>
      </c>
      <c r="D1686" s="2" t="s">
        <v>2130</v>
      </c>
      <c r="E1686" s="2">
        <v>6.207001079E9</v>
      </c>
      <c r="F1686" s="3" t="s">
        <v>161</v>
      </c>
      <c r="G1686" s="2" t="s">
        <v>171</v>
      </c>
      <c r="H1686" s="2" t="s">
        <v>21</v>
      </c>
      <c r="I1686" s="3">
        <v>150.0</v>
      </c>
      <c r="J1686" s="3"/>
      <c r="K1686" s="5">
        <v>1072.1967</v>
      </c>
      <c r="L1686" s="6"/>
      <c r="M1686" s="6" t="str">
        <f>IF(D1686&lt;&gt;"",VLOOKUP(H1686,TABLEITEM,3,FALSE),"")</f>
        <v>เหล็กแผ่นขาว4'x8'T2.0</v>
      </c>
      <c r="N1686" s="7">
        <f>INSTOCK!$I1686*INSTOCK!$K1686</f>
        <v>160829.505</v>
      </c>
      <c r="O1686" s="2" t="s">
        <v>2129</v>
      </c>
      <c r="P1686" s="2"/>
    </row>
    <row r="1687" ht="18.0" hidden="1" customHeight="1">
      <c r="A1687" s="1"/>
      <c r="B1687" s="3"/>
      <c r="C1687" s="4">
        <v>43678.0</v>
      </c>
      <c r="D1687" s="2" t="s">
        <v>2131</v>
      </c>
      <c r="E1687" s="2">
        <v>6.207001105E9</v>
      </c>
      <c r="F1687" s="3" t="s">
        <v>161</v>
      </c>
      <c r="G1687" s="2" t="s">
        <v>171</v>
      </c>
      <c r="H1687" s="2" t="s">
        <v>17</v>
      </c>
      <c r="I1687" s="3">
        <v>100.0</v>
      </c>
      <c r="J1687" s="3"/>
      <c r="K1687" s="5">
        <v>631.67</v>
      </c>
      <c r="L1687" s="6"/>
      <c r="M1687" s="6" t="str">
        <f>IF(D1687&lt;&gt;"",VLOOKUP(H1687,TABLEITEM,3,FALSE),"")</f>
        <v>เหล็กแผ่นขาว4'x8'T1.2</v>
      </c>
      <c r="N1687" s="7">
        <f>INSTOCK!$I1687*INSTOCK!$K1687</f>
        <v>63167</v>
      </c>
      <c r="O1687" s="2" t="s">
        <v>2132</v>
      </c>
      <c r="P1687" s="2"/>
    </row>
    <row r="1688" ht="18.0" hidden="1" customHeight="1">
      <c r="A1688" s="1"/>
      <c r="B1688" s="3"/>
      <c r="C1688" s="4">
        <v>43678.0</v>
      </c>
      <c r="D1688" s="2" t="s">
        <v>2133</v>
      </c>
      <c r="E1688" s="2">
        <v>6.207001078E9</v>
      </c>
      <c r="F1688" s="3" t="s">
        <v>161</v>
      </c>
      <c r="G1688" s="2" t="s">
        <v>171</v>
      </c>
      <c r="H1688" s="2" t="s">
        <v>19</v>
      </c>
      <c r="I1688" s="3">
        <v>300.0</v>
      </c>
      <c r="J1688" s="3"/>
      <c r="K1688" s="5">
        <v>842.98</v>
      </c>
      <c r="L1688" s="6"/>
      <c r="M1688" s="6" t="str">
        <f>IF(D1688&lt;&gt;"",VLOOKUP(H1688,TABLEITEM,3,FALSE),"")</f>
        <v>เหล็กแผ่นขาว4'x8'T1.6</v>
      </c>
      <c r="N1688" s="7">
        <f>INSTOCK!$I1688*INSTOCK!$K1688</f>
        <v>252894</v>
      </c>
      <c r="O1688" s="2" t="s">
        <v>2134</v>
      </c>
      <c r="P1688" s="2"/>
    </row>
    <row r="1689" ht="18.0" hidden="1" customHeight="1">
      <c r="A1689" s="1"/>
      <c r="B1689" s="3"/>
      <c r="C1689" s="4">
        <v>43682.0</v>
      </c>
      <c r="D1689" s="2" t="s">
        <v>2135</v>
      </c>
      <c r="E1689" s="2">
        <v>6.207001104E9</v>
      </c>
      <c r="F1689" s="3" t="s">
        <v>161</v>
      </c>
      <c r="G1689" s="2" t="s">
        <v>162</v>
      </c>
      <c r="H1689" s="2" t="s">
        <v>73</v>
      </c>
      <c r="I1689" s="3">
        <v>10.0</v>
      </c>
      <c r="J1689" s="3"/>
      <c r="K1689" s="5">
        <v>1400.0</v>
      </c>
      <c r="L1689" s="6"/>
      <c r="M1689" s="6" t="str">
        <f>IF(D1689&lt;&gt;"",VLOOKUP(H1689,TABLEITEM,3,FALSE),"")</f>
        <v>แผ่นPVC ใส4'x8'T2.0</v>
      </c>
      <c r="N1689" s="7">
        <f>INSTOCK!$I1689*INSTOCK!$K1689</f>
        <v>14000</v>
      </c>
      <c r="O1689" s="2"/>
      <c r="P1689" s="2"/>
    </row>
    <row r="1690" ht="18.0" hidden="1" customHeight="1">
      <c r="A1690" s="1"/>
      <c r="B1690" s="3"/>
      <c r="C1690" s="4">
        <v>43684.0</v>
      </c>
      <c r="D1690" s="2" t="s">
        <v>2136</v>
      </c>
      <c r="E1690" s="2"/>
      <c r="F1690" s="3" t="s">
        <v>161</v>
      </c>
      <c r="G1690" s="2" t="s">
        <v>456</v>
      </c>
      <c r="H1690" s="2" t="s">
        <v>624</v>
      </c>
      <c r="I1690" s="3">
        <v>50.0</v>
      </c>
      <c r="J1690" s="3"/>
      <c r="K1690" s="5"/>
      <c r="L1690" s="6"/>
      <c r="M1690" s="6" t="str">
        <f>IF(D1690&lt;&gt;"",VLOOKUP(H1690,TABLEITEM,3,FALSE),"")</f>
        <v>คานต่อโครง 80x45x3mmx920</v>
      </c>
      <c r="N1690" s="7">
        <f>INSTOCK!$I1690*INSTOCK!$K1690</f>
        <v>0</v>
      </c>
      <c r="O1690" s="2"/>
      <c r="P1690" s="2"/>
    </row>
    <row r="1691" ht="18.0" hidden="1" customHeight="1">
      <c r="A1691" s="1"/>
      <c r="B1691" s="3"/>
      <c r="C1691" s="4">
        <v>43684.0</v>
      </c>
      <c r="D1691" s="2" t="s">
        <v>2137</v>
      </c>
      <c r="E1691" s="2"/>
      <c r="F1691" s="3" t="s">
        <v>161</v>
      </c>
      <c r="G1691" s="2" t="s">
        <v>456</v>
      </c>
      <c r="H1691" s="2" t="s">
        <v>2138</v>
      </c>
      <c r="I1691" s="3">
        <v>26.0</v>
      </c>
      <c r="J1691" s="3"/>
      <c r="K1691" s="5"/>
      <c r="L1691" s="6"/>
      <c r="M1691" s="6" t="str">
        <f>IF(D1691&lt;&gt;"",VLOOKUP(H1691,TABLEITEM,3,FALSE),"")</f>
        <v>คานต่อโครง 80x45x3mmx820</v>
      </c>
      <c r="N1691" s="7">
        <f>INSTOCK!$I1691*INSTOCK!$K1691</f>
        <v>0</v>
      </c>
      <c r="O1691" s="2"/>
      <c r="P1691" s="2"/>
    </row>
    <row r="1692" ht="18.0" hidden="1" customHeight="1">
      <c r="A1692" s="1"/>
      <c r="B1692" s="3"/>
      <c r="C1692" s="4">
        <v>43684.0</v>
      </c>
      <c r="D1692" s="2" t="s">
        <v>2126</v>
      </c>
      <c r="E1692" s="2"/>
      <c r="F1692" s="3" t="s">
        <v>161</v>
      </c>
      <c r="G1692" s="2" t="s">
        <v>456</v>
      </c>
      <c r="H1692" s="2" t="s">
        <v>491</v>
      </c>
      <c r="I1692" s="3">
        <v>59.0</v>
      </c>
      <c r="J1692" s="3"/>
      <c r="K1692" s="5"/>
      <c r="L1692" s="6"/>
      <c r="M1692" s="6" t="str">
        <f>IF(D1692&lt;&gt;"",VLOOKUP(H1692,TABLEITEM,3,FALSE),"")</f>
        <v>เสาเสริม 40x50x1988</v>
      </c>
      <c r="N1692" s="7">
        <f>INSTOCK!$I1692*INSTOCK!$K1692</f>
        <v>0</v>
      </c>
      <c r="O1692" s="2"/>
      <c r="P1692" s="2"/>
    </row>
    <row r="1693" ht="18.0" hidden="1" customHeight="1">
      <c r="A1693" s="1"/>
      <c r="B1693" s="3"/>
      <c r="C1693" s="4">
        <v>43684.0</v>
      </c>
      <c r="D1693" s="2" t="s">
        <v>2139</v>
      </c>
      <c r="E1693" s="2"/>
      <c r="F1693" s="3" t="s">
        <v>161</v>
      </c>
      <c r="G1693" s="2" t="s">
        <v>456</v>
      </c>
      <c r="H1693" s="2" t="s">
        <v>596</v>
      </c>
      <c r="I1693" s="3">
        <v>205.0</v>
      </c>
      <c r="J1693" s="3"/>
      <c r="K1693" s="5"/>
      <c r="L1693" s="6"/>
      <c r="M1693" s="6" t="str">
        <f>IF(D1693&lt;&gt;"",VLOOKUP(H1693,TABLEITEM,3,FALSE),"")</f>
        <v>คานฝาหน้า 50x22x620</v>
      </c>
      <c r="N1693" s="7">
        <f>INSTOCK!$I1693*INSTOCK!$K1693</f>
        <v>0</v>
      </c>
      <c r="O1693" s="2"/>
      <c r="P1693" s="2"/>
    </row>
    <row r="1694" ht="18.0" hidden="1" customHeight="1">
      <c r="A1694" s="1"/>
      <c r="B1694" s="3"/>
      <c r="C1694" s="4">
        <v>43684.0</v>
      </c>
      <c r="D1694" s="2" t="s">
        <v>2125</v>
      </c>
      <c r="E1694" s="2"/>
      <c r="F1694" s="3" t="s">
        <v>161</v>
      </c>
      <c r="G1694" s="2" t="s">
        <v>456</v>
      </c>
      <c r="H1694" s="2" t="s">
        <v>710</v>
      </c>
      <c r="I1694" s="3">
        <v>22.0</v>
      </c>
      <c r="J1694" s="3"/>
      <c r="K1694" s="5"/>
      <c r="L1694" s="6"/>
      <c r="M1694" s="6" t="str">
        <f>IF(D1694&lt;&gt;"",VLOOKUP(H1694,TABLEITEM,3,FALSE),"")</f>
        <v>คานฝาหน้า 50x22x720</v>
      </c>
      <c r="N1694" s="7">
        <f>INSTOCK!$I1694*INSTOCK!$K1694</f>
        <v>0</v>
      </c>
      <c r="O1694" s="2"/>
      <c r="P1694" s="2"/>
    </row>
    <row r="1695" ht="18.0" hidden="1" customHeight="1">
      <c r="A1695" s="1"/>
      <c r="B1695" s="3"/>
      <c r="C1695" s="4">
        <v>43685.0</v>
      </c>
      <c r="D1695" s="2" t="s">
        <v>2127</v>
      </c>
      <c r="E1695" s="2"/>
      <c r="F1695" s="3" t="s">
        <v>161</v>
      </c>
      <c r="G1695" s="2" t="s">
        <v>456</v>
      </c>
      <c r="H1695" s="2" t="s">
        <v>493</v>
      </c>
      <c r="I1695" s="3">
        <v>27.0</v>
      </c>
      <c r="J1695" s="3"/>
      <c r="K1695" s="5"/>
      <c r="L1695" s="6"/>
      <c r="M1695" s="6" t="str">
        <f>IF(D1695&lt;&gt;"",VLOOKUP(H1695,TABLEITEM,3,FALSE),"")</f>
        <v>เสาเชื่อม2125x40x50</v>
      </c>
      <c r="N1695" s="7">
        <f>INSTOCK!$I1695*INSTOCK!$K1695</f>
        <v>0</v>
      </c>
      <c r="O1695" s="2"/>
      <c r="P1695" s="2"/>
    </row>
    <row r="1696" ht="18.0" hidden="1" customHeight="1">
      <c r="A1696" s="1"/>
      <c r="B1696" s="3"/>
      <c r="C1696" s="4">
        <v>43687.0</v>
      </c>
      <c r="D1696" s="2" t="s">
        <v>2140</v>
      </c>
      <c r="E1696" s="2"/>
      <c r="F1696" s="3" t="s">
        <v>161</v>
      </c>
      <c r="G1696" s="2" t="s">
        <v>456</v>
      </c>
      <c r="H1696" s="2" t="s">
        <v>589</v>
      </c>
      <c r="I1696" s="3">
        <v>11.0</v>
      </c>
      <c r="J1696" s="3"/>
      <c r="K1696" s="5"/>
      <c r="L1696" s="6"/>
      <c r="M1696" s="6" t="str">
        <f>IF(D1696&lt;&gt;"",VLOOKUP(H1696,TABLEITEM,3,FALSE),"")</f>
        <v>หมวกตู้ 60x875</v>
      </c>
      <c r="N1696" s="7">
        <f>INSTOCK!$I1696*INSTOCK!$K1696</f>
        <v>0</v>
      </c>
      <c r="O1696" s="2"/>
      <c r="P1696" s="2"/>
    </row>
    <row r="1697" ht="18.0" hidden="1" customHeight="1">
      <c r="A1697" s="1"/>
      <c r="B1697" s="3"/>
      <c r="C1697" s="4">
        <v>43687.0</v>
      </c>
      <c r="D1697" s="2" t="s">
        <v>2141</v>
      </c>
      <c r="E1697" s="2"/>
      <c r="F1697" s="3" t="s">
        <v>161</v>
      </c>
      <c r="G1697" s="2" t="s">
        <v>456</v>
      </c>
      <c r="H1697" s="2" t="s">
        <v>652</v>
      </c>
      <c r="I1697" s="3">
        <v>160.0</v>
      </c>
      <c r="J1697" s="3"/>
      <c r="K1697" s="5"/>
      <c r="L1697" s="6"/>
      <c r="M1697" s="6" t="str">
        <f>IF(D1697&lt;&gt;"",VLOOKUP(H1697,TABLEITEM,3,FALSE),"")</f>
        <v>ขายึดเทอมีนอล146x136</v>
      </c>
      <c r="N1697" s="7">
        <f>INSTOCK!$I1697*INSTOCK!$K1697</f>
        <v>0</v>
      </c>
      <c r="O1697" s="2"/>
      <c r="P1697" s="2"/>
    </row>
    <row r="1698" ht="18.0" hidden="1" customHeight="1">
      <c r="A1698" s="1"/>
      <c r="B1698" s="3"/>
      <c r="C1698" s="4">
        <v>43687.0</v>
      </c>
      <c r="D1698" s="2" t="s">
        <v>2142</v>
      </c>
      <c r="E1698" s="2"/>
      <c r="F1698" s="3" t="s">
        <v>161</v>
      </c>
      <c r="G1698" s="2" t="s">
        <v>456</v>
      </c>
      <c r="H1698" s="2" t="s">
        <v>461</v>
      </c>
      <c r="I1698" s="3">
        <v>15.0</v>
      </c>
      <c r="J1698" s="3"/>
      <c r="K1698" s="5"/>
      <c r="L1698" s="6"/>
      <c r="M1698" s="6" t="str">
        <f>IF(D1698&lt;&gt;"",VLOOKUP(H1698,TABLEITEM,3,FALSE),"")</f>
        <v>ฝารูเปเปอร์ 2101x797เกล็ด</v>
      </c>
      <c r="N1698" s="7">
        <f>INSTOCK!$I1698*INSTOCK!$K1698</f>
        <v>0</v>
      </c>
      <c r="O1698" s="2"/>
      <c r="P1698" s="2"/>
    </row>
    <row r="1699" ht="18.0" hidden="1" customHeight="1">
      <c r="A1699" s="1"/>
      <c r="B1699" s="3"/>
      <c r="C1699" s="4">
        <v>43684.0</v>
      </c>
      <c r="D1699" s="2" t="s">
        <v>2143</v>
      </c>
      <c r="E1699" s="2">
        <v>6.208001183E9</v>
      </c>
      <c r="F1699" s="3" t="s">
        <v>2144</v>
      </c>
      <c r="G1699" s="2" t="s">
        <v>171</v>
      </c>
      <c r="H1699" s="2" t="s">
        <v>2145</v>
      </c>
      <c r="I1699" s="3">
        <v>110.0</v>
      </c>
      <c r="J1699" s="3"/>
      <c r="K1699" s="5">
        <v>590.9091</v>
      </c>
      <c r="L1699" s="6"/>
      <c r="M1699" s="6" t="str">
        <f>IF(D1699&lt;&gt;"",VLOOKUP(H1699,TABLEITEM,3,FALSE),"")</f>
        <v>เหล็กแผ่น EG 4x8 หนา 1.0 มิล</v>
      </c>
      <c r="N1699" s="7">
        <f>INSTOCK!$I1699*INSTOCK!$K1699</f>
        <v>65000.001</v>
      </c>
      <c r="O1699" s="2" t="s">
        <v>2146</v>
      </c>
      <c r="P1699" s="2"/>
    </row>
    <row r="1700" ht="18.0" hidden="1" customHeight="1">
      <c r="A1700" s="1"/>
      <c r="B1700" s="3"/>
      <c r="C1700" s="4">
        <v>43679.0</v>
      </c>
      <c r="D1700" s="2" t="s">
        <v>2147</v>
      </c>
      <c r="E1700" s="2">
        <v>6.208001207E9</v>
      </c>
      <c r="F1700" s="3" t="s">
        <v>2075</v>
      </c>
      <c r="G1700" s="2" t="s">
        <v>733</v>
      </c>
      <c r="H1700" s="2" t="s">
        <v>2076</v>
      </c>
      <c r="I1700" s="3">
        <v>6.0</v>
      </c>
      <c r="J1700" s="3"/>
      <c r="K1700" s="5">
        <v>38.0</v>
      </c>
      <c r="L1700" s="6"/>
      <c r="M1700" s="6" t="str">
        <f>IF(D1700&lt;&gt;"",VLOOKUP(H1700,TABLEITEM,3,FALSE),"")</f>
        <v>กระจกใส 164x314 T 3.0mm</v>
      </c>
      <c r="N1700" s="7">
        <f>INSTOCK!$I1700*INSTOCK!$K1700</f>
        <v>228</v>
      </c>
      <c r="O1700" s="2"/>
      <c r="P1700" s="2"/>
    </row>
    <row r="1701" ht="18.0" hidden="1" customHeight="1">
      <c r="A1701" s="1"/>
      <c r="B1701" s="3"/>
      <c r="C1701" s="4">
        <v>43677.0</v>
      </c>
      <c r="D1701" s="2" t="s">
        <v>2148</v>
      </c>
      <c r="E1701" s="2">
        <v>6.208001207E9</v>
      </c>
      <c r="F1701" s="3" t="s">
        <v>2072</v>
      </c>
      <c r="G1701" s="2" t="s">
        <v>733</v>
      </c>
      <c r="H1701" s="2" t="s">
        <v>1813</v>
      </c>
      <c r="I1701" s="3">
        <v>1.0</v>
      </c>
      <c r="J1701" s="3"/>
      <c r="K1701" s="5">
        <v>75.0</v>
      </c>
      <c r="L1701" s="6"/>
      <c r="M1701" s="6" t="str">
        <f>IF(D1701&lt;&gt;"",VLOOKUP(H1701,TABLEITEM,3,FALSE),"")</f>
        <v>กระจก 321x552 หนา 3.0มิล</v>
      </c>
      <c r="N1701" s="7">
        <f>INSTOCK!$I1701*INSTOCK!$K1701</f>
        <v>75</v>
      </c>
      <c r="O1701" s="2"/>
      <c r="P1701" s="2"/>
    </row>
    <row r="1702" ht="18.0" hidden="1" customHeight="1">
      <c r="A1702" s="1"/>
      <c r="B1702" s="3"/>
      <c r="C1702" s="4">
        <v>43680.0</v>
      </c>
      <c r="D1702" s="2" t="s">
        <v>2149</v>
      </c>
      <c r="E1702" s="2">
        <v>6.208001207E9</v>
      </c>
      <c r="F1702" s="3" t="s">
        <v>2150</v>
      </c>
      <c r="G1702" s="2" t="s">
        <v>733</v>
      </c>
      <c r="H1702" s="2" t="s">
        <v>2151</v>
      </c>
      <c r="I1702" s="3">
        <v>2.0</v>
      </c>
      <c r="J1702" s="3"/>
      <c r="K1702" s="5">
        <v>135.0</v>
      </c>
      <c r="L1702" s="6"/>
      <c r="M1702" s="6" t="str">
        <f>IF(D1702&lt;&gt;"",VLOOKUP(H1702,TABLEITEM,3,FALSE),"")</f>
        <v>กระจกใส 439x854 หนา 5.0มิล</v>
      </c>
      <c r="N1702" s="7">
        <f>INSTOCK!$I1702*INSTOCK!$K1702</f>
        <v>270</v>
      </c>
      <c r="O1702" s="2"/>
      <c r="P1702" s="2"/>
    </row>
    <row r="1703" ht="18.0" hidden="1" customHeight="1">
      <c r="A1703" s="1"/>
      <c r="B1703" s="3"/>
      <c r="C1703" s="4">
        <v>43679.0</v>
      </c>
      <c r="D1703" s="2" t="s">
        <v>2152</v>
      </c>
      <c r="E1703" s="2">
        <v>6.208001207E9</v>
      </c>
      <c r="F1703" s="3" t="s">
        <v>2153</v>
      </c>
      <c r="G1703" s="2" t="s">
        <v>733</v>
      </c>
      <c r="H1703" s="2" t="s">
        <v>2154</v>
      </c>
      <c r="I1703" s="3">
        <v>2.0</v>
      </c>
      <c r="J1703" s="3"/>
      <c r="K1703" s="5">
        <v>115.0</v>
      </c>
      <c r="L1703" s="6"/>
      <c r="M1703" s="6" t="str">
        <f>IF(D1703&lt;&gt;"",VLOOKUP(H1703,TABLEITEM,3,FALSE),"")</f>
        <v>กระจกใส 394x714 หนา 5.0มิล</v>
      </c>
      <c r="N1703" s="7">
        <f>INSTOCK!$I1703*INSTOCK!$K1703</f>
        <v>230</v>
      </c>
      <c r="O1703" s="2"/>
      <c r="P1703" s="2"/>
    </row>
    <row r="1704" ht="18.0" hidden="1" customHeight="1">
      <c r="A1704" s="1"/>
      <c r="B1704" s="3"/>
      <c r="C1704" s="4">
        <v>43683.0</v>
      </c>
      <c r="D1704" s="2" t="s">
        <v>2155</v>
      </c>
      <c r="E1704" s="2">
        <v>6.208001207E9</v>
      </c>
      <c r="F1704" s="3" t="s">
        <v>2156</v>
      </c>
      <c r="G1704" s="2" t="s">
        <v>733</v>
      </c>
      <c r="H1704" s="2" t="s">
        <v>2157</v>
      </c>
      <c r="I1704" s="3">
        <v>1.0</v>
      </c>
      <c r="J1704" s="3"/>
      <c r="K1704" s="5">
        <v>150.0</v>
      </c>
      <c r="L1704" s="6"/>
      <c r="M1704" s="6" t="str">
        <f>IF(D1704&lt;&gt;"",VLOOKUP(H1704,TABLEITEM,3,FALSE),"")</f>
        <v>กระจกใส 514x614 หนา 5.0มิล</v>
      </c>
      <c r="N1704" s="7">
        <f>INSTOCK!$I1704*INSTOCK!$K1704</f>
        <v>150</v>
      </c>
      <c r="O1704" s="2"/>
      <c r="P1704" s="2"/>
    </row>
    <row r="1705" ht="18.0" hidden="1" customHeight="1">
      <c r="A1705" s="1"/>
      <c r="B1705" s="3"/>
      <c r="C1705" s="4">
        <v>43677.0</v>
      </c>
      <c r="D1705" s="2" t="s">
        <v>2158</v>
      </c>
      <c r="E1705" s="2">
        <v>6.208001207E9</v>
      </c>
      <c r="F1705" s="3" t="s">
        <v>2072</v>
      </c>
      <c r="G1705" s="2" t="s">
        <v>733</v>
      </c>
      <c r="H1705" s="2" t="s">
        <v>2159</v>
      </c>
      <c r="I1705" s="3">
        <v>2.0</v>
      </c>
      <c r="J1705" s="3"/>
      <c r="K1705" s="5">
        <v>75.0</v>
      </c>
      <c r="L1705" s="6"/>
      <c r="M1705" s="6" t="str">
        <f>IF(D1705&lt;&gt;"",VLOOKUP(H1705,TABLEITEM,3,FALSE),"")</f>
        <v>กระจกใส 327x558 หนา 3.0มิล</v>
      </c>
      <c r="N1705" s="7">
        <f>INSTOCK!$I1705*INSTOCK!$K1705</f>
        <v>150</v>
      </c>
      <c r="O1705" s="2"/>
      <c r="P1705" s="2"/>
    </row>
    <row r="1706" ht="18.0" hidden="1" customHeight="1">
      <c r="A1706" s="1"/>
      <c r="B1706" s="3"/>
      <c r="C1706" s="4">
        <v>43691.0</v>
      </c>
      <c r="D1706" s="2" t="s">
        <v>2160</v>
      </c>
      <c r="E1706" s="2"/>
      <c r="F1706" s="3" t="s">
        <v>161</v>
      </c>
      <c r="G1706" s="2" t="s">
        <v>456</v>
      </c>
      <c r="H1706" s="2" t="s">
        <v>584</v>
      </c>
      <c r="I1706" s="3">
        <v>100.0</v>
      </c>
      <c r="J1706" s="3"/>
      <c r="K1706" s="5"/>
      <c r="L1706" s="6"/>
      <c r="M1706" s="6" t="str">
        <f>IF(D1706&lt;&gt;"",VLOOKUP(H1706,TABLEITEM,3,FALSE),"")</f>
        <v>ฉากรับเพลท 40x30x1988</v>
      </c>
      <c r="N1706" s="7">
        <f>INSTOCK!$I1706*INSTOCK!$K1706</f>
        <v>0</v>
      </c>
      <c r="O1706" s="2"/>
      <c r="P1706" s="2"/>
    </row>
    <row r="1707" ht="18.0" hidden="1" customHeight="1">
      <c r="A1707" s="1"/>
      <c r="B1707" s="3"/>
      <c r="C1707" s="4">
        <v>43692.0</v>
      </c>
      <c r="D1707" s="2" t="s">
        <v>2161</v>
      </c>
      <c r="E1707" s="2"/>
      <c r="F1707" s="3" t="s">
        <v>161</v>
      </c>
      <c r="G1707" s="2" t="s">
        <v>456</v>
      </c>
      <c r="H1707" s="2" t="s">
        <v>495</v>
      </c>
      <c r="I1707" s="3">
        <v>237.0</v>
      </c>
      <c r="J1707" s="3"/>
      <c r="K1707" s="5"/>
      <c r="L1707" s="6"/>
      <c r="M1707" s="6" t="str">
        <f>IF(D1707&lt;&gt;"",VLOOKUP(H1707,TABLEITEM,3,FALSE),"")</f>
        <v>คานเชื่อม800</v>
      </c>
      <c r="N1707" s="7">
        <f>INSTOCK!$I1707*INSTOCK!$K1707</f>
        <v>0</v>
      </c>
      <c r="O1707" s="2"/>
      <c r="P1707" s="2"/>
    </row>
    <row r="1708" ht="18.0" hidden="1" customHeight="1">
      <c r="A1708" s="1"/>
      <c r="B1708" s="3"/>
      <c r="C1708" s="4">
        <v>43693.0</v>
      </c>
      <c r="D1708" s="2" t="s">
        <v>2162</v>
      </c>
      <c r="E1708" s="2"/>
      <c r="F1708" s="3" t="s">
        <v>161</v>
      </c>
      <c r="G1708" s="2" t="s">
        <v>456</v>
      </c>
      <c r="H1708" s="2" t="s">
        <v>637</v>
      </c>
      <c r="I1708" s="3">
        <v>55.0</v>
      </c>
      <c r="J1708" s="3"/>
      <c r="K1708" s="5"/>
      <c r="L1708" s="6"/>
      <c r="M1708" s="6" t="str">
        <f>IF(D1708&lt;&gt;"",VLOOKUP(H1708,TABLEITEM,3,FALSE),"")</f>
        <v>ฉากรับกุญแจ 40x30x1963</v>
      </c>
      <c r="N1708" s="7">
        <f>INSTOCK!$I1708*INSTOCK!$K1708</f>
        <v>0</v>
      </c>
      <c r="O1708" s="2"/>
      <c r="P1708" s="2"/>
    </row>
    <row r="1709" ht="18.0" hidden="1" customHeight="1">
      <c r="A1709" s="1"/>
      <c r="B1709" s="3"/>
      <c r="C1709" s="4">
        <v>43693.0</v>
      </c>
      <c r="D1709" s="2" t="s">
        <v>2163</v>
      </c>
      <c r="E1709" s="2"/>
      <c r="F1709" s="3" t="s">
        <v>161</v>
      </c>
      <c r="G1709" s="2" t="s">
        <v>456</v>
      </c>
      <c r="H1709" s="2" t="s">
        <v>671</v>
      </c>
      <c r="I1709" s="3">
        <v>81.0</v>
      </c>
      <c r="J1709" s="3"/>
      <c r="K1709" s="5"/>
      <c r="L1709" s="6"/>
      <c r="M1709" s="6" t="str">
        <f>IF(D1709&lt;&gt;"",VLOOKUP(H1709,TABLEITEM,3,FALSE),"")</f>
        <v>ฉากรับเพลท 40x30x790</v>
      </c>
      <c r="N1709" s="7">
        <f>INSTOCK!$I1709*INSTOCK!$K1709</f>
        <v>0</v>
      </c>
      <c r="O1709" s="2"/>
      <c r="P1709" s="2"/>
    </row>
    <row r="1710" ht="18.0" hidden="1" customHeight="1">
      <c r="A1710" s="1"/>
      <c r="B1710" s="3"/>
      <c r="C1710" s="4">
        <v>43693.0</v>
      </c>
      <c r="D1710" s="2" t="s">
        <v>2164</v>
      </c>
      <c r="E1710" s="2"/>
      <c r="F1710" s="3" t="s">
        <v>161</v>
      </c>
      <c r="G1710" s="2" t="s">
        <v>456</v>
      </c>
      <c r="H1710" s="2" t="s">
        <v>626</v>
      </c>
      <c r="I1710" s="3">
        <v>36.0</v>
      </c>
      <c r="J1710" s="3"/>
      <c r="K1710" s="5"/>
      <c r="L1710" s="6"/>
      <c r="M1710" s="6" t="str">
        <f>IF(D1710&lt;&gt;"",VLOOKUP(H1710,TABLEITEM,3,FALSE),"")</f>
        <v>คานเจ 2รู 65x32x454</v>
      </c>
      <c r="N1710" s="7">
        <f>INSTOCK!$I1710*INSTOCK!$K1710</f>
        <v>0</v>
      </c>
      <c r="O1710" s="2"/>
      <c r="P1710" s="2"/>
    </row>
    <row r="1711" ht="18.0" hidden="1" customHeight="1">
      <c r="A1711" s="1"/>
      <c r="B1711" s="3"/>
      <c r="C1711" s="4">
        <v>43700.0</v>
      </c>
      <c r="D1711" s="2" t="s">
        <v>2165</v>
      </c>
      <c r="E1711" s="2"/>
      <c r="F1711" s="3" t="s">
        <v>161</v>
      </c>
      <c r="G1711" s="2" t="s">
        <v>456</v>
      </c>
      <c r="H1711" s="2" t="s">
        <v>718</v>
      </c>
      <c r="I1711" s="3">
        <v>50.0</v>
      </c>
      <c r="J1711" s="3"/>
      <c r="K1711" s="5"/>
      <c r="L1711" s="6"/>
      <c r="M1711" s="6" t="str">
        <f>IF(D1711&lt;&gt;"",VLOOKUP(H1711,TABLEITEM,3,FALSE),"")</f>
        <v>คานต่อโครงรับลูกถ้วย720x68x45</v>
      </c>
      <c r="N1711" s="7">
        <f>INSTOCK!$I1711*INSTOCK!$K1711</f>
        <v>0</v>
      </c>
      <c r="O1711" s="2"/>
      <c r="P1711" s="2"/>
    </row>
    <row r="1712" ht="18.0" hidden="1" customHeight="1">
      <c r="A1712" s="1"/>
      <c r="B1712" s="3"/>
      <c r="C1712" s="4">
        <v>43700.0</v>
      </c>
      <c r="D1712" s="2" t="s">
        <v>2141</v>
      </c>
      <c r="E1712" s="2"/>
      <c r="F1712" s="3" t="s">
        <v>161</v>
      </c>
      <c r="G1712" s="2" t="s">
        <v>456</v>
      </c>
      <c r="H1712" s="2" t="s">
        <v>652</v>
      </c>
      <c r="I1712" s="3">
        <v>68.0</v>
      </c>
      <c r="J1712" s="3"/>
      <c r="K1712" s="5"/>
      <c r="L1712" s="6"/>
      <c r="M1712" s="6" t="str">
        <f>IF(D1712&lt;&gt;"",VLOOKUP(H1712,TABLEITEM,3,FALSE),"")</f>
        <v>ขายึดเทอมีนอล146x136</v>
      </c>
      <c r="N1712" s="7">
        <f>INSTOCK!$I1712*INSTOCK!$K1712</f>
        <v>0</v>
      </c>
      <c r="O1712" s="2"/>
      <c r="P1712" s="2"/>
    </row>
    <row r="1713" ht="18.0" hidden="1" customHeight="1">
      <c r="A1713" s="1"/>
      <c r="B1713" s="3"/>
      <c r="C1713" s="4">
        <v>43700.0</v>
      </c>
      <c r="D1713" s="2" t="s">
        <v>2166</v>
      </c>
      <c r="E1713" s="2"/>
      <c r="F1713" s="3" t="s">
        <v>161</v>
      </c>
      <c r="G1713" s="2" t="s">
        <v>456</v>
      </c>
      <c r="H1713" s="2" t="s">
        <v>1534</v>
      </c>
      <c r="I1713" s="3">
        <v>78.0</v>
      </c>
      <c r="J1713" s="3"/>
      <c r="K1713" s="5"/>
      <c r="L1713" s="6"/>
      <c r="M1713" s="6" t="str">
        <f>IF(D1713&lt;&gt;"",VLOOKUP(H1713,TABLEITEM,3,FALSE),"")</f>
        <v>คานเจ 2รู 65x32x554</v>
      </c>
      <c r="N1713" s="7">
        <f>INSTOCK!$I1713*INSTOCK!$K1713</f>
        <v>0</v>
      </c>
      <c r="O1713" s="2"/>
      <c r="P1713" s="2"/>
    </row>
    <row r="1714" ht="18.0" hidden="1" customHeight="1">
      <c r="A1714" s="1"/>
      <c r="B1714" s="3"/>
      <c r="C1714" s="4">
        <v>43700.0</v>
      </c>
      <c r="D1714" s="2" t="s">
        <v>2167</v>
      </c>
      <c r="E1714" s="2"/>
      <c r="F1714" s="3" t="s">
        <v>161</v>
      </c>
      <c r="G1714" s="2" t="s">
        <v>456</v>
      </c>
      <c r="H1714" s="2" t="s">
        <v>1534</v>
      </c>
      <c r="I1714" s="3">
        <v>31.0</v>
      </c>
      <c r="J1714" s="3"/>
      <c r="K1714" s="5"/>
      <c r="L1714" s="6"/>
      <c r="M1714" s="6" t="str">
        <f>IF(D1714&lt;&gt;"",VLOOKUP(H1714,TABLEITEM,3,FALSE),"")</f>
        <v>คานเจ 2รู 65x32x554</v>
      </c>
      <c r="N1714" s="7">
        <f>INSTOCK!$I1714*INSTOCK!$K1714</f>
        <v>0</v>
      </c>
      <c r="O1714" s="2"/>
      <c r="P1714" s="2"/>
    </row>
    <row r="1715" ht="18.0" hidden="1" customHeight="1">
      <c r="A1715" s="1"/>
      <c r="B1715" s="3"/>
      <c r="C1715" s="4">
        <v>43700.0</v>
      </c>
      <c r="D1715" s="2" t="s">
        <v>2164</v>
      </c>
      <c r="E1715" s="2"/>
      <c r="F1715" s="3" t="s">
        <v>161</v>
      </c>
      <c r="G1715" s="2" t="s">
        <v>456</v>
      </c>
      <c r="H1715" s="2" t="s">
        <v>2168</v>
      </c>
      <c r="I1715" s="3">
        <v>104.0</v>
      </c>
      <c r="J1715" s="3"/>
      <c r="K1715" s="5"/>
      <c r="L1715" s="6"/>
      <c r="M1715" s="6" t="str">
        <f>IF(D1715&lt;&gt;"",VLOOKUP(H1715,TABLEITEM,3,FALSE),"")</f>
        <v>คานเจ 2รู 65x32x404</v>
      </c>
      <c r="N1715" s="7">
        <f>INSTOCK!$I1715*INSTOCK!$K1715</f>
        <v>0</v>
      </c>
      <c r="O1715" s="2"/>
      <c r="P1715" s="2"/>
    </row>
    <row r="1716" ht="18.0" hidden="1" customHeight="1">
      <c r="A1716" s="1"/>
      <c r="B1716" s="3"/>
      <c r="C1716" s="4">
        <v>43335.0</v>
      </c>
      <c r="D1716" s="2" t="s">
        <v>2164</v>
      </c>
      <c r="E1716" s="2"/>
      <c r="F1716" s="3" t="s">
        <v>161</v>
      </c>
      <c r="G1716" s="2" t="s">
        <v>456</v>
      </c>
      <c r="H1716" s="2" t="s">
        <v>626</v>
      </c>
      <c r="I1716" s="3">
        <v>92.0</v>
      </c>
      <c r="J1716" s="3"/>
      <c r="K1716" s="5"/>
      <c r="L1716" s="6"/>
      <c r="M1716" s="6" t="str">
        <f>IF(D1716&lt;&gt;"",VLOOKUP(H1716,TABLEITEM,3,FALSE),"")</f>
        <v>คานเจ 2รู 65x32x454</v>
      </c>
      <c r="N1716" s="7">
        <f>INSTOCK!$I1716*INSTOCK!$K1716</f>
        <v>0</v>
      </c>
      <c r="O1716" s="2"/>
      <c r="P1716" s="2"/>
    </row>
    <row r="1717" ht="18.0" hidden="1" customHeight="1">
      <c r="A1717" s="1"/>
      <c r="B1717" s="3"/>
      <c r="C1717" s="4">
        <v>43700.0</v>
      </c>
      <c r="D1717" s="2" t="s">
        <v>2140</v>
      </c>
      <c r="E1717" s="2"/>
      <c r="F1717" s="3" t="s">
        <v>161</v>
      </c>
      <c r="G1717" s="2" t="s">
        <v>456</v>
      </c>
      <c r="H1717" s="2" t="s">
        <v>589</v>
      </c>
      <c r="I1717" s="3">
        <v>31.0</v>
      </c>
      <c r="J1717" s="3"/>
      <c r="K1717" s="5"/>
      <c r="L1717" s="6"/>
      <c r="M1717" s="6" t="str">
        <f>IF(D1717&lt;&gt;"",VLOOKUP(H1717,TABLEITEM,3,FALSE),"")</f>
        <v>หมวกตู้ 60x875</v>
      </c>
      <c r="N1717" s="7">
        <f>INSTOCK!$I1717*INSTOCK!$K1717</f>
        <v>0</v>
      </c>
      <c r="O1717" s="2"/>
      <c r="P1717" s="2"/>
    </row>
    <row r="1718" ht="18.0" hidden="1" customHeight="1">
      <c r="A1718" s="1"/>
      <c r="B1718" s="3"/>
      <c r="C1718" s="4">
        <v>43700.0</v>
      </c>
      <c r="D1718" s="2" t="s">
        <v>2169</v>
      </c>
      <c r="E1718" s="2"/>
      <c r="F1718" s="3" t="s">
        <v>161</v>
      </c>
      <c r="G1718" s="2" t="s">
        <v>456</v>
      </c>
      <c r="H1718" s="2" t="s">
        <v>699</v>
      </c>
      <c r="I1718" s="3">
        <v>30.0</v>
      </c>
      <c r="J1718" s="3"/>
      <c r="K1718" s="5"/>
      <c r="L1718" s="6"/>
      <c r="M1718" s="6" t="str">
        <f>IF(D1718&lt;&gt;"",VLOOKUP(H1718,TABLEITEM,3,FALSE),"")</f>
        <v>หมวกตู้ 60x475</v>
      </c>
      <c r="N1718" s="7">
        <f>INSTOCK!$I1718*INSTOCK!$K1718</f>
        <v>0</v>
      </c>
      <c r="O1718" s="2"/>
      <c r="P1718" s="2"/>
    </row>
    <row r="1719" ht="18.0" hidden="1" customHeight="1">
      <c r="A1719" s="1"/>
      <c r="B1719" s="3"/>
      <c r="C1719" s="4">
        <v>43700.0</v>
      </c>
      <c r="D1719" s="2" t="s">
        <v>2126</v>
      </c>
      <c r="E1719" s="2"/>
      <c r="F1719" s="3" t="s">
        <v>161</v>
      </c>
      <c r="G1719" s="2" t="s">
        <v>456</v>
      </c>
      <c r="H1719" s="2" t="s">
        <v>491</v>
      </c>
      <c r="I1719" s="3">
        <v>147.0</v>
      </c>
      <c r="J1719" s="3"/>
      <c r="K1719" s="5"/>
      <c r="L1719" s="6"/>
      <c r="M1719" s="6" t="str">
        <f>IF(D1719&lt;&gt;"",VLOOKUP(H1719,TABLEITEM,3,FALSE),"")</f>
        <v>เสาเสริม 40x50x1988</v>
      </c>
      <c r="N1719" s="7">
        <f>INSTOCK!$I1719*INSTOCK!$K1719</f>
        <v>0</v>
      </c>
      <c r="O1719" s="2"/>
      <c r="P1719" s="2"/>
    </row>
    <row r="1720" ht="18.0" hidden="1" customHeight="1">
      <c r="A1720" s="1"/>
      <c r="B1720" s="3"/>
      <c r="C1720" s="4">
        <v>43700.0</v>
      </c>
      <c r="D1720" s="2" t="s">
        <v>2137</v>
      </c>
      <c r="E1720" s="2"/>
      <c r="F1720" s="3" t="s">
        <v>161</v>
      </c>
      <c r="G1720" s="2" t="s">
        <v>456</v>
      </c>
      <c r="H1720" s="2" t="s">
        <v>2138</v>
      </c>
      <c r="I1720" s="3">
        <v>26.0</v>
      </c>
      <c r="J1720" s="3"/>
      <c r="K1720" s="5"/>
      <c r="L1720" s="6"/>
      <c r="M1720" s="6" t="str">
        <f>IF(D1720&lt;&gt;"",VLOOKUP(H1720,TABLEITEM,3,FALSE),"")</f>
        <v>คานต่อโครง 80x45x3mmx820</v>
      </c>
      <c r="N1720" s="7">
        <f>INSTOCK!$I1720*INSTOCK!$K1720</f>
        <v>0</v>
      </c>
      <c r="O1720" s="2"/>
      <c r="P1720" s="2"/>
    </row>
    <row r="1721" ht="18.0" hidden="1" customHeight="1">
      <c r="A1721" s="1"/>
      <c r="B1721" s="3"/>
      <c r="C1721" s="4">
        <v>43700.0</v>
      </c>
      <c r="D1721" s="2" t="s">
        <v>2125</v>
      </c>
      <c r="E1721" s="2"/>
      <c r="F1721" s="3" t="s">
        <v>161</v>
      </c>
      <c r="G1721" s="2" t="s">
        <v>456</v>
      </c>
      <c r="H1721" s="2" t="s">
        <v>710</v>
      </c>
      <c r="I1721" s="3">
        <v>100.0</v>
      </c>
      <c r="J1721" s="3"/>
      <c r="K1721" s="5"/>
      <c r="L1721" s="6"/>
      <c r="M1721" s="6" t="str">
        <f>IF(D1721&lt;&gt;"",VLOOKUP(H1721,TABLEITEM,3,FALSE),"")</f>
        <v>คานฝาหน้า 50x22x720</v>
      </c>
      <c r="N1721" s="7">
        <f>INSTOCK!$I1721*INSTOCK!$K1721</f>
        <v>0</v>
      </c>
      <c r="O1721" s="2"/>
      <c r="P1721" s="2"/>
    </row>
    <row r="1722" ht="18.0" hidden="1" customHeight="1">
      <c r="A1722" s="1"/>
      <c r="B1722" s="3"/>
      <c r="C1722" s="4">
        <v>43700.0</v>
      </c>
      <c r="D1722" s="2" t="s">
        <v>2170</v>
      </c>
      <c r="E1722" s="2"/>
      <c r="F1722" s="3" t="s">
        <v>161</v>
      </c>
      <c r="G1722" s="2" t="s">
        <v>456</v>
      </c>
      <c r="H1722" s="2" t="s">
        <v>659</v>
      </c>
      <c r="I1722" s="3">
        <v>51.0</v>
      </c>
      <c r="J1722" s="3"/>
      <c r="K1722" s="5"/>
      <c r="L1722" s="6"/>
      <c r="M1722" s="6" t="str">
        <f>IF(D1722&lt;&gt;"",VLOOKUP(H1722,TABLEITEM,3,FALSE),"")</f>
        <v>คานรับลูกถ้วย 50x40x420</v>
      </c>
      <c r="N1722" s="7">
        <f>INSTOCK!$I1722*INSTOCK!$K1722</f>
        <v>0</v>
      </c>
      <c r="O1722" s="2"/>
      <c r="P1722" s="2"/>
    </row>
    <row r="1723" ht="18.0" hidden="1" customHeight="1">
      <c r="A1723" s="1"/>
      <c r="B1723" s="3"/>
      <c r="C1723" s="4">
        <v>43700.0</v>
      </c>
      <c r="D1723" s="2" t="s">
        <v>2171</v>
      </c>
      <c r="E1723" s="2"/>
      <c r="F1723" s="3" t="s">
        <v>161</v>
      </c>
      <c r="G1723" s="2" t="s">
        <v>456</v>
      </c>
      <c r="H1723" s="2" t="s">
        <v>501</v>
      </c>
      <c r="I1723" s="3">
        <v>206.0</v>
      </c>
      <c r="J1723" s="3"/>
      <c r="K1723" s="5"/>
      <c r="L1723" s="6"/>
      <c r="M1723" s="6" t="str">
        <f>IF(D1723&lt;&gt;"",VLOOKUP(H1723,TABLEITEM,3,FALSE),"")</f>
        <v>คานฝาหน้า 50x22x270</v>
      </c>
      <c r="N1723" s="7">
        <f>INSTOCK!$I1723*INSTOCK!$K1723</f>
        <v>0</v>
      </c>
      <c r="O1723" s="2"/>
      <c r="P1723" s="2"/>
    </row>
    <row r="1724" ht="18.0" hidden="1" customHeight="1">
      <c r="A1724" s="1"/>
      <c r="B1724" s="3"/>
      <c r="C1724" s="4">
        <v>43700.0</v>
      </c>
      <c r="D1724" s="2" t="s">
        <v>2172</v>
      </c>
      <c r="E1724" s="2"/>
      <c r="F1724" s="3" t="s">
        <v>161</v>
      </c>
      <c r="G1724" s="2" t="s">
        <v>456</v>
      </c>
      <c r="H1724" s="2" t="s">
        <v>542</v>
      </c>
      <c r="I1724" s="3">
        <v>30.0</v>
      </c>
      <c r="J1724" s="3"/>
      <c r="K1724" s="5"/>
      <c r="L1724" s="6"/>
      <c r="M1724" s="6" t="str">
        <f>IF(D1724&lt;&gt;"",VLOOKUP(H1724,TABLEITEM,3,FALSE),"")</f>
        <v>ฝาข้าง-ฝาหลัง 1875x770</v>
      </c>
      <c r="N1724" s="7">
        <f>INSTOCK!$I1724*INSTOCK!$K1724</f>
        <v>0</v>
      </c>
      <c r="O1724" s="2"/>
      <c r="P1724" s="2"/>
    </row>
    <row r="1725" ht="18.0" hidden="1" customHeight="1">
      <c r="A1725" s="1"/>
      <c r="B1725" s="3"/>
      <c r="C1725" s="4">
        <v>43700.0</v>
      </c>
      <c r="D1725" s="2" t="s">
        <v>2173</v>
      </c>
      <c r="E1725" s="2"/>
      <c r="F1725" s="3" t="s">
        <v>161</v>
      </c>
      <c r="G1725" s="2" t="s">
        <v>456</v>
      </c>
      <c r="H1725" s="2" t="s">
        <v>511</v>
      </c>
      <c r="I1725" s="3">
        <v>86.0</v>
      </c>
      <c r="J1725" s="3"/>
      <c r="K1725" s="5"/>
      <c r="L1725" s="6"/>
      <c r="M1725" s="6" t="str">
        <f>IF(D1725&lt;&gt;"",VLOOKUP(H1725,TABLEITEM,3,FALSE),"")</f>
        <v>เสาเสริม 40x50x1788</v>
      </c>
      <c r="N1725" s="7">
        <f>INSTOCK!$I1725*INSTOCK!$K1725</f>
        <v>0</v>
      </c>
      <c r="O1725" s="2"/>
      <c r="P1725" s="2"/>
    </row>
    <row r="1726" ht="18.0" hidden="1" customHeight="1">
      <c r="A1726" s="1"/>
      <c r="B1726" s="3"/>
      <c r="C1726" s="4">
        <v>43697.0</v>
      </c>
      <c r="D1726" s="2" t="s">
        <v>2174</v>
      </c>
      <c r="E1726" s="2">
        <v>6.20800125E9</v>
      </c>
      <c r="F1726" s="3" t="s">
        <v>2175</v>
      </c>
      <c r="G1726" s="2" t="s">
        <v>733</v>
      </c>
      <c r="H1726" s="2" t="s">
        <v>2176</v>
      </c>
      <c r="I1726" s="3">
        <v>1.0</v>
      </c>
      <c r="J1726" s="3"/>
      <c r="K1726" s="5">
        <v>25.0</v>
      </c>
      <c r="L1726" s="6"/>
      <c r="M1726" s="6" t="str">
        <f>IF(D1726&lt;&gt;"",VLOOKUP(H1726,TABLEITEM,3,FALSE),"")</f>
        <v>กระจกใส 264x284 หนา 3.0มิล</v>
      </c>
      <c r="N1726" s="7">
        <f>INSTOCK!$I1726*INSTOCK!$K1726</f>
        <v>25</v>
      </c>
      <c r="O1726" s="2"/>
      <c r="P1726" s="2"/>
    </row>
    <row r="1727" ht="18.0" hidden="1" customHeight="1">
      <c r="A1727" s="1"/>
      <c r="B1727" s="3"/>
      <c r="C1727" s="4">
        <v>43693.0</v>
      </c>
      <c r="D1727" s="2" t="s">
        <v>2177</v>
      </c>
      <c r="E1727" s="2">
        <v>6.20800125E9</v>
      </c>
      <c r="F1727" s="3" t="s">
        <v>2178</v>
      </c>
      <c r="G1727" s="2" t="s">
        <v>733</v>
      </c>
      <c r="H1727" s="2" t="s">
        <v>2179</v>
      </c>
      <c r="I1727" s="3">
        <v>1.0</v>
      </c>
      <c r="J1727" s="3"/>
      <c r="K1727" s="5">
        <v>38.0</v>
      </c>
      <c r="L1727" s="6"/>
      <c r="M1727" s="6" t="str">
        <f>IF(D1727&lt;&gt;"",VLOOKUP(H1727,TABLEITEM,3,FALSE),"")</f>
        <v>กระจกใส 209x314 หนา 3.0มิล</v>
      </c>
      <c r="N1727" s="7">
        <f>INSTOCK!$I1727*INSTOCK!$K1727</f>
        <v>38</v>
      </c>
      <c r="O1727" s="2"/>
      <c r="P1727" s="2"/>
    </row>
    <row r="1728" ht="18.0" hidden="1" customHeight="1">
      <c r="A1728" s="1"/>
      <c r="B1728" s="3"/>
      <c r="C1728" s="4">
        <v>43682.0</v>
      </c>
      <c r="D1728" s="2" t="s">
        <v>2180</v>
      </c>
      <c r="E1728" s="2">
        <v>6.20800125E9</v>
      </c>
      <c r="F1728" s="3" t="s">
        <v>2075</v>
      </c>
      <c r="G1728" s="2" t="s">
        <v>733</v>
      </c>
      <c r="H1728" s="2" t="s">
        <v>2076</v>
      </c>
      <c r="I1728" s="3">
        <v>1.0</v>
      </c>
      <c r="J1728" s="3"/>
      <c r="K1728" s="5">
        <v>40.0</v>
      </c>
      <c r="L1728" s="6"/>
      <c r="M1728" s="6" t="str">
        <f>IF(D1728&lt;&gt;"",VLOOKUP(H1728,TABLEITEM,3,FALSE),"")</f>
        <v>กระจกใส 164x314 T 3.0mm</v>
      </c>
      <c r="N1728" s="7">
        <f>INSTOCK!$I1728*INSTOCK!$K1728</f>
        <v>40</v>
      </c>
      <c r="O1728" s="2"/>
      <c r="P1728" s="2"/>
    </row>
    <row r="1729" ht="18.0" hidden="1" customHeight="1">
      <c r="A1729" s="1"/>
      <c r="B1729" s="3"/>
      <c r="C1729" s="4">
        <v>43697.0</v>
      </c>
      <c r="D1729" s="2" t="s">
        <v>2181</v>
      </c>
      <c r="E1729" s="2">
        <v>6.20800125E9</v>
      </c>
      <c r="F1729" s="3" t="s">
        <v>2182</v>
      </c>
      <c r="G1729" s="2" t="s">
        <v>733</v>
      </c>
      <c r="H1729" s="2" t="s">
        <v>2183</v>
      </c>
      <c r="I1729" s="3">
        <v>1.0</v>
      </c>
      <c r="J1729" s="3"/>
      <c r="K1729" s="5">
        <v>113.0</v>
      </c>
      <c r="L1729" s="6"/>
      <c r="M1729" s="6" t="str">
        <f>IF(D1729&lt;&gt;"",VLOOKUP(H1729,TABLEITEM,3,FALSE),"")</f>
        <v>กระจกใส 404x614 หนา 5.0มิล</v>
      </c>
      <c r="N1729" s="7">
        <f>INSTOCK!$I1729*INSTOCK!$K1729</f>
        <v>113</v>
      </c>
      <c r="O1729" s="2"/>
      <c r="P1729" s="2"/>
    </row>
    <row r="1730" ht="18.0" hidden="1" customHeight="1">
      <c r="A1730" s="1"/>
      <c r="B1730" s="3"/>
      <c r="C1730" s="4">
        <v>43682.0</v>
      </c>
      <c r="D1730" s="2" t="s">
        <v>2184</v>
      </c>
      <c r="E1730" s="2">
        <v>6.20800125E9</v>
      </c>
      <c r="F1730" s="3" t="s">
        <v>2185</v>
      </c>
      <c r="G1730" s="2" t="s">
        <v>733</v>
      </c>
      <c r="H1730" s="2" t="s">
        <v>2186</v>
      </c>
      <c r="I1730" s="3">
        <v>1.0</v>
      </c>
      <c r="J1730" s="3"/>
      <c r="K1730" s="5">
        <v>50.0</v>
      </c>
      <c r="L1730" s="6"/>
      <c r="M1730" s="6" t="str">
        <f>IF(D1730&lt;&gt;"",VLOOKUP(H1730,TABLEITEM,3,FALSE),"")</f>
        <v>กระจกใส 284x564 หนา 5.0มิล</v>
      </c>
      <c r="N1730" s="7">
        <f>INSTOCK!$I1730*INSTOCK!$K1730</f>
        <v>50</v>
      </c>
      <c r="O1730" s="2"/>
      <c r="P1730" s="2"/>
    </row>
    <row r="1731" ht="18.0" hidden="1" customHeight="1">
      <c r="A1731" s="1"/>
      <c r="B1731" s="3"/>
      <c r="C1731" s="4">
        <v>43682.0</v>
      </c>
      <c r="D1731" s="2" t="s">
        <v>2187</v>
      </c>
      <c r="E1731" s="2">
        <v>6.20800125E9</v>
      </c>
      <c r="F1731" s="3" t="s">
        <v>2188</v>
      </c>
      <c r="G1731" s="2" t="s">
        <v>733</v>
      </c>
      <c r="H1731" s="2" t="s">
        <v>2189</v>
      </c>
      <c r="I1731" s="3">
        <v>3.0</v>
      </c>
      <c r="J1731" s="3"/>
      <c r="K1731" s="5">
        <v>25.0</v>
      </c>
      <c r="L1731" s="6"/>
      <c r="M1731" s="6" t="str">
        <f>IF(D1731&lt;&gt;"",VLOOKUP(H1731,TABLEITEM,3,FALSE),"")</f>
        <v>กระจกใส 114x264 หนา 5.0มิล</v>
      </c>
      <c r="N1731" s="7">
        <f>INSTOCK!$I1731*INSTOCK!$K1731</f>
        <v>75</v>
      </c>
      <c r="O1731" s="2"/>
      <c r="P1731" s="2"/>
    </row>
    <row r="1732" ht="18.0" hidden="1" customHeight="1">
      <c r="A1732" s="1"/>
      <c r="B1732" s="3"/>
      <c r="C1732" s="4">
        <v>43682.0</v>
      </c>
      <c r="D1732" s="2" t="s">
        <v>2187</v>
      </c>
      <c r="E1732" s="2">
        <v>6.20800125E9</v>
      </c>
      <c r="F1732" s="3" t="s">
        <v>2188</v>
      </c>
      <c r="G1732" s="2" t="s">
        <v>733</v>
      </c>
      <c r="H1732" s="2" t="s">
        <v>2190</v>
      </c>
      <c r="I1732" s="3">
        <v>3.0</v>
      </c>
      <c r="J1732" s="3"/>
      <c r="K1732" s="5">
        <v>40.0</v>
      </c>
      <c r="L1732" s="6"/>
      <c r="M1732" s="6" t="str">
        <f>IF(D1732&lt;&gt;"",VLOOKUP(H1732,TABLEITEM,3,FALSE),"")</f>
        <v>กระจกใส 264x364 หนา 5.0มิล</v>
      </c>
      <c r="N1732" s="7">
        <f>INSTOCK!$I1732*INSTOCK!$K1732</f>
        <v>120</v>
      </c>
      <c r="O1732" s="2"/>
      <c r="P1732" s="2"/>
    </row>
    <row r="1733" ht="18.0" hidden="1" customHeight="1">
      <c r="A1733" s="1"/>
      <c r="B1733" s="3"/>
      <c r="C1733" s="4">
        <v>43704.0</v>
      </c>
      <c r="D1733" s="2" t="s">
        <v>2191</v>
      </c>
      <c r="E1733" s="2">
        <v>6.208001228E9</v>
      </c>
      <c r="F1733" s="3" t="s">
        <v>161</v>
      </c>
      <c r="G1733" s="2" t="s">
        <v>202</v>
      </c>
      <c r="H1733" s="2" t="s">
        <v>79</v>
      </c>
      <c r="I1733" s="3">
        <v>300.0</v>
      </c>
      <c r="J1733" s="3" t="s">
        <v>78</v>
      </c>
      <c r="K1733" s="5">
        <v>143.3334</v>
      </c>
      <c r="L1733" s="6"/>
      <c r="M1733" s="6" t="str">
        <f>IF(D1733&lt;&gt;"",VLOOKUP(H1733,TABLEITEM,3,FALSE),"")</f>
        <v>เหล็กรางน้ำ U' 3</v>
      </c>
      <c r="N1733" s="7">
        <f>INSTOCK!$I1733*INSTOCK!$K1733</f>
        <v>43000.02</v>
      </c>
      <c r="O1733" s="2" t="s">
        <v>2192</v>
      </c>
      <c r="P1733" s="2"/>
    </row>
    <row r="1734" ht="18.0" hidden="1" customHeight="1">
      <c r="A1734" s="1"/>
      <c r="B1734" s="3"/>
      <c r="C1734" s="4">
        <v>43704.0</v>
      </c>
      <c r="D1734" s="2" t="s">
        <v>2191</v>
      </c>
      <c r="E1734" s="2">
        <v>6.208001228E9</v>
      </c>
      <c r="F1734" s="3" t="s">
        <v>161</v>
      </c>
      <c r="G1734" s="2" t="s">
        <v>202</v>
      </c>
      <c r="H1734" s="2" t="s">
        <v>100</v>
      </c>
      <c r="I1734" s="3">
        <v>18.0</v>
      </c>
      <c r="J1734" s="3" t="s">
        <v>78</v>
      </c>
      <c r="K1734" s="5">
        <v>163.3334</v>
      </c>
      <c r="L1734" s="6"/>
      <c r="M1734" s="6" t="str">
        <f>IF(D1734&lt;&gt;"",VLOOKUP(H1734,TABLEITEM,3,FALSE),"")</f>
        <v>เหล็กกล่อง 4'' หนา2.3 มิล</v>
      </c>
      <c r="N1734" s="7">
        <f>INSTOCK!$I1734*INSTOCK!$K1734</f>
        <v>2940.0012</v>
      </c>
      <c r="O1734" s="2" t="s">
        <v>2193</v>
      </c>
      <c r="P1734" s="2"/>
    </row>
    <row r="1735" ht="18.0" hidden="1" customHeight="1">
      <c r="A1735" s="1"/>
      <c r="B1735" s="3"/>
      <c r="C1735" s="4">
        <v>43705.0</v>
      </c>
      <c r="D1735" s="2" t="s">
        <v>2127</v>
      </c>
      <c r="E1735" s="2"/>
      <c r="F1735" s="3" t="s">
        <v>161</v>
      </c>
      <c r="G1735" s="2" t="s">
        <v>456</v>
      </c>
      <c r="H1735" s="2" t="s">
        <v>493</v>
      </c>
      <c r="I1735" s="3">
        <v>135.0</v>
      </c>
      <c r="J1735" s="3"/>
      <c r="K1735" s="5"/>
      <c r="L1735" s="6"/>
      <c r="M1735" s="6" t="str">
        <f>IF(D1735&lt;&gt;"",VLOOKUP(H1735,TABLEITEM,3,FALSE),"")</f>
        <v>เสาเชื่อม2125x40x50</v>
      </c>
      <c r="N1735" s="7">
        <f>INSTOCK!$I1735*INSTOCK!$K1735</f>
        <v>0</v>
      </c>
      <c r="O1735" s="2"/>
      <c r="P1735" s="2"/>
    </row>
    <row r="1736" ht="18.0" hidden="1" customHeight="1">
      <c r="A1736" s="1"/>
      <c r="B1736" s="3"/>
      <c r="C1736" s="4">
        <v>43705.0</v>
      </c>
      <c r="D1736" s="2" t="s">
        <v>2194</v>
      </c>
      <c r="E1736" s="2"/>
      <c r="F1736" s="3" t="s">
        <v>161</v>
      </c>
      <c r="G1736" s="2" t="s">
        <v>456</v>
      </c>
      <c r="H1736" s="2" t="s">
        <v>2195</v>
      </c>
      <c r="I1736" s="3">
        <v>34.0</v>
      </c>
      <c r="J1736" s="3"/>
      <c r="K1736" s="5"/>
      <c r="L1736" s="6"/>
      <c r="M1736" s="6" t="str">
        <f>IF(D1736&lt;&gt;"",VLOOKUP(H1736,TABLEITEM,3,FALSE),"")</f>
        <v>ขายึดเทอมีนอลT1.6</v>
      </c>
      <c r="N1736" s="7">
        <f>INSTOCK!$I1736*INSTOCK!$K1736</f>
        <v>0</v>
      </c>
      <c r="O1736" s="2"/>
      <c r="P1736" s="2"/>
    </row>
    <row r="1737" ht="18.0" hidden="1" customHeight="1">
      <c r="A1737" s="1"/>
      <c r="B1737" s="3"/>
      <c r="C1737" s="4">
        <v>43710.0</v>
      </c>
      <c r="D1737" s="2" t="s">
        <v>2196</v>
      </c>
      <c r="E1737" s="2">
        <v>6.208001273E9</v>
      </c>
      <c r="F1737" s="3" t="s">
        <v>161</v>
      </c>
      <c r="G1737" s="2" t="s">
        <v>165</v>
      </c>
      <c r="H1737" s="2" t="s">
        <v>75</v>
      </c>
      <c r="I1737" s="3">
        <v>5.0</v>
      </c>
      <c r="J1737" s="3"/>
      <c r="K1737" s="5">
        <v>3450.0</v>
      </c>
      <c r="L1737" s="6"/>
      <c r="M1737" s="6" t="str">
        <f>IF(D1737&lt;&gt;"",VLOOKUP(H1737,TABLEITEM,3,FALSE),"")</f>
        <v>แผ่นเบกไลท์ 1220x2440T5.0</v>
      </c>
      <c r="N1737" s="7">
        <f>INSTOCK!$I1737*INSTOCK!$K1737</f>
        <v>17250</v>
      </c>
      <c r="O1737" s="2"/>
      <c r="P1737" s="2"/>
    </row>
    <row r="1738" ht="18.0" hidden="1" customHeight="1">
      <c r="A1738" s="1"/>
      <c r="B1738" s="3"/>
      <c r="C1738" s="4">
        <v>43710.0</v>
      </c>
      <c r="D1738" s="2" t="s">
        <v>2196</v>
      </c>
      <c r="E1738" s="2">
        <v>6.208001273E9</v>
      </c>
      <c r="F1738" s="3" t="s">
        <v>161</v>
      </c>
      <c r="G1738" s="2" t="s">
        <v>165</v>
      </c>
      <c r="H1738" s="2" t="s">
        <v>1943</v>
      </c>
      <c r="I1738" s="3">
        <v>5.0</v>
      </c>
      <c r="J1738" s="3"/>
      <c r="K1738" s="5">
        <v>1500.0</v>
      </c>
      <c r="L1738" s="6"/>
      <c r="M1738" s="6" t="str">
        <f>IF(D1738&lt;&gt;"",VLOOKUP(H1738,TABLEITEM,3,FALSE),"")</f>
        <v>แผ่น PVC ใส 4x8 หนา 3.0 มิล</v>
      </c>
      <c r="N1738" s="7">
        <f>INSTOCK!$I1738*INSTOCK!$K1738</f>
        <v>7500</v>
      </c>
      <c r="O1738" s="2"/>
      <c r="P1738" s="2"/>
    </row>
    <row r="1739" ht="18.0" hidden="1" customHeight="1">
      <c r="A1739" s="1"/>
      <c r="B1739" s="3"/>
      <c r="C1739" s="4">
        <v>43696.0</v>
      </c>
      <c r="D1739" s="2" t="s">
        <v>2197</v>
      </c>
      <c r="E1739" s="2">
        <v>6.208001283E9</v>
      </c>
      <c r="F1739" s="3" t="s">
        <v>2198</v>
      </c>
      <c r="G1739" s="2" t="s">
        <v>733</v>
      </c>
      <c r="H1739" s="2" t="s">
        <v>2199</v>
      </c>
      <c r="I1739" s="3">
        <v>2.0</v>
      </c>
      <c r="J1739" s="3"/>
      <c r="K1739" s="5">
        <v>35.0</v>
      </c>
      <c r="L1739" s="6"/>
      <c r="M1739" s="6" t="str">
        <f>IF(D1739&lt;&gt;"",VLOOKUP(H1739,TABLEITEM,3,FALSE),"")</f>
        <v>กระจกใส 364x304 หนา 3.0มิล</v>
      </c>
      <c r="N1739" s="7">
        <f>INSTOCK!$I1739*INSTOCK!$K1739</f>
        <v>70</v>
      </c>
      <c r="O1739" s="2"/>
      <c r="P1739" s="2"/>
    </row>
    <row r="1740" ht="18.0" hidden="1" customHeight="1">
      <c r="A1740" s="1"/>
      <c r="B1740" s="3"/>
      <c r="C1740" s="4">
        <v>43694.0</v>
      </c>
      <c r="D1740" s="2" t="s">
        <v>2200</v>
      </c>
      <c r="E1740" s="2">
        <v>6.208001283E9</v>
      </c>
      <c r="F1740" s="3" t="s">
        <v>2201</v>
      </c>
      <c r="G1740" s="2" t="s">
        <v>733</v>
      </c>
      <c r="H1740" s="2" t="s">
        <v>2202</v>
      </c>
      <c r="I1740" s="3">
        <v>4.0</v>
      </c>
      <c r="J1740" s="3"/>
      <c r="K1740" s="5">
        <v>56.0</v>
      </c>
      <c r="L1740" s="6"/>
      <c r="M1740" s="6" t="str">
        <f>IF(D1740&lt;&gt;"",VLOOKUP(H1740,TABLEITEM,3,FALSE),"")</f>
        <v>กระจกใส 314x314 หนา 3.0มิล</v>
      </c>
      <c r="N1740" s="7">
        <f>INSTOCK!$I1740*INSTOCK!$K1740</f>
        <v>224</v>
      </c>
      <c r="O1740" s="2"/>
      <c r="P1740" s="2"/>
    </row>
    <row r="1741" ht="18.0" hidden="1" customHeight="1">
      <c r="A1741" s="1"/>
      <c r="B1741" s="3"/>
      <c r="C1741" s="4">
        <v>43700.0</v>
      </c>
      <c r="D1741" s="2" t="s">
        <v>2203</v>
      </c>
      <c r="E1741" s="2">
        <v>6.208001283E9</v>
      </c>
      <c r="F1741" s="3" t="s">
        <v>2204</v>
      </c>
      <c r="G1741" s="2" t="s">
        <v>733</v>
      </c>
      <c r="H1741" s="2" t="s">
        <v>2205</v>
      </c>
      <c r="I1741" s="3">
        <v>1.0</v>
      </c>
      <c r="J1741" s="3"/>
      <c r="K1741" s="5">
        <v>30.0</v>
      </c>
      <c r="L1741" s="6"/>
      <c r="M1741" s="6" t="str">
        <f>IF(D1741&lt;&gt;"",VLOOKUP(H1741,TABLEITEM,3,FALSE),"")</f>
        <v>กระจกใส 212x272 หนา 5.0มิล</v>
      </c>
      <c r="N1741" s="7">
        <f>INSTOCK!$I1741*INSTOCK!$K1741</f>
        <v>30</v>
      </c>
      <c r="O1741" s="2"/>
      <c r="P1741" s="2"/>
    </row>
    <row r="1742" ht="18.0" hidden="1" customHeight="1">
      <c r="A1742" s="1"/>
      <c r="B1742" s="3"/>
      <c r="C1742" s="4">
        <v>43700.0</v>
      </c>
      <c r="D1742" s="2" t="s">
        <v>2203</v>
      </c>
      <c r="E1742" s="2">
        <v>6.208001283E9</v>
      </c>
      <c r="F1742" s="3" t="s">
        <v>2206</v>
      </c>
      <c r="G1742" s="2" t="s">
        <v>733</v>
      </c>
      <c r="H1742" s="2" t="s">
        <v>2207</v>
      </c>
      <c r="I1742" s="3">
        <v>1.0</v>
      </c>
      <c r="J1742" s="3"/>
      <c r="K1742" s="5">
        <v>38.0</v>
      </c>
      <c r="L1742" s="6"/>
      <c r="M1742" s="6" t="str">
        <f>IF(D1742&lt;&gt;"",VLOOKUP(H1742,TABLEITEM,3,FALSE),"")</f>
        <v>กระจกใส 294x414 หนา 3.0มิล</v>
      </c>
      <c r="N1742" s="7">
        <f>INSTOCK!$I1742*INSTOCK!$K1742</f>
        <v>38</v>
      </c>
      <c r="O1742" s="2"/>
      <c r="P1742" s="2"/>
    </row>
    <row r="1743" ht="18.0" hidden="1" customHeight="1">
      <c r="A1743" s="1"/>
      <c r="B1743" s="3"/>
      <c r="C1743" s="4">
        <v>43700.0</v>
      </c>
      <c r="D1743" s="2" t="s">
        <v>2208</v>
      </c>
      <c r="E1743" s="2">
        <v>6.208001283E9</v>
      </c>
      <c r="F1743" s="3" t="s">
        <v>2209</v>
      </c>
      <c r="G1743" s="2" t="s">
        <v>733</v>
      </c>
      <c r="H1743" s="2" t="s">
        <v>1454</v>
      </c>
      <c r="I1743" s="3">
        <v>3.0</v>
      </c>
      <c r="J1743" s="3"/>
      <c r="K1743" s="5">
        <v>25.0</v>
      </c>
      <c r="L1743" s="6"/>
      <c r="M1743" s="6" t="str">
        <f>IF(D1743&lt;&gt;"",VLOOKUP(H1743,TABLEITEM,3,FALSE),"")</f>
        <v>กระจก132X132T3.0</v>
      </c>
      <c r="N1743" s="7">
        <f>INSTOCK!$I1743*INSTOCK!$K1743</f>
        <v>75</v>
      </c>
      <c r="O1743" s="2"/>
      <c r="P1743" s="2"/>
    </row>
    <row r="1744" ht="18.0" hidden="1" customHeight="1">
      <c r="A1744" s="1"/>
      <c r="B1744" s="3"/>
      <c r="C1744" s="4">
        <v>43700.0</v>
      </c>
      <c r="D1744" s="2" t="s">
        <v>2208</v>
      </c>
      <c r="E1744" s="2">
        <v>6.208001283E9</v>
      </c>
      <c r="F1744" s="3" t="s">
        <v>2209</v>
      </c>
      <c r="G1744" s="2" t="s">
        <v>733</v>
      </c>
      <c r="H1744" s="2" t="s">
        <v>1201</v>
      </c>
      <c r="I1744" s="3">
        <v>1.0</v>
      </c>
      <c r="J1744" s="3"/>
      <c r="K1744" s="5">
        <v>90.0</v>
      </c>
      <c r="L1744" s="6"/>
      <c r="M1744" s="6" t="str">
        <f>IF(D1744&lt;&gt;"",VLOOKUP(H1744,TABLEITEM,3,FALSE),"")</f>
        <v>กระจก312x512T5.0</v>
      </c>
      <c r="N1744" s="7">
        <f>INSTOCK!$I1744*INSTOCK!$K1744</f>
        <v>90</v>
      </c>
      <c r="O1744" s="2"/>
      <c r="P1744" s="2"/>
    </row>
    <row r="1745" ht="18.0" hidden="1" customHeight="1">
      <c r="A1745" s="1"/>
      <c r="B1745" s="3"/>
      <c r="C1745" s="4">
        <v>43706.0</v>
      </c>
      <c r="D1745" s="2" t="s">
        <v>2210</v>
      </c>
      <c r="E1745" s="2">
        <v>6.208001272E9</v>
      </c>
      <c r="F1745" s="3" t="s">
        <v>2211</v>
      </c>
      <c r="G1745" s="2" t="s">
        <v>202</v>
      </c>
      <c r="H1745" s="2" t="s">
        <v>57</v>
      </c>
      <c r="I1745" s="3">
        <v>3.0</v>
      </c>
      <c r="J1745" s="3"/>
      <c r="K1745" s="5">
        <v>4600.0</v>
      </c>
      <c r="L1745" s="6"/>
      <c r="M1745" s="6" t="str">
        <f>IF(D1745&lt;&gt;"",VLOOKUP(H1745,TABLEITEM,3,FALSE),"")</f>
        <v>เหล็กแผ่นดำ4'x8'T9.0</v>
      </c>
      <c r="N1745" s="7">
        <f>INSTOCK!$I1745*INSTOCK!$K1745</f>
        <v>13800</v>
      </c>
      <c r="O1745" s="2"/>
      <c r="P1745" s="2"/>
    </row>
    <row r="1746" ht="18.0" hidden="1" customHeight="1">
      <c r="A1746" s="1"/>
      <c r="B1746" s="3"/>
      <c r="C1746" s="4">
        <v>43706.0</v>
      </c>
      <c r="D1746" s="2" t="s">
        <v>2161</v>
      </c>
      <c r="E1746" s="2"/>
      <c r="F1746" s="3" t="s">
        <v>161</v>
      </c>
      <c r="G1746" s="2" t="s">
        <v>456</v>
      </c>
      <c r="H1746" s="2" t="s">
        <v>495</v>
      </c>
      <c r="I1746" s="3">
        <v>210.0</v>
      </c>
      <c r="J1746" s="3"/>
      <c r="K1746" s="5"/>
      <c r="L1746" s="6"/>
      <c r="M1746" s="6" t="str">
        <f>IF(D1746&lt;&gt;"",VLOOKUP(H1746,TABLEITEM,3,FALSE),"")</f>
        <v>คานเชื่อม800</v>
      </c>
      <c r="N1746" s="7">
        <f>INSTOCK!$I1746*INSTOCK!$K1746</f>
        <v>0</v>
      </c>
      <c r="O1746" s="2"/>
      <c r="P1746" s="2"/>
    </row>
    <row r="1747" ht="18.0" hidden="1" customHeight="1">
      <c r="A1747" s="1"/>
      <c r="B1747" s="3"/>
      <c r="C1747" s="4">
        <v>43706.0</v>
      </c>
      <c r="D1747" s="2" t="s">
        <v>2141</v>
      </c>
      <c r="E1747" s="2"/>
      <c r="F1747" s="3" t="s">
        <v>161</v>
      </c>
      <c r="G1747" s="2" t="s">
        <v>456</v>
      </c>
      <c r="H1747" s="2" t="s">
        <v>652</v>
      </c>
      <c r="I1747" s="3">
        <v>119.0</v>
      </c>
      <c r="J1747" s="3"/>
      <c r="K1747" s="5"/>
      <c r="L1747" s="6"/>
      <c r="M1747" s="6" t="str">
        <f>IF(D1747&lt;&gt;"",VLOOKUP(H1747,TABLEITEM,3,FALSE),"")</f>
        <v>ขายึดเทอมีนอล146x136</v>
      </c>
      <c r="N1747" s="7">
        <f>INSTOCK!$I1747*INSTOCK!$K1747</f>
        <v>0</v>
      </c>
      <c r="O1747" s="2"/>
      <c r="P1747" s="2"/>
    </row>
    <row r="1748" ht="18.0" hidden="1" customHeight="1">
      <c r="A1748" s="1"/>
      <c r="B1748" s="3"/>
      <c r="C1748" s="4">
        <v>43706.0</v>
      </c>
      <c r="D1748" s="2" t="s">
        <v>2167</v>
      </c>
      <c r="E1748" s="2"/>
      <c r="F1748" s="3" t="s">
        <v>161</v>
      </c>
      <c r="G1748" s="2" t="s">
        <v>456</v>
      </c>
      <c r="H1748" s="2" t="s">
        <v>626</v>
      </c>
      <c r="I1748" s="3">
        <v>120.0</v>
      </c>
      <c r="J1748" s="3"/>
      <c r="K1748" s="5"/>
      <c r="L1748" s="6"/>
      <c r="M1748" s="6" t="str">
        <f>IF(D1748&lt;&gt;"",VLOOKUP(H1748,TABLEITEM,3,FALSE),"")</f>
        <v>คานเจ 2รู 65x32x454</v>
      </c>
      <c r="N1748" s="7">
        <f>INSTOCK!$I1748*INSTOCK!$K1748</f>
        <v>0</v>
      </c>
      <c r="O1748" s="2"/>
      <c r="P1748" s="2"/>
    </row>
    <row r="1749" ht="18.0" hidden="1" customHeight="1">
      <c r="A1749" s="1"/>
      <c r="B1749" s="3"/>
      <c r="C1749" s="4">
        <v>43706.0</v>
      </c>
      <c r="D1749" s="2" t="s">
        <v>2212</v>
      </c>
      <c r="E1749" s="2"/>
      <c r="F1749" s="3" t="s">
        <v>161</v>
      </c>
      <c r="G1749" s="2" t="s">
        <v>456</v>
      </c>
      <c r="H1749" s="2" t="s">
        <v>2213</v>
      </c>
      <c r="I1749" s="3">
        <v>43.0</v>
      </c>
      <c r="J1749" s="3"/>
      <c r="K1749" s="5"/>
      <c r="L1749" s="6"/>
      <c r="M1749" s="6" t="str">
        <f>IF(D1749&lt;&gt;"",VLOOKUP(H1749,TABLEITEM,3,FALSE),"")</f>
        <v>คานยืดหลอดไฟ 40x720</v>
      </c>
      <c r="N1749" s="7">
        <f>INSTOCK!$I1749*INSTOCK!$K1749</f>
        <v>0</v>
      </c>
      <c r="O1749" s="2"/>
      <c r="P1749" s="2"/>
    </row>
    <row r="1750" ht="18.0" hidden="1" customHeight="1">
      <c r="A1750" s="1"/>
      <c r="B1750" s="3"/>
      <c r="C1750" s="4">
        <v>43706.0</v>
      </c>
      <c r="D1750" s="2" t="s">
        <v>2214</v>
      </c>
      <c r="E1750" s="2"/>
      <c r="F1750" s="3" t="s">
        <v>161</v>
      </c>
      <c r="G1750" s="2" t="s">
        <v>456</v>
      </c>
      <c r="H1750" s="2" t="s">
        <v>731</v>
      </c>
      <c r="I1750" s="3">
        <v>52.0</v>
      </c>
      <c r="J1750" s="3"/>
      <c r="K1750" s="5"/>
      <c r="L1750" s="6"/>
      <c r="M1750" s="6" t="str">
        <f>IF(D1750&lt;&gt;"",VLOOKUP(H1750,TABLEITEM,3,FALSE),"")</f>
        <v>คานยืดหลอดไฟ 40x620</v>
      </c>
      <c r="N1750" s="7">
        <f>INSTOCK!$I1750*INSTOCK!$K1750</f>
        <v>0</v>
      </c>
      <c r="O1750" s="2"/>
      <c r="P1750" s="2"/>
    </row>
    <row r="1751" ht="18.0" hidden="1" customHeight="1">
      <c r="A1751" s="1"/>
      <c r="B1751" s="3"/>
      <c r="C1751" s="4">
        <v>43706.0</v>
      </c>
      <c r="D1751" s="2" t="s">
        <v>2215</v>
      </c>
      <c r="E1751" s="2"/>
      <c r="F1751" s="3" t="s">
        <v>161</v>
      </c>
      <c r="G1751" s="2" t="s">
        <v>456</v>
      </c>
      <c r="H1751" s="2" t="s">
        <v>561</v>
      </c>
      <c r="I1751" s="3">
        <v>50.0</v>
      </c>
      <c r="J1751" s="3"/>
      <c r="K1751" s="5"/>
      <c r="L1751" s="6"/>
      <c r="M1751" s="6" t="str">
        <f>IF(D1751&lt;&gt;"",VLOOKUP(H1751,TABLEITEM,3,FALSE),"")</f>
        <v>คานยืดหลอดไฟ 40x520</v>
      </c>
      <c r="N1751" s="7">
        <f>INSTOCK!$I1751*INSTOCK!$K1751</f>
        <v>0</v>
      </c>
      <c r="O1751" s="2"/>
      <c r="P1751" s="2"/>
    </row>
    <row r="1752" ht="18.0" hidden="1" customHeight="1">
      <c r="A1752" s="1"/>
      <c r="B1752" s="3"/>
      <c r="C1752" s="4">
        <v>43706.0</v>
      </c>
      <c r="D1752" s="2" t="s">
        <v>2216</v>
      </c>
      <c r="E1752" s="2">
        <v>6.208001279E9</v>
      </c>
      <c r="F1752" s="3" t="s">
        <v>2217</v>
      </c>
      <c r="G1752" s="2" t="s">
        <v>153</v>
      </c>
      <c r="H1752" s="2" t="s">
        <v>1652</v>
      </c>
      <c r="I1752" s="3">
        <v>24.0</v>
      </c>
      <c r="J1752" s="3" t="s">
        <v>78</v>
      </c>
      <c r="K1752" s="5">
        <v>101.6667</v>
      </c>
      <c r="L1752" s="6"/>
      <c r="M1752" s="6" t="str">
        <f>IF(D1752&lt;&gt;"",VLOOKUP(H1752,TABLEITEM,3,FALSE),"")</f>
        <v>เหล็กกล่อง2''หนา3.2มิล</v>
      </c>
      <c r="N1752" s="7">
        <f>INSTOCK!$I1752*INSTOCK!$K1752</f>
        <v>2440.0008</v>
      </c>
      <c r="O1752" s="2"/>
      <c r="P1752" s="2"/>
    </row>
    <row r="1753" ht="18.0" hidden="1" customHeight="1">
      <c r="A1753" s="1"/>
      <c r="B1753" s="3"/>
      <c r="C1753" s="4">
        <v>43708.0</v>
      </c>
      <c r="D1753" s="2" t="s">
        <v>2172</v>
      </c>
      <c r="E1753" s="2"/>
      <c r="F1753" s="3" t="s">
        <v>161</v>
      </c>
      <c r="G1753" s="2" t="s">
        <v>456</v>
      </c>
      <c r="H1753" s="2" t="s">
        <v>653</v>
      </c>
      <c r="I1753" s="3">
        <v>20.0</v>
      </c>
      <c r="J1753" s="3"/>
      <c r="K1753" s="5"/>
      <c r="L1753" s="6"/>
      <c r="M1753" s="6" t="str">
        <f>IF(D1753&lt;&gt;"",VLOOKUP(H1753,TABLEITEM,3,FALSE),"")</f>
        <v>ฝาข้าง-ฝาหลัง 2075x970</v>
      </c>
      <c r="N1753" s="7">
        <f>INSTOCK!$I1753*INSTOCK!$K1753</f>
        <v>0</v>
      </c>
      <c r="O1753" s="2"/>
      <c r="P1753" s="2"/>
    </row>
    <row r="1754" ht="18.0" hidden="1" customHeight="1">
      <c r="A1754" s="1"/>
      <c r="B1754" s="3"/>
      <c r="C1754" s="4">
        <v>43708.0</v>
      </c>
      <c r="D1754" s="2" t="s">
        <v>2172</v>
      </c>
      <c r="E1754" s="2"/>
      <c r="F1754" s="3" t="s">
        <v>161</v>
      </c>
      <c r="G1754" s="2" t="s">
        <v>456</v>
      </c>
      <c r="H1754" s="2" t="s">
        <v>481</v>
      </c>
      <c r="I1754" s="3">
        <v>15.0</v>
      </c>
      <c r="J1754" s="3"/>
      <c r="K1754" s="5"/>
      <c r="L1754" s="6"/>
      <c r="M1754" s="6" t="str">
        <f>IF(D1754&lt;&gt;"",VLOOKUP(H1754,TABLEITEM,3,FALSE),"")</f>
        <v>ฝาข้าง-ฝาหลัง 2075x870</v>
      </c>
      <c r="N1754" s="7">
        <f>INSTOCK!$I1754*INSTOCK!$K1754</f>
        <v>0</v>
      </c>
      <c r="O1754" s="2"/>
      <c r="P1754" s="2"/>
    </row>
    <row r="1755" ht="18.0" hidden="1" customHeight="1">
      <c r="A1755" s="1"/>
      <c r="B1755" s="3"/>
      <c r="C1755" s="4">
        <v>43708.0</v>
      </c>
      <c r="D1755" s="2" t="s">
        <v>2142</v>
      </c>
      <c r="E1755" s="2"/>
      <c r="F1755" s="3" t="s">
        <v>161</v>
      </c>
      <c r="G1755" s="2" t="s">
        <v>456</v>
      </c>
      <c r="H1755" s="2" t="s">
        <v>461</v>
      </c>
      <c r="I1755" s="3">
        <v>20.0</v>
      </c>
      <c r="J1755" s="3"/>
      <c r="K1755" s="5"/>
      <c r="L1755" s="6"/>
      <c r="M1755" s="6" t="str">
        <f>IF(D1755&lt;&gt;"",VLOOKUP(H1755,TABLEITEM,3,FALSE),"")</f>
        <v>ฝารูเปเปอร์ 2101x797เกล็ด</v>
      </c>
      <c r="N1755" s="7">
        <f>INSTOCK!$I1755*INSTOCK!$K1755</f>
        <v>0</v>
      </c>
      <c r="O1755" s="2"/>
      <c r="P1755" s="2"/>
    </row>
    <row r="1756" ht="18.0" hidden="1" customHeight="1">
      <c r="A1756" s="1"/>
      <c r="B1756" s="3"/>
      <c r="C1756" s="4">
        <v>43708.0</v>
      </c>
      <c r="D1756" s="2" t="s">
        <v>2160</v>
      </c>
      <c r="E1756" s="2"/>
      <c r="F1756" s="3" t="s">
        <v>161</v>
      </c>
      <c r="G1756" s="2" t="s">
        <v>456</v>
      </c>
      <c r="H1756" s="2" t="s">
        <v>584</v>
      </c>
      <c r="I1756" s="3">
        <v>56.0</v>
      </c>
      <c r="J1756" s="3"/>
      <c r="K1756" s="5"/>
      <c r="L1756" s="6"/>
      <c r="M1756" s="6" t="str">
        <f>IF(D1756&lt;&gt;"",VLOOKUP(H1756,TABLEITEM,3,FALSE),"")</f>
        <v>ฉากรับเพลท 40x30x1988</v>
      </c>
      <c r="N1756" s="7">
        <f>INSTOCK!$I1756*INSTOCK!$K1756</f>
        <v>0</v>
      </c>
      <c r="O1756" s="2"/>
      <c r="P1756" s="2"/>
    </row>
    <row r="1757" ht="18.0" hidden="1" customHeight="1">
      <c r="A1757" s="1"/>
      <c r="B1757" s="3"/>
      <c r="C1757" s="4">
        <v>43704.0</v>
      </c>
      <c r="D1757" s="2" t="s">
        <v>2218</v>
      </c>
      <c r="E1757" s="2">
        <v>6.209001299E9</v>
      </c>
      <c r="F1757" s="3" t="s">
        <v>2219</v>
      </c>
      <c r="G1757" s="2" t="s">
        <v>733</v>
      </c>
      <c r="H1757" s="2" t="s">
        <v>1454</v>
      </c>
      <c r="I1757" s="3">
        <v>6.0</v>
      </c>
      <c r="J1757" s="3"/>
      <c r="K1757" s="5">
        <v>25.0</v>
      </c>
      <c r="L1757" s="6"/>
      <c r="M1757" s="6" t="str">
        <f>IF(D1757&lt;&gt;"",VLOOKUP(H1757,TABLEITEM,3,FALSE),"")</f>
        <v>กระจก132X132T3.0</v>
      </c>
      <c r="N1757" s="7">
        <f>INSTOCK!$I1757*INSTOCK!$K1757</f>
        <v>150</v>
      </c>
      <c r="O1757" s="2"/>
      <c r="P1757" s="2"/>
    </row>
    <row r="1758" ht="18.0" hidden="1" customHeight="1">
      <c r="A1758" s="1"/>
      <c r="B1758" s="3"/>
      <c r="C1758" s="4">
        <v>43699.0</v>
      </c>
      <c r="D1758" s="2" t="s">
        <v>2220</v>
      </c>
      <c r="E1758" s="2">
        <v>6.209001299E9</v>
      </c>
      <c r="F1758" s="3" t="s">
        <v>2221</v>
      </c>
      <c r="G1758" s="2" t="s">
        <v>733</v>
      </c>
      <c r="H1758" s="2" t="s">
        <v>2222</v>
      </c>
      <c r="I1758" s="3">
        <v>2.0</v>
      </c>
      <c r="J1758" s="3"/>
      <c r="K1758" s="5">
        <v>150.0</v>
      </c>
      <c r="L1758" s="6"/>
      <c r="M1758" s="6" t="str">
        <f>IF(D1758&lt;&gt;"",VLOOKUP(H1758,TABLEITEM,3,FALSE),"")</f>
        <v>กระจกใส 462x662 หนา 5.0มิล</v>
      </c>
      <c r="N1758" s="7">
        <f>INSTOCK!$I1758*INSTOCK!$K1758</f>
        <v>300</v>
      </c>
      <c r="O1758" s="2"/>
      <c r="P1758" s="2"/>
    </row>
    <row r="1759" ht="18.0" hidden="1" customHeight="1">
      <c r="A1759" s="1"/>
      <c r="B1759" s="3"/>
      <c r="C1759" s="4">
        <v>43699.0</v>
      </c>
      <c r="D1759" s="2" t="s">
        <v>2220</v>
      </c>
      <c r="E1759" s="2">
        <v>6.209001299E9</v>
      </c>
      <c r="F1759" s="3" t="s">
        <v>2223</v>
      </c>
      <c r="G1759" s="2" t="s">
        <v>733</v>
      </c>
      <c r="H1759" s="2" t="s">
        <v>2224</v>
      </c>
      <c r="I1759" s="3">
        <v>5.0</v>
      </c>
      <c r="J1759" s="3"/>
      <c r="K1759" s="5">
        <v>75.0</v>
      </c>
      <c r="L1759" s="6"/>
      <c r="M1759" s="6" t="str">
        <f>IF(D1759&lt;&gt;"",VLOOKUP(H1759,TABLEITEM,3,FALSE),"")</f>
        <v>กระจกใส 412x562 หนา 3.0มิล</v>
      </c>
      <c r="N1759" s="7">
        <f>INSTOCK!$I1759*INSTOCK!$K1759</f>
        <v>375</v>
      </c>
      <c r="O1759" s="2"/>
      <c r="P1759" s="2"/>
    </row>
    <row r="1760" ht="18.0" hidden="1" customHeight="1">
      <c r="A1760" s="1"/>
      <c r="B1760" s="3"/>
      <c r="C1760" s="4">
        <v>43699.0</v>
      </c>
      <c r="D1760" s="2" t="s">
        <v>2225</v>
      </c>
      <c r="E1760" s="2">
        <v>6.209001299E9</v>
      </c>
      <c r="F1760" s="3" t="s">
        <v>2226</v>
      </c>
      <c r="G1760" s="2" t="s">
        <v>733</v>
      </c>
      <c r="H1760" s="2" t="s">
        <v>2227</v>
      </c>
      <c r="I1760" s="3">
        <v>1.0</v>
      </c>
      <c r="J1760" s="3"/>
      <c r="K1760" s="5">
        <v>35.0</v>
      </c>
      <c r="L1760" s="6"/>
      <c r="M1760" s="6" t="str">
        <f>IF(D1760&lt;&gt;"",VLOOKUP(H1760,TABLEITEM,3,FALSE),"")</f>
        <v>กระจกใส 242x362 หนา 5.0มิล</v>
      </c>
      <c r="N1760" s="7">
        <f>INSTOCK!$I1760*INSTOCK!$K1760</f>
        <v>35</v>
      </c>
      <c r="O1760" s="2"/>
      <c r="P1760" s="2"/>
    </row>
    <row r="1761" ht="18.0" hidden="1" customHeight="1">
      <c r="A1761" s="1"/>
      <c r="B1761" s="3"/>
      <c r="C1761" s="4">
        <v>43706.0</v>
      </c>
      <c r="D1761" s="2" t="s">
        <v>2228</v>
      </c>
      <c r="E1761" s="2">
        <v>6.209001299E9</v>
      </c>
      <c r="F1761" s="3" t="s">
        <v>2188</v>
      </c>
      <c r="G1761" s="2" t="s">
        <v>733</v>
      </c>
      <c r="H1761" s="2" t="s">
        <v>2229</v>
      </c>
      <c r="I1761" s="3">
        <v>3.0</v>
      </c>
      <c r="J1761" s="3"/>
      <c r="K1761" s="5">
        <v>30.0</v>
      </c>
      <c r="L1761" s="6"/>
      <c r="M1761" s="6" t="str">
        <f>IF(D1761&lt;&gt;"",VLOOKUP(H1761,TABLEITEM,3,FALSE),"")</f>
        <v>กระจกใส 110x260 หนา 5.0มิล</v>
      </c>
      <c r="N1761" s="7">
        <f>INSTOCK!$I1761*INSTOCK!$K1761</f>
        <v>90</v>
      </c>
      <c r="O1761" s="2"/>
      <c r="P1761" s="2"/>
    </row>
    <row r="1762" ht="18.0" hidden="1" customHeight="1">
      <c r="A1762" s="1"/>
      <c r="B1762" s="3"/>
      <c r="C1762" s="4">
        <v>43736.0</v>
      </c>
      <c r="D1762" s="2" t="s">
        <v>2230</v>
      </c>
      <c r="E1762" s="2">
        <v>6.209001299E9</v>
      </c>
      <c r="F1762" s="3" t="s">
        <v>2231</v>
      </c>
      <c r="G1762" s="2" t="s">
        <v>733</v>
      </c>
      <c r="H1762" s="2" t="s">
        <v>2232</v>
      </c>
      <c r="I1762" s="3">
        <v>1.0</v>
      </c>
      <c r="J1762" s="3"/>
      <c r="K1762" s="5">
        <v>180.0</v>
      </c>
      <c r="L1762" s="6"/>
      <c r="M1762" s="6" t="str">
        <f>IF(D1762&lt;&gt;"",VLOOKUP(H1762,TABLEITEM,3,FALSE),"")</f>
        <v>กระจกใส 462x812 หนา 5.0มิล</v>
      </c>
      <c r="N1762" s="7">
        <f>INSTOCK!$I1762*INSTOCK!$K1762</f>
        <v>180</v>
      </c>
      <c r="O1762" s="2"/>
      <c r="P1762" s="2"/>
    </row>
    <row r="1763" ht="18.0" hidden="1" customHeight="1">
      <c r="A1763" s="1"/>
      <c r="B1763" s="3"/>
      <c r="C1763" s="4">
        <v>43736.0</v>
      </c>
      <c r="D1763" s="2" t="s">
        <v>2230</v>
      </c>
      <c r="E1763" s="2">
        <v>6.209001299E9</v>
      </c>
      <c r="F1763" s="3" t="s">
        <v>2231</v>
      </c>
      <c r="G1763" s="2" t="s">
        <v>733</v>
      </c>
      <c r="H1763" s="2" t="s">
        <v>2233</v>
      </c>
      <c r="I1763" s="3">
        <v>1.0</v>
      </c>
      <c r="J1763" s="3"/>
      <c r="K1763" s="5">
        <v>90.0</v>
      </c>
      <c r="L1763" s="6"/>
      <c r="M1763" s="6" t="str">
        <f>IF(D1763&lt;&gt;"",VLOOKUP(H1763,TABLEITEM,3,FALSE),"")</f>
        <v>กระจกใส 312x532 หนา 5.0มิล</v>
      </c>
      <c r="N1763" s="7">
        <f>INSTOCK!$I1763*INSTOCK!$K1763</f>
        <v>90</v>
      </c>
      <c r="O1763" s="2"/>
      <c r="P1763" s="2"/>
    </row>
    <row r="1764" ht="18.0" hidden="1" customHeight="1">
      <c r="A1764" s="1"/>
      <c r="B1764" s="3"/>
      <c r="C1764" s="4">
        <v>43707.0</v>
      </c>
      <c r="D1764" s="2" t="s">
        <v>2234</v>
      </c>
      <c r="E1764" s="2">
        <v>6.208001288E9</v>
      </c>
      <c r="F1764" s="3" t="s">
        <v>2124</v>
      </c>
      <c r="G1764" s="2" t="s">
        <v>240</v>
      </c>
      <c r="H1764" s="2" t="s">
        <v>66</v>
      </c>
      <c r="I1764" s="3">
        <v>1.0</v>
      </c>
      <c r="J1764" s="3"/>
      <c r="K1764" s="5">
        <v>5000.0</v>
      </c>
      <c r="L1764" s="6"/>
      <c r="M1764" s="6" t="str">
        <f>IF(D1764&lt;&gt;"",VLOOKUP(H1764,TABLEITEM,3,FALSE),"")</f>
        <v>สแตนเลสแผ่น4'x8'T3.0</v>
      </c>
      <c r="N1764" s="7">
        <f>INSTOCK!$I1764*INSTOCK!$K1764</f>
        <v>5000</v>
      </c>
      <c r="O1764" s="2"/>
      <c r="P1764" s="2"/>
    </row>
    <row r="1765" ht="18.0" hidden="1" customHeight="1">
      <c r="A1765" s="1"/>
      <c r="B1765" s="3"/>
      <c r="C1765" s="4">
        <v>43346.0</v>
      </c>
      <c r="D1765" s="2" t="s">
        <v>2161</v>
      </c>
      <c r="E1765" s="2"/>
      <c r="F1765" s="3" t="s">
        <v>161</v>
      </c>
      <c r="G1765" s="2" t="s">
        <v>456</v>
      </c>
      <c r="H1765" s="2" t="s">
        <v>523</v>
      </c>
      <c r="I1765" s="3">
        <v>152.0</v>
      </c>
      <c r="J1765" s="3"/>
      <c r="K1765" s="5"/>
      <c r="L1765" s="6"/>
      <c r="M1765" s="6" t="str">
        <f>IF(D1765&lt;&gt;"",VLOOKUP(H1765,TABLEITEM,3,FALSE),"")</f>
        <v>คานเชื่อม1000</v>
      </c>
      <c r="N1765" s="7">
        <f>INSTOCK!$I1765*INSTOCK!$K1765</f>
        <v>0</v>
      </c>
      <c r="O1765" s="2"/>
      <c r="P1765" s="2"/>
    </row>
    <row r="1766" ht="18.0" hidden="1" customHeight="1">
      <c r="A1766" s="1"/>
      <c r="B1766" s="3"/>
      <c r="C1766" s="4">
        <v>43711.0</v>
      </c>
      <c r="D1766" s="2" t="s">
        <v>2165</v>
      </c>
      <c r="E1766" s="2"/>
      <c r="F1766" s="3" t="s">
        <v>161</v>
      </c>
      <c r="G1766" s="2" t="s">
        <v>456</v>
      </c>
      <c r="H1766" s="2" t="s">
        <v>621</v>
      </c>
      <c r="I1766" s="3">
        <v>100.0</v>
      </c>
      <c r="J1766" s="3"/>
      <c r="K1766" s="5"/>
      <c r="L1766" s="6"/>
      <c r="M1766" s="6" t="str">
        <f>IF(D1766&lt;&gt;"",VLOOKUP(H1766,TABLEITEM,3,FALSE),"")</f>
        <v>คานต่อโครง 80x45x3mmx620</v>
      </c>
      <c r="N1766" s="7">
        <f>INSTOCK!$I1766*INSTOCK!$K1766</f>
        <v>0</v>
      </c>
      <c r="O1766" s="2"/>
      <c r="P1766" s="2"/>
    </row>
    <row r="1767" ht="18.0" hidden="1" customHeight="1">
      <c r="A1767" s="1"/>
      <c r="B1767" s="3"/>
      <c r="C1767" s="4">
        <v>43713.0</v>
      </c>
      <c r="D1767" s="2" t="s">
        <v>2235</v>
      </c>
      <c r="E1767" s="2"/>
      <c r="F1767" s="3" t="s">
        <v>161</v>
      </c>
      <c r="G1767" s="2" t="s">
        <v>456</v>
      </c>
      <c r="H1767" s="2" t="s">
        <v>2236</v>
      </c>
      <c r="I1767" s="3">
        <v>29.0</v>
      </c>
      <c r="J1767" s="3"/>
      <c r="K1767" s="5"/>
      <c r="L1767" s="6"/>
      <c r="M1767" s="6" t="str">
        <f>IF(D1767&lt;&gt;"",VLOOKUP(H1767,TABLEITEM,3,FALSE),"")</f>
        <v>ขายึดเทอมีนอล150X197 4รู</v>
      </c>
      <c r="N1767" s="7">
        <f>INSTOCK!$I1767*INSTOCK!$K1767</f>
        <v>0</v>
      </c>
      <c r="O1767" s="2"/>
      <c r="P1767" s="2"/>
    </row>
    <row r="1768" ht="18.0" hidden="1" customHeight="1">
      <c r="A1768" s="1"/>
      <c r="B1768" s="3"/>
      <c r="C1768" s="4">
        <v>43714.0</v>
      </c>
      <c r="D1768" s="2" t="s">
        <v>2237</v>
      </c>
      <c r="E1768" s="2"/>
      <c r="F1768" s="3" t="s">
        <v>161</v>
      </c>
      <c r="G1768" s="2" t="s">
        <v>456</v>
      </c>
      <c r="H1768" s="2" t="s">
        <v>707</v>
      </c>
      <c r="I1768" s="3">
        <v>21.0</v>
      </c>
      <c r="J1768" s="3"/>
      <c r="K1768" s="5"/>
      <c r="L1768" s="6"/>
      <c r="M1768" s="6" t="str">
        <f>IF(D1768&lt;&gt;"",VLOOKUP(H1768,TABLEITEM,3,FALSE),"")</f>
        <v>ฝาข้าง-ฝาหลัง 1875x320</v>
      </c>
      <c r="N1768" s="7">
        <f>INSTOCK!$I1768*INSTOCK!$K1768</f>
        <v>0</v>
      </c>
      <c r="O1768" s="2"/>
      <c r="P1768" s="2"/>
    </row>
    <row r="1769" ht="18.0" hidden="1" customHeight="1">
      <c r="A1769" s="1"/>
      <c r="B1769" s="3"/>
      <c r="C1769" s="4">
        <v>43714.0</v>
      </c>
      <c r="D1769" s="2" t="s">
        <v>2238</v>
      </c>
      <c r="E1769" s="2"/>
      <c r="F1769" s="3" t="s">
        <v>161</v>
      </c>
      <c r="G1769" s="2" t="s">
        <v>456</v>
      </c>
      <c r="H1769" s="2" t="s">
        <v>534</v>
      </c>
      <c r="I1769" s="3">
        <v>223.0</v>
      </c>
      <c r="J1769" s="3"/>
      <c r="K1769" s="5"/>
      <c r="L1769" s="6"/>
      <c r="M1769" s="6" t="str">
        <f>IF(D1769&lt;&gt;"",VLOOKUP(H1769,TABLEITEM,3,FALSE),"")</f>
        <v>ตัวแซดยึดแผ่นพื้น 60x695</v>
      </c>
      <c r="N1769" s="7">
        <f>INSTOCK!$I1769*INSTOCK!$K1769</f>
        <v>0</v>
      </c>
      <c r="O1769" s="2"/>
      <c r="P1769" s="2"/>
    </row>
    <row r="1770" ht="18.0" hidden="1" customHeight="1">
      <c r="A1770" s="1"/>
      <c r="B1770" s="3"/>
      <c r="C1770" s="4">
        <v>43714.0</v>
      </c>
      <c r="D1770" s="2" t="s">
        <v>2238</v>
      </c>
      <c r="E1770" s="2"/>
      <c r="F1770" s="3" t="s">
        <v>161</v>
      </c>
      <c r="G1770" s="2" t="s">
        <v>456</v>
      </c>
      <c r="H1770" s="2" t="s">
        <v>629</v>
      </c>
      <c r="I1770" s="3">
        <v>11.0</v>
      </c>
      <c r="J1770" s="3"/>
      <c r="K1770" s="5"/>
      <c r="L1770" s="6"/>
      <c r="M1770" s="6" t="str">
        <f>IF(D1770&lt;&gt;"",VLOOKUP(H1770,TABLEITEM,3,FALSE),"")</f>
        <v>ตัวแซดยึดแผ่นพื้น 60x895</v>
      </c>
      <c r="N1770" s="7">
        <f>INSTOCK!$I1770*INSTOCK!$K1770</f>
        <v>0</v>
      </c>
      <c r="O1770" s="2"/>
      <c r="P1770" s="2"/>
    </row>
    <row r="1771" ht="18.0" hidden="1" customHeight="1">
      <c r="A1771" s="1"/>
      <c r="B1771" s="3"/>
      <c r="C1771" s="4">
        <v>43714.0</v>
      </c>
      <c r="D1771" s="2" t="s">
        <v>2164</v>
      </c>
      <c r="E1771" s="2"/>
      <c r="F1771" s="3" t="s">
        <v>161</v>
      </c>
      <c r="G1771" s="2" t="s">
        <v>456</v>
      </c>
      <c r="H1771" s="2" t="s">
        <v>477</v>
      </c>
      <c r="I1771" s="3">
        <v>97.0</v>
      </c>
      <c r="J1771" s="3"/>
      <c r="K1771" s="5"/>
      <c r="L1771" s="6"/>
      <c r="M1771" s="6" t="str">
        <f>IF(D1771&lt;&gt;"",VLOOKUP(H1771,TABLEITEM,3,FALSE),"")</f>
        <v>คานเจ 2รู 65x32x654</v>
      </c>
      <c r="N1771" s="7">
        <f>INSTOCK!$I1771*INSTOCK!$K1771</f>
        <v>0</v>
      </c>
      <c r="O1771" s="2"/>
      <c r="P1771" s="2"/>
    </row>
    <row r="1772" ht="18.0" hidden="1" customHeight="1">
      <c r="A1772" s="1"/>
      <c r="B1772" s="3"/>
      <c r="C1772" s="4">
        <v>43714.0</v>
      </c>
      <c r="D1772" s="2" t="s">
        <v>2126</v>
      </c>
      <c r="E1772" s="2"/>
      <c r="F1772" s="3" t="s">
        <v>161</v>
      </c>
      <c r="G1772" s="2" t="s">
        <v>456</v>
      </c>
      <c r="H1772" s="2" t="s">
        <v>491</v>
      </c>
      <c r="I1772" s="3">
        <v>90.0</v>
      </c>
      <c r="J1772" s="3"/>
      <c r="K1772" s="5"/>
      <c r="L1772" s="6"/>
      <c r="M1772" s="6" t="str">
        <f>IF(D1772&lt;&gt;"",VLOOKUP(H1772,TABLEITEM,3,FALSE),"")</f>
        <v>เสาเสริม 40x50x1988</v>
      </c>
      <c r="N1772" s="7">
        <f>INSTOCK!$I1772*INSTOCK!$K1772</f>
        <v>0</v>
      </c>
      <c r="O1772" s="2"/>
      <c r="P1772" s="2"/>
    </row>
    <row r="1773" ht="18.0" hidden="1" customHeight="1">
      <c r="A1773" s="1"/>
      <c r="B1773" s="3"/>
      <c r="C1773" s="4">
        <v>43710.0</v>
      </c>
      <c r="D1773" s="2" t="s">
        <v>2239</v>
      </c>
      <c r="E1773" s="2">
        <v>6.208001229E9</v>
      </c>
      <c r="F1773" s="3" t="s">
        <v>161</v>
      </c>
      <c r="G1773" s="2" t="s">
        <v>171</v>
      </c>
      <c r="H1773" s="2" t="s">
        <v>23</v>
      </c>
      <c r="I1773" s="3">
        <v>100.0</v>
      </c>
      <c r="J1773" s="3"/>
      <c r="K1773" s="5">
        <v>1225.9</v>
      </c>
      <c r="L1773" s="6"/>
      <c r="M1773" s="6" t="str">
        <f>IF(D1773&lt;&gt;"",VLOOKUP(H1773,TABLEITEM,3,FALSE),"")</f>
        <v>เหล็กแผ่นขาว4'x8'T2.3</v>
      </c>
      <c r="N1773" s="7">
        <f>INSTOCK!$I1773*INSTOCK!$K1773</f>
        <v>122590</v>
      </c>
      <c r="O1773" s="2" t="s">
        <v>2240</v>
      </c>
      <c r="P1773" s="2"/>
    </row>
    <row r="1774" ht="18.0" hidden="1" customHeight="1">
      <c r="A1774" s="1"/>
      <c r="B1774" s="3"/>
      <c r="C1774" s="4">
        <v>43710.0</v>
      </c>
      <c r="D1774" s="2" t="s">
        <v>2241</v>
      </c>
      <c r="E1774" s="2">
        <v>6.208001229E9</v>
      </c>
      <c r="F1774" s="3" t="s">
        <v>161</v>
      </c>
      <c r="G1774" s="2" t="s">
        <v>171</v>
      </c>
      <c r="H1774" s="2" t="s">
        <v>40</v>
      </c>
      <c r="I1774" s="3">
        <v>100.0</v>
      </c>
      <c r="J1774" s="3"/>
      <c r="K1774" s="5">
        <v>951.08</v>
      </c>
      <c r="L1774" s="6"/>
      <c r="M1774" s="6" t="str">
        <f>IF(D1774&lt;&gt;"",VLOOKUP(H1774,TABLEITEM,3,FALSE),"")</f>
        <v>เหล็กแผ่นEG4'x8'T1.6</v>
      </c>
      <c r="N1774" s="7">
        <f>INSTOCK!$I1774*INSTOCK!$K1774</f>
        <v>95108</v>
      </c>
      <c r="O1774" s="2" t="s">
        <v>2242</v>
      </c>
      <c r="P1774" s="2"/>
    </row>
    <row r="1775" ht="18.0" hidden="1" customHeight="1">
      <c r="A1775" s="1"/>
      <c r="B1775" s="3"/>
      <c r="C1775" s="4">
        <v>43710.0</v>
      </c>
      <c r="D1775" s="2" t="s">
        <v>2243</v>
      </c>
      <c r="E1775" s="2">
        <v>6.208001229E9</v>
      </c>
      <c r="F1775" s="3" t="s">
        <v>161</v>
      </c>
      <c r="G1775" s="2" t="s">
        <v>171</v>
      </c>
      <c r="H1775" s="2" t="s">
        <v>33</v>
      </c>
      <c r="I1775" s="3">
        <v>102.0</v>
      </c>
      <c r="J1775" s="3"/>
      <c r="K1775" s="5">
        <v>378.5295</v>
      </c>
      <c r="L1775" s="6"/>
      <c r="M1775" s="6" t="str">
        <f>IF(D1775&lt;&gt;"",VLOOKUP(H1775,TABLEITEM,3,FALSE),"")</f>
        <v>เหล็กแผ่นขาว629x2142T1.6</v>
      </c>
      <c r="N1775" s="7">
        <f>INSTOCK!$I1775*INSTOCK!$K1775</f>
        <v>38610.009</v>
      </c>
      <c r="O1775" s="2" t="s">
        <v>2244</v>
      </c>
      <c r="P1775" s="2"/>
    </row>
    <row r="1776" ht="18.0" hidden="1" customHeight="1">
      <c r="A1776" s="1"/>
      <c r="B1776" s="3"/>
      <c r="C1776" s="4">
        <v>43710.0</v>
      </c>
      <c r="D1776" s="2" t="s">
        <v>2243</v>
      </c>
      <c r="E1776" s="2">
        <v>6.208001229E9</v>
      </c>
      <c r="F1776" s="3" t="s">
        <v>161</v>
      </c>
      <c r="G1776" s="2" t="s">
        <v>171</v>
      </c>
      <c r="H1776" s="2" t="s">
        <v>35</v>
      </c>
      <c r="I1776" s="3">
        <v>103.0</v>
      </c>
      <c r="J1776" s="3"/>
      <c r="K1776" s="5">
        <v>498.0583</v>
      </c>
      <c r="L1776" s="6"/>
      <c r="M1776" s="6" t="str">
        <f>IF(D1776&lt;&gt;"",VLOOKUP(H1776,TABLEITEM,3,FALSE),"")</f>
        <v>เหล็กแผ่นขาว829x2142T1.6</v>
      </c>
      <c r="N1776" s="7">
        <f>INSTOCK!$I1776*INSTOCK!$K1776</f>
        <v>51300.0049</v>
      </c>
      <c r="O1776" s="2" t="s">
        <v>2245</v>
      </c>
      <c r="P1776" s="2"/>
    </row>
    <row r="1777" ht="18.0" hidden="1" customHeight="1">
      <c r="A1777" s="1"/>
      <c r="B1777" s="3"/>
      <c r="C1777" s="4">
        <v>43710.0</v>
      </c>
      <c r="D1777" s="2" t="s">
        <v>2243</v>
      </c>
      <c r="E1777" s="2">
        <v>6.208001229E9</v>
      </c>
      <c r="F1777" s="3" t="s">
        <v>161</v>
      </c>
      <c r="G1777" s="2" t="s">
        <v>171</v>
      </c>
      <c r="H1777" s="2" t="s">
        <v>37</v>
      </c>
      <c r="I1777" s="3">
        <v>100.0</v>
      </c>
      <c r="J1777" s="3"/>
      <c r="K1777" s="5">
        <v>560.25</v>
      </c>
      <c r="L1777" s="6"/>
      <c r="M1777" s="6" t="str">
        <f>IF(D1777&lt;&gt;"",VLOOKUP(H1777,TABLEITEM,3,FALSE),"")</f>
        <v>เหล็กแผ่นขาว929x2142T1.6</v>
      </c>
      <c r="N1777" s="7">
        <f>INSTOCK!$I1777*INSTOCK!$K1777</f>
        <v>56025</v>
      </c>
      <c r="O1777" s="2" t="s">
        <v>2246</v>
      </c>
      <c r="P1777" s="2"/>
    </row>
    <row r="1778" ht="18.0" hidden="1" customHeight="1">
      <c r="A1778" s="1"/>
      <c r="B1778" s="3"/>
      <c r="C1778" s="4">
        <v>43710.0</v>
      </c>
      <c r="D1778" s="2" t="s">
        <v>2243</v>
      </c>
      <c r="E1778" s="2">
        <v>6.208001229E9</v>
      </c>
      <c r="F1778" s="3" t="s">
        <v>161</v>
      </c>
      <c r="G1778" s="2" t="s">
        <v>171</v>
      </c>
      <c r="H1778" s="2" t="s">
        <v>28</v>
      </c>
      <c r="I1778" s="3">
        <v>90.0</v>
      </c>
      <c r="J1778" s="3"/>
      <c r="K1778" s="5">
        <v>405.0</v>
      </c>
      <c r="L1778" s="6"/>
      <c r="M1778" s="6" t="str">
        <f>IF(D1778&lt;&gt;"",VLOOKUP(H1778,TABLEITEM,3,FALSE),"")</f>
        <v>เหล็กแผ่นขาว590x2440T1.6</v>
      </c>
      <c r="N1778" s="7">
        <f>INSTOCK!$I1778*INSTOCK!$K1778</f>
        <v>36450</v>
      </c>
      <c r="O1778" s="2" t="s">
        <v>2247</v>
      </c>
      <c r="P1778" s="2"/>
    </row>
    <row r="1779" ht="18.0" hidden="1" customHeight="1">
      <c r="A1779" s="1"/>
      <c r="B1779" s="3"/>
      <c r="C1779" s="4">
        <v>43710.0</v>
      </c>
      <c r="D1779" s="2" t="s">
        <v>2243</v>
      </c>
      <c r="E1779" s="2">
        <v>6.208001229E9</v>
      </c>
      <c r="F1779" s="3" t="s">
        <v>161</v>
      </c>
      <c r="G1779" s="2" t="s">
        <v>171</v>
      </c>
      <c r="H1779" s="2" t="s">
        <v>27</v>
      </c>
      <c r="I1779" s="3">
        <v>91.0</v>
      </c>
      <c r="J1779" s="3"/>
      <c r="K1779" s="5">
        <v>268.022</v>
      </c>
      <c r="L1779" s="6"/>
      <c r="M1779" s="6" t="str">
        <f>IF(D1779&lt;&gt;"",VLOOKUP(H1779,TABLEITEM,3,FALSE),"")</f>
        <v>เหล็กแผ่นขาว390x2440T1.6</v>
      </c>
      <c r="N1779" s="7">
        <f>INSTOCK!$I1779*INSTOCK!$K1779</f>
        <v>24390.002</v>
      </c>
      <c r="O1779" s="2" t="s">
        <v>2248</v>
      </c>
      <c r="P1779" s="2"/>
    </row>
    <row r="1780" ht="18.0" hidden="1" customHeight="1">
      <c r="A1780" s="1"/>
      <c r="B1780" s="3"/>
      <c r="C1780" s="4">
        <v>43710.0</v>
      </c>
      <c r="D1780" s="2" t="s">
        <v>2243</v>
      </c>
      <c r="E1780" s="2">
        <v>6.208001229E9</v>
      </c>
      <c r="F1780" s="3" t="s">
        <v>161</v>
      </c>
      <c r="G1780" s="2" t="s">
        <v>171</v>
      </c>
      <c r="H1780" s="2" t="s">
        <v>390</v>
      </c>
      <c r="I1780" s="3">
        <v>88.0</v>
      </c>
      <c r="J1780" s="3"/>
      <c r="K1780" s="5">
        <v>199.4319</v>
      </c>
      <c r="L1780" s="6"/>
      <c r="M1780" s="6" t="str">
        <f>IF(D1780&lt;&gt;"",VLOOKUP(H1780,TABLEITEM,3,FALSE),"")</f>
        <v>เหล็กแผ่นขาว 290x2440xT1.6</v>
      </c>
      <c r="N1780" s="7">
        <f>INSTOCK!$I1780*INSTOCK!$K1780</f>
        <v>17550.0072</v>
      </c>
      <c r="O1780" s="2" t="s">
        <v>2249</v>
      </c>
      <c r="P1780" s="2"/>
    </row>
    <row r="1781" ht="18.0" hidden="1" customHeight="1">
      <c r="A1781" s="1"/>
      <c r="B1781" s="3"/>
      <c r="C1781" s="4">
        <v>43710.0</v>
      </c>
      <c r="D1781" s="2" t="s">
        <v>2243</v>
      </c>
      <c r="E1781" s="2">
        <v>6.208001229E9</v>
      </c>
      <c r="F1781" s="3" t="s">
        <v>161</v>
      </c>
      <c r="G1781" s="2" t="s">
        <v>171</v>
      </c>
      <c r="H1781" s="2" t="s">
        <v>301</v>
      </c>
      <c r="I1781" s="3">
        <v>56.0</v>
      </c>
      <c r="J1781" s="3" t="s">
        <v>1003</v>
      </c>
      <c r="K1781" s="5">
        <v>22.5</v>
      </c>
      <c r="L1781" s="6"/>
      <c r="M1781" s="6" t="str">
        <f>IF(D1781&lt;&gt;"",VLOOKUP(H1781,TABLEITEM,3,FALSE),"")</f>
        <v>เหล็กแผ่นขาวT1.6(เศษ)</v>
      </c>
      <c r="N1781" s="7">
        <f>INSTOCK!$I1781*INSTOCK!$K1781</f>
        <v>1260</v>
      </c>
      <c r="O1781" s="2"/>
      <c r="P1781" s="2"/>
    </row>
    <row r="1782" ht="18.0" hidden="1" customHeight="1">
      <c r="A1782" s="1"/>
      <c r="B1782" s="3"/>
      <c r="C1782" s="4">
        <v>43710.0</v>
      </c>
      <c r="D1782" s="2" t="s">
        <v>2250</v>
      </c>
      <c r="E1782" s="2">
        <v>6.208001275E9</v>
      </c>
      <c r="F1782" s="3" t="s">
        <v>161</v>
      </c>
      <c r="G1782" s="2" t="s">
        <v>171</v>
      </c>
      <c r="H1782" s="2" t="s">
        <v>21</v>
      </c>
      <c r="I1782" s="3">
        <v>50.0</v>
      </c>
      <c r="J1782" s="3"/>
      <c r="K1782" s="5">
        <v>1034.52</v>
      </c>
      <c r="L1782" s="6"/>
      <c r="M1782" s="6" t="str">
        <f>IF(D1782&lt;&gt;"",VLOOKUP(H1782,TABLEITEM,3,FALSE),"")</f>
        <v>เหล็กแผ่นขาว4'x8'T2.0</v>
      </c>
      <c r="N1782" s="7">
        <f>INSTOCK!$I1782*INSTOCK!$K1782</f>
        <v>51726</v>
      </c>
      <c r="O1782" s="2" t="s">
        <v>2251</v>
      </c>
      <c r="P1782" s="2"/>
    </row>
    <row r="1783" ht="18.0" hidden="1" customHeight="1">
      <c r="A1783" s="1"/>
      <c r="B1783" s="3"/>
      <c r="C1783" s="4">
        <v>43710.0</v>
      </c>
      <c r="D1783" s="2" t="s">
        <v>2250</v>
      </c>
      <c r="E1783" s="2">
        <v>6.208001275E9</v>
      </c>
      <c r="F1783" s="3" t="s">
        <v>161</v>
      </c>
      <c r="G1783" s="2" t="s">
        <v>171</v>
      </c>
      <c r="H1783" s="2" t="s">
        <v>39</v>
      </c>
      <c r="I1783" s="3">
        <v>100.0</v>
      </c>
      <c r="J1783" s="3"/>
      <c r="K1783" s="5">
        <v>715.0</v>
      </c>
      <c r="L1783" s="6"/>
      <c r="M1783" s="6" t="str">
        <f>IF(D1783&lt;&gt;"",VLOOKUP(H1783,TABLEITEM,3,FALSE),"")</f>
        <v>เหล็กแผ่นEG4'x8'T1.2</v>
      </c>
      <c r="N1783" s="7">
        <f>INSTOCK!$I1783*INSTOCK!$K1783</f>
        <v>71500</v>
      </c>
      <c r="O1783" s="2" t="s">
        <v>2252</v>
      </c>
      <c r="P1783" s="2"/>
    </row>
    <row r="1784" ht="18.0" hidden="1" customHeight="1">
      <c r="A1784" s="1"/>
      <c r="B1784" s="3"/>
      <c r="C1784" s="4">
        <v>43710.0</v>
      </c>
      <c r="D1784" s="2" t="s">
        <v>2253</v>
      </c>
      <c r="E1784" s="2">
        <v>6.208001275E9</v>
      </c>
      <c r="F1784" s="3" t="s">
        <v>161</v>
      </c>
      <c r="G1784" s="2" t="s">
        <v>171</v>
      </c>
      <c r="H1784" s="2" t="s">
        <v>19</v>
      </c>
      <c r="I1784" s="3">
        <v>200.0</v>
      </c>
      <c r="J1784" s="3"/>
      <c r="K1784" s="5">
        <v>820.05</v>
      </c>
      <c r="L1784" s="6"/>
      <c r="M1784" s="6" t="str">
        <f>IF(D1784&lt;&gt;"",VLOOKUP(H1784,TABLEITEM,3,FALSE),"")</f>
        <v>เหล็กแผ่นขาว4'x8'T1.6</v>
      </c>
      <c r="N1784" s="7">
        <f>INSTOCK!$I1784*INSTOCK!$K1784</f>
        <v>164010</v>
      </c>
      <c r="O1784" s="2" t="s">
        <v>2254</v>
      </c>
      <c r="P1784" s="2"/>
    </row>
    <row r="1785" ht="18.0" hidden="1" customHeight="1">
      <c r="A1785" s="1"/>
      <c r="B1785" s="3"/>
      <c r="C1785" s="4">
        <v>43710.0</v>
      </c>
      <c r="D1785" s="2" t="s">
        <v>2253</v>
      </c>
      <c r="E1785" s="2">
        <v>6.208001275E9</v>
      </c>
      <c r="F1785" s="3" t="s">
        <v>161</v>
      </c>
      <c r="G1785" s="2" t="s">
        <v>171</v>
      </c>
      <c r="H1785" s="2" t="s">
        <v>21</v>
      </c>
      <c r="I1785" s="3">
        <v>100.0</v>
      </c>
      <c r="J1785" s="3"/>
      <c r="K1785" s="5">
        <v>1034.52</v>
      </c>
      <c r="L1785" s="6"/>
      <c r="M1785" s="6" t="str">
        <f>IF(D1785&lt;&gt;"",VLOOKUP(H1785,TABLEITEM,3,FALSE),"")</f>
        <v>เหล็กแผ่นขาว4'x8'T2.0</v>
      </c>
      <c r="N1785" s="7">
        <f>INSTOCK!$I1785*INSTOCK!$K1785</f>
        <v>103452</v>
      </c>
      <c r="O1785" s="2" t="s">
        <v>2255</v>
      </c>
      <c r="P1785" s="2"/>
    </row>
    <row r="1786" ht="18.0" hidden="1" customHeight="1">
      <c r="A1786" s="1"/>
      <c r="B1786" s="3"/>
      <c r="C1786" s="4">
        <v>43710.0</v>
      </c>
      <c r="D1786" s="2" t="s">
        <v>2256</v>
      </c>
      <c r="E1786" s="2">
        <v>6.208001275E9</v>
      </c>
      <c r="F1786" s="3" t="s">
        <v>161</v>
      </c>
      <c r="G1786" s="2" t="s">
        <v>171</v>
      </c>
      <c r="H1786" s="2" t="s">
        <v>21</v>
      </c>
      <c r="I1786" s="3">
        <v>250.0</v>
      </c>
      <c r="J1786" s="3"/>
      <c r="K1786" s="5">
        <v>1033.632</v>
      </c>
      <c r="L1786" s="6"/>
      <c r="M1786" s="6" t="str">
        <f>IF(D1786&lt;&gt;"",VLOOKUP(H1786,TABLEITEM,3,FALSE),"")</f>
        <v>เหล็กแผ่นขาว4'x8'T2.0</v>
      </c>
      <c r="N1786" s="7">
        <f>INSTOCK!$I1786*INSTOCK!$K1786</f>
        <v>258408</v>
      </c>
      <c r="O1786" s="2" t="s">
        <v>2257</v>
      </c>
      <c r="P1786" s="2"/>
    </row>
    <row r="1787" ht="18.0" hidden="1" customHeight="1">
      <c r="A1787" s="1"/>
      <c r="B1787" s="3"/>
      <c r="C1787" s="4">
        <v>43715.0</v>
      </c>
      <c r="D1787" s="2" t="s">
        <v>2258</v>
      </c>
      <c r="E1787" s="2">
        <v>6.209001319E9</v>
      </c>
      <c r="F1787" s="3" t="s">
        <v>161</v>
      </c>
      <c r="G1787" s="2" t="s">
        <v>153</v>
      </c>
      <c r="H1787" s="2" t="s">
        <v>72</v>
      </c>
      <c r="I1787" s="3">
        <v>10.0</v>
      </c>
      <c r="J1787" s="3"/>
      <c r="K1787" s="5">
        <v>4650.0</v>
      </c>
      <c r="L1787" s="6"/>
      <c r="M1787" s="6" t="str">
        <f>IF(D1787&lt;&gt;"",VLOOKUP(H1787,TABLEITEM,3,FALSE),"")</f>
        <v>แผ่นอลูมิเนียม4'x8'T6.0</v>
      </c>
      <c r="N1787" s="7">
        <f>INSTOCK!$I1787*INSTOCK!$K1787</f>
        <v>46500</v>
      </c>
      <c r="O1787" s="2"/>
      <c r="P1787" s="2"/>
    </row>
    <row r="1788" ht="18.0" hidden="1" customHeight="1">
      <c r="A1788" s="1"/>
      <c r="B1788" s="3"/>
      <c r="C1788" s="4">
        <v>43715.0</v>
      </c>
      <c r="D1788" s="2" t="s">
        <v>2259</v>
      </c>
      <c r="E1788" s="2">
        <v>6.209001321E9</v>
      </c>
      <c r="F1788" s="3" t="s">
        <v>2260</v>
      </c>
      <c r="G1788" s="2" t="s">
        <v>153</v>
      </c>
      <c r="H1788" s="2" t="s">
        <v>1652</v>
      </c>
      <c r="I1788" s="3">
        <v>42.0</v>
      </c>
      <c r="J1788" s="3" t="s">
        <v>78</v>
      </c>
      <c r="K1788" s="5">
        <v>101.6667</v>
      </c>
      <c r="L1788" s="6"/>
      <c r="M1788" s="6" t="str">
        <f>IF(D1788&lt;&gt;"",VLOOKUP(H1788,TABLEITEM,3,FALSE),"")</f>
        <v>เหล็กกล่อง2''หนา3.2มิล</v>
      </c>
      <c r="N1788" s="7">
        <f>INSTOCK!$I1788*INSTOCK!$K1788</f>
        <v>4270.0014</v>
      </c>
      <c r="O1788" s="2" t="s">
        <v>2261</v>
      </c>
      <c r="P1788" s="2"/>
    </row>
    <row r="1789" ht="18.0" hidden="1" customHeight="1">
      <c r="A1789" s="1"/>
      <c r="B1789" s="3"/>
      <c r="C1789" s="4">
        <v>43707.0</v>
      </c>
      <c r="D1789" s="2" t="s">
        <v>2262</v>
      </c>
      <c r="E1789" s="2">
        <v>6.209001356E9</v>
      </c>
      <c r="F1789" s="3" t="s">
        <v>2263</v>
      </c>
      <c r="G1789" s="2" t="s">
        <v>733</v>
      </c>
      <c r="H1789" s="2" t="s">
        <v>2264</v>
      </c>
      <c r="I1789" s="3">
        <v>1.0</v>
      </c>
      <c r="J1789" s="3"/>
      <c r="K1789" s="5">
        <v>150.0</v>
      </c>
      <c r="L1789" s="6"/>
      <c r="M1789" s="6" t="str">
        <f>IF(D1789&lt;&gt;"",VLOOKUP(H1789,TABLEITEM,3,FALSE),"")</f>
        <v>กระจกใส 614x714 หนา 5.0มิล</v>
      </c>
      <c r="N1789" s="7">
        <f>INSTOCK!$I1789*INSTOCK!$K1789</f>
        <v>150</v>
      </c>
      <c r="O1789" s="2"/>
      <c r="P1789" s="2"/>
    </row>
    <row r="1790" ht="18.0" hidden="1" customHeight="1">
      <c r="A1790" s="1"/>
      <c r="B1790" s="3"/>
      <c r="C1790" s="4">
        <v>43711.0</v>
      </c>
      <c r="D1790" s="2" t="s">
        <v>2265</v>
      </c>
      <c r="E1790" s="2">
        <v>6.209001356E9</v>
      </c>
      <c r="F1790" s="3" t="s">
        <v>2266</v>
      </c>
      <c r="G1790" s="2" t="s">
        <v>733</v>
      </c>
      <c r="H1790" s="2" t="s">
        <v>2267</v>
      </c>
      <c r="I1790" s="3">
        <v>1.0</v>
      </c>
      <c r="J1790" s="3"/>
      <c r="K1790" s="5">
        <v>113.0</v>
      </c>
      <c r="L1790" s="6"/>
      <c r="M1790" s="6" t="str">
        <f>IF(D1790&lt;&gt;"",VLOOKUP(H1790,TABLEITEM,3,FALSE),"")</f>
        <v>กระจกใส 364x754 หนา 5.0มิล</v>
      </c>
      <c r="N1790" s="7">
        <f>INSTOCK!$I1790*INSTOCK!$K1790</f>
        <v>113</v>
      </c>
      <c r="O1790" s="2"/>
      <c r="P1790" s="2"/>
    </row>
    <row r="1791" ht="18.0" hidden="1" customHeight="1">
      <c r="A1791" s="1"/>
      <c r="B1791" s="3"/>
      <c r="C1791" s="4">
        <v>43711.0</v>
      </c>
      <c r="D1791" s="2" t="s">
        <v>2268</v>
      </c>
      <c r="E1791" s="2">
        <v>6.209001356E9</v>
      </c>
      <c r="F1791" s="3" t="s">
        <v>2269</v>
      </c>
      <c r="G1791" s="2" t="s">
        <v>733</v>
      </c>
      <c r="H1791" s="2" t="s">
        <v>2270</v>
      </c>
      <c r="I1791" s="3">
        <v>1.0</v>
      </c>
      <c r="J1791" s="3"/>
      <c r="K1791" s="5">
        <v>30.0</v>
      </c>
      <c r="L1791" s="6"/>
      <c r="M1791" s="6" t="str">
        <f>IF(D1791&lt;&gt;"",VLOOKUP(H1791,TABLEITEM,3,FALSE),"")</f>
        <v>กระจกใส 144x264 หนา 5.0มิล</v>
      </c>
      <c r="N1791" s="7">
        <f>INSTOCK!$I1791*INSTOCK!$K1791</f>
        <v>30</v>
      </c>
      <c r="O1791" s="2"/>
      <c r="P1791" s="2"/>
    </row>
    <row r="1792" ht="18.0" hidden="1" customHeight="1">
      <c r="A1792" s="1"/>
      <c r="B1792" s="3"/>
      <c r="C1792" s="4">
        <v>43711.0</v>
      </c>
      <c r="D1792" s="2" t="s">
        <v>2271</v>
      </c>
      <c r="E1792" s="2">
        <v>6.209001356E9</v>
      </c>
      <c r="F1792" s="3" t="s">
        <v>2272</v>
      </c>
      <c r="G1792" s="2" t="s">
        <v>733</v>
      </c>
      <c r="H1792" s="2" t="s">
        <v>2273</v>
      </c>
      <c r="I1792" s="3">
        <v>1.0</v>
      </c>
      <c r="J1792" s="3"/>
      <c r="K1792" s="5">
        <v>90.0</v>
      </c>
      <c r="L1792" s="6"/>
      <c r="M1792" s="6" t="str">
        <f>IF(D1792&lt;&gt;"",VLOOKUP(H1792,TABLEITEM,3,FALSE),"")</f>
        <v>กระจกใส 442x572 หนา 5.0มิล</v>
      </c>
      <c r="N1792" s="7">
        <f>INSTOCK!$I1792*INSTOCK!$K1792</f>
        <v>90</v>
      </c>
      <c r="O1792" s="2"/>
      <c r="P1792" s="2"/>
    </row>
    <row r="1793" ht="18.0" hidden="1" customHeight="1">
      <c r="A1793" s="1"/>
      <c r="B1793" s="3"/>
      <c r="C1793" s="4">
        <v>43707.0</v>
      </c>
      <c r="D1793" s="2" t="s">
        <v>2274</v>
      </c>
      <c r="E1793" s="2">
        <v>6.209001356E9</v>
      </c>
      <c r="F1793" s="3" t="s">
        <v>2275</v>
      </c>
      <c r="G1793" s="2" t="s">
        <v>733</v>
      </c>
      <c r="H1793" s="2" t="s">
        <v>2190</v>
      </c>
      <c r="I1793" s="3">
        <v>2.0</v>
      </c>
      <c r="J1793" s="3"/>
      <c r="K1793" s="5">
        <v>45.0</v>
      </c>
      <c r="L1793" s="6"/>
      <c r="M1793" s="6" t="str">
        <f>IF(D1793&lt;&gt;"",VLOOKUP(H1793,TABLEITEM,3,FALSE),"")</f>
        <v>กระจกใส 264x364 หนา 5.0มิล</v>
      </c>
      <c r="N1793" s="7">
        <f>INSTOCK!$I1793*INSTOCK!$K1793</f>
        <v>90</v>
      </c>
      <c r="O1793" s="2"/>
      <c r="P1793" s="2"/>
    </row>
    <row r="1794" ht="18.0" hidden="1" customHeight="1">
      <c r="A1794" s="1"/>
      <c r="B1794" s="3"/>
      <c r="C1794" s="4">
        <v>43707.0</v>
      </c>
      <c r="D1794" s="2" t="s">
        <v>2274</v>
      </c>
      <c r="E1794" s="2">
        <v>6.209001356E9</v>
      </c>
      <c r="F1794" s="3" t="s">
        <v>2275</v>
      </c>
      <c r="G1794" s="2" t="s">
        <v>733</v>
      </c>
      <c r="H1794" s="2" t="s">
        <v>2276</v>
      </c>
      <c r="I1794" s="3">
        <v>1.0</v>
      </c>
      <c r="J1794" s="3"/>
      <c r="K1794" s="5">
        <v>67.0</v>
      </c>
      <c r="L1794" s="6"/>
      <c r="M1794" s="6" t="str">
        <f>IF(D1794&lt;&gt;"",VLOOKUP(H1794,TABLEITEM,3,FALSE),"")</f>
        <v>กระจกใส 364x414 หนา 5.0มิล</v>
      </c>
      <c r="N1794" s="7">
        <f>INSTOCK!$I1794*INSTOCK!$K1794</f>
        <v>67</v>
      </c>
      <c r="O1794" s="2"/>
      <c r="P1794" s="2"/>
    </row>
    <row r="1795" ht="18.0" hidden="1" customHeight="1">
      <c r="A1795" s="1"/>
      <c r="B1795" s="3"/>
      <c r="C1795" s="4">
        <v>43707.0</v>
      </c>
      <c r="D1795" s="2" t="s">
        <v>2274</v>
      </c>
      <c r="E1795" s="2">
        <v>6.209001356E9</v>
      </c>
      <c r="F1795" s="3" t="s">
        <v>2275</v>
      </c>
      <c r="G1795" s="2" t="s">
        <v>733</v>
      </c>
      <c r="H1795" s="2" t="s">
        <v>2277</v>
      </c>
      <c r="I1795" s="3">
        <v>2.0</v>
      </c>
      <c r="J1795" s="3"/>
      <c r="K1795" s="5">
        <v>135.0</v>
      </c>
      <c r="L1795" s="6"/>
      <c r="M1795" s="6" t="str">
        <f>IF(D1795&lt;&gt;"",VLOOKUP(H1795,TABLEITEM,3,FALSE),"")</f>
        <v>กระจกใส 364x914 หนา 5.0มิล</v>
      </c>
      <c r="N1795" s="7">
        <f>INSTOCK!$I1795*INSTOCK!$K1795</f>
        <v>270</v>
      </c>
      <c r="O1795" s="2"/>
      <c r="P1795" s="2"/>
    </row>
    <row r="1796" ht="18.0" hidden="1" customHeight="1">
      <c r="A1796" s="1"/>
      <c r="B1796" s="3"/>
      <c r="C1796" s="4">
        <v>43721.0</v>
      </c>
      <c r="D1796" s="2" t="s">
        <v>1788</v>
      </c>
      <c r="E1796" s="2"/>
      <c r="F1796" s="3" t="s">
        <v>161</v>
      </c>
      <c r="G1796" s="2" t="s">
        <v>456</v>
      </c>
      <c r="H1796" s="2" t="s">
        <v>550</v>
      </c>
      <c r="I1796" s="3">
        <v>226.0</v>
      </c>
      <c r="J1796" s="3"/>
      <c r="K1796" s="5"/>
      <c r="L1796" s="6"/>
      <c r="M1796" s="6" t="str">
        <f>IF(D1796&lt;&gt;"",VLOOKUP(H1796,TABLEITEM,3,FALSE),"")</f>
        <v>ฉากตัวZ รับแผ่นกั้น50x34x29</v>
      </c>
      <c r="N1796" s="7">
        <f>INSTOCK!$I1796*INSTOCK!$K1796</f>
        <v>0</v>
      </c>
      <c r="O1796" s="2"/>
      <c r="P1796" s="2"/>
    </row>
    <row r="1797" ht="18.0" hidden="1" customHeight="1">
      <c r="A1797" s="1"/>
      <c r="B1797" s="3"/>
      <c r="C1797" s="4">
        <v>43721.0</v>
      </c>
      <c r="D1797" s="2" t="s">
        <v>2141</v>
      </c>
      <c r="E1797" s="2"/>
      <c r="F1797" s="3" t="s">
        <v>161</v>
      </c>
      <c r="G1797" s="2" t="s">
        <v>456</v>
      </c>
      <c r="H1797" s="2" t="s">
        <v>652</v>
      </c>
      <c r="I1797" s="3">
        <v>151.0</v>
      </c>
      <c r="J1797" s="3"/>
      <c r="K1797" s="5"/>
      <c r="L1797" s="6"/>
      <c r="M1797" s="6" t="str">
        <f>IF(D1797&lt;&gt;"",VLOOKUP(H1797,TABLEITEM,3,FALSE),"")</f>
        <v>ขายึดเทอมีนอล146x136</v>
      </c>
      <c r="N1797" s="7">
        <f>INSTOCK!$I1797*INSTOCK!$K1797</f>
        <v>0</v>
      </c>
      <c r="O1797" s="2"/>
      <c r="P1797" s="2"/>
    </row>
    <row r="1798" ht="18.0" hidden="1" customHeight="1">
      <c r="A1798" s="1"/>
      <c r="B1798" s="3"/>
      <c r="C1798" s="4">
        <v>43721.0</v>
      </c>
      <c r="D1798" s="2" t="s">
        <v>2235</v>
      </c>
      <c r="E1798" s="2"/>
      <c r="F1798" s="3" t="s">
        <v>161</v>
      </c>
      <c r="G1798" s="2" t="s">
        <v>456</v>
      </c>
      <c r="H1798" s="2" t="s">
        <v>2236</v>
      </c>
      <c r="I1798" s="3">
        <v>31.0</v>
      </c>
      <c r="J1798" s="3"/>
      <c r="K1798" s="5"/>
      <c r="L1798" s="6"/>
      <c r="M1798" s="6" t="str">
        <f>IF(D1798&lt;&gt;"",VLOOKUP(H1798,TABLEITEM,3,FALSE),"")</f>
        <v>ขายึดเทอมีนอล150X197 4รู</v>
      </c>
      <c r="N1798" s="7">
        <f>INSTOCK!$I1798*INSTOCK!$K1798</f>
        <v>0</v>
      </c>
      <c r="O1798" s="2"/>
      <c r="P1798" s="2"/>
    </row>
    <row r="1799" ht="18.0" hidden="1" customHeight="1">
      <c r="A1799" s="1"/>
      <c r="B1799" s="3"/>
      <c r="C1799" s="4">
        <v>43719.0</v>
      </c>
      <c r="D1799" s="2" t="s">
        <v>2278</v>
      </c>
      <c r="E1799" s="2">
        <v>6.209001348E9</v>
      </c>
      <c r="F1799" s="3" t="s">
        <v>2279</v>
      </c>
      <c r="G1799" s="2" t="s">
        <v>153</v>
      </c>
      <c r="H1799" s="2" t="s">
        <v>1186</v>
      </c>
      <c r="I1799" s="3">
        <v>6.0</v>
      </c>
      <c r="J1799" s="3" t="s">
        <v>78</v>
      </c>
      <c r="K1799" s="5">
        <v>110.0</v>
      </c>
      <c r="L1799" s="6"/>
      <c r="M1799" s="6" t="str">
        <f>IF(D1799&lt;&gt;"",VLOOKUP(H1799,TABLEITEM,3,FALSE),"")</f>
        <v>เหล็กท่อกลม 3" หนา 2.3มิล</v>
      </c>
      <c r="N1799" s="7">
        <f>INSTOCK!$I1799*INSTOCK!$K1799</f>
        <v>660</v>
      </c>
      <c r="O1799" s="2" t="s">
        <v>2280</v>
      </c>
      <c r="P1799" s="2"/>
    </row>
    <row r="1800" ht="18.0" hidden="1" customHeight="1">
      <c r="A1800" s="1"/>
      <c r="B1800" s="3"/>
      <c r="C1800" s="4">
        <v>43719.0</v>
      </c>
      <c r="D1800" s="2" t="s">
        <v>2278</v>
      </c>
      <c r="E1800" s="2">
        <v>6.209001348E9</v>
      </c>
      <c r="F1800" s="3" t="s">
        <v>2279</v>
      </c>
      <c r="G1800" s="2" t="s">
        <v>153</v>
      </c>
      <c r="H1800" s="2" t="s">
        <v>2281</v>
      </c>
      <c r="I1800" s="3">
        <v>6.0</v>
      </c>
      <c r="J1800" s="3" t="s">
        <v>78</v>
      </c>
      <c r="K1800" s="5">
        <v>140.0</v>
      </c>
      <c r="L1800" s="6"/>
      <c r="M1800" s="6" t="str">
        <f>IF(D1800&lt;&gt;"",VLOOKUP(H1800,TABLEITEM,3,FALSE),"")</f>
        <v>เหล็กท่อกลม 4" หนา 2.3มิล</v>
      </c>
      <c r="N1800" s="7">
        <f>INSTOCK!$I1800*INSTOCK!$K1800</f>
        <v>840</v>
      </c>
      <c r="O1800" s="2" t="s">
        <v>2282</v>
      </c>
      <c r="P1800" s="2"/>
    </row>
    <row r="1801" ht="18.0" hidden="1" customHeight="1">
      <c r="A1801" s="1"/>
      <c r="B1801" s="3"/>
      <c r="C1801" s="4">
        <v>43719.0</v>
      </c>
      <c r="D1801" s="2" t="s">
        <v>2283</v>
      </c>
      <c r="E1801" s="2">
        <v>6.209001325E9</v>
      </c>
      <c r="F1801" s="3" t="s">
        <v>2284</v>
      </c>
      <c r="G1801" s="2" t="s">
        <v>202</v>
      </c>
      <c r="H1801" s="2" t="s">
        <v>1070</v>
      </c>
      <c r="I1801" s="3">
        <v>30.0</v>
      </c>
      <c r="J1801" s="3" t="s">
        <v>78</v>
      </c>
      <c r="K1801" s="5">
        <v>25.8334</v>
      </c>
      <c r="L1801" s="6"/>
      <c r="M1801" s="6" t="str">
        <f>IF(D1801&lt;&gt;"",VLOOKUP(H1801,TABLEITEM,3,FALSE),"")</f>
        <v>เหล็กกล่อง 2" หนา 1.6มิล</v>
      </c>
      <c r="N1801" s="7">
        <f>INSTOCK!$I1801*INSTOCK!$K1801</f>
        <v>775.002</v>
      </c>
      <c r="O1801" s="2" t="s">
        <v>2285</v>
      </c>
      <c r="P1801" s="2"/>
    </row>
    <row r="1802" ht="18.0" hidden="1" customHeight="1">
      <c r="A1802" s="1"/>
      <c r="B1802" s="3"/>
      <c r="C1802" s="4">
        <v>43719.0</v>
      </c>
      <c r="D1802" s="2" t="s">
        <v>2283</v>
      </c>
      <c r="E1802" s="2">
        <v>6.209001325E9</v>
      </c>
      <c r="F1802" s="3" t="s">
        <v>2284</v>
      </c>
      <c r="G1802" s="2" t="s">
        <v>202</v>
      </c>
      <c r="H1802" s="2" t="s">
        <v>79</v>
      </c>
      <c r="I1802" s="3">
        <v>300.0</v>
      </c>
      <c r="J1802" s="3" t="s">
        <v>78</v>
      </c>
      <c r="K1802" s="5">
        <v>141.6667</v>
      </c>
      <c r="L1802" s="6"/>
      <c r="M1802" s="6" t="str">
        <f>IF(D1802&lt;&gt;"",VLOOKUP(H1802,TABLEITEM,3,FALSE),"")</f>
        <v>เหล็กรางน้ำ U' 3</v>
      </c>
      <c r="N1802" s="7">
        <f>INSTOCK!$I1802*INSTOCK!$K1802</f>
        <v>42500.01</v>
      </c>
      <c r="O1802" s="2" t="s">
        <v>2286</v>
      </c>
      <c r="P1802" s="2"/>
    </row>
    <row r="1803" ht="18.0" hidden="1" customHeight="1">
      <c r="A1803" s="1"/>
      <c r="B1803" s="3"/>
      <c r="C1803" s="4">
        <v>43719.0</v>
      </c>
      <c r="D1803" s="2" t="s">
        <v>2283</v>
      </c>
      <c r="E1803" s="2">
        <v>6.209001325E9</v>
      </c>
      <c r="F1803" s="3" t="s">
        <v>2284</v>
      </c>
      <c r="G1803" s="2" t="s">
        <v>202</v>
      </c>
      <c r="H1803" s="2" t="s">
        <v>80</v>
      </c>
      <c r="I1803" s="3">
        <v>180.0</v>
      </c>
      <c r="J1803" s="3" t="s">
        <v>78</v>
      </c>
      <c r="K1803" s="5">
        <v>187.5</v>
      </c>
      <c r="L1803" s="6"/>
      <c r="M1803" s="6" t="str">
        <f>IF(D1803&lt;&gt;"",VLOOKUP(H1803,TABLEITEM,3,FALSE),"")</f>
        <v>เหล็กรางน้ำ U' 4</v>
      </c>
      <c r="N1803" s="7">
        <f>INSTOCK!$I1803*INSTOCK!$K1803</f>
        <v>33750</v>
      </c>
      <c r="O1803" s="2" t="s">
        <v>2287</v>
      </c>
      <c r="P1803" s="2"/>
    </row>
    <row r="1804" ht="18.0" hidden="1" customHeight="1">
      <c r="A1804" s="1"/>
      <c r="B1804" s="3">
        <v>7.0</v>
      </c>
      <c r="C1804" s="4">
        <v>43722.0</v>
      </c>
      <c r="D1804" s="2" t="s">
        <v>2288</v>
      </c>
      <c r="E1804" s="2">
        <v>6.209001369E9</v>
      </c>
      <c r="F1804" s="3" t="s">
        <v>2289</v>
      </c>
      <c r="G1804" s="2" t="s">
        <v>153</v>
      </c>
      <c r="H1804" s="2" t="s">
        <v>1652</v>
      </c>
      <c r="I1804" s="3">
        <v>12.0</v>
      </c>
      <c r="J1804" s="3" t="s">
        <v>78</v>
      </c>
      <c r="K1804" s="5">
        <v>101.6667</v>
      </c>
      <c r="L1804" s="6"/>
      <c r="M1804" s="6" t="str">
        <f>IF(D1804&lt;&gt;"",VLOOKUP(H1804,TABLEITEM,3,FALSE),"")</f>
        <v>เหล็กกล่อง2''หนา3.2มิล</v>
      </c>
      <c r="N1804" s="7">
        <f>INSTOCK!$I1804*INSTOCK!$K1804</f>
        <v>1220.0004</v>
      </c>
      <c r="O1804" s="2" t="s">
        <v>2261</v>
      </c>
      <c r="P1804" s="2"/>
    </row>
    <row r="1805" ht="18.0" hidden="1" customHeight="1">
      <c r="A1805" s="1"/>
      <c r="B1805" s="3"/>
      <c r="C1805" s="4">
        <v>43722.0</v>
      </c>
      <c r="D1805" s="2" t="s">
        <v>2290</v>
      </c>
      <c r="E1805" s="2">
        <v>6.209001363E9</v>
      </c>
      <c r="F1805" s="3" t="s">
        <v>2291</v>
      </c>
      <c r="G1805" s="2" t="s">
        <v>153</v>
      </c>
      <c r="H1805" s="2" t="s">
        <v>2292</v>
      </c>
      <c r="I1805" s="3">
        <v>6.0</v>
      </c>
      <c r="J1805" s="3" t="s">
        <v>78</v>
      </c>
      <c r="K1805" s="5">
        <v>150.0</v>
      </c>
      <c r="L1805" s="6"/>
      <c r="M1805" s="6" t="str">
        <f>IF(D1805&lt;&gt;"",VLOOKUP(H1805,TABLEITEM,3,FALSE),"")</f>
        <v>สแตนเลสแบน 2"x3/16x6M</v>
      </c>
      <c r="N1805" s="7">
        <f>INSTOCK!$I1805*INSTOCK!$K1805</f>
        <v>900</v>
      </c>
      <c r="O1805" s="2" t="s">
        <v>2293</v>
      </c>
      <c r="P1805" s="2"/>
    </row>
    <row r="1806" ht="18.0" hidden="1" customHeight="1">
      <c r="A1806" s="1"/>
      <c r="B1806" s="3"/>
      <c r="C1806" s="4">
        <v>43720.0</v>
      </c>
      <c r="D1806" s="2" t="s">
        <v>2294</v>
      </c>
      <c r="E1806" s="2">
        <v>6.20900137E9</v>
      </c>
      <c r="F1806" s="3" t="s">
        <v>2295</v>
      </c>
      <c r="G1806" s="2" t="s">
        <v>733</v>
      </c>
      <c r="H1806" s="2" t="s">
        <v>2296</v>
      </c>
      <c r="I1806" s="3">
        <v>1.0</v>
      </c>
      <c r="J1806" s="3"/>
      <c r="K1806" s="5">
        <v>38.0</v>
      </c>
      <c r="L1806" s="6"/>
      <c r="M1806" s="6" t="str">
        <f>IF(D1806&lt;&gt;"",VLOOKUP(H1806,TABLEITEM,3,FALSE),"")</f>
        <v>กระจกใส 272x372 หนา 3.0มิล</v>
      </c>
      <c r="N1806" s="7">
        <f>INSTOCK!$I1806*INSTOCK!$K1806</f>
        <v>38</v>
      </c>
      <c r="O1806" s="2"/>
      <c r="P1806" s="2"/>
    </row>
    <row r="1807" ht="18.0" hidden="1" customHeight="1">
      <c r="A1807" s="1"/>
      <c r="B1807" s="3"/>
      <c r="C1807" s="4">
        <v>43718.0</v>
      </c>
      <c r="D1807" s="2" t="s">
        <v>2297</v>
      </c>
      <c r="E1807" s="2">
        <v>6.20900137E9</v>
      </c>
      <c r="F1807" s="3" t="s">
        <v>2298</v>
      </c>
      <c r="G1807" s="2" t="s">
        <v>733</v>
      </c>
      <c r="H1807" s="2" t="s">
        <v>2202</v>
      </c>
      <c r="I1807" s="3">
        <v>1.0</v>
      </c>
      <c r="J1807" s="3"/>
      <c r="K1807" s="5">
        <v>45.0</v>
      </c>
      <c r="L1807" s="6"/>
      <c r="M1807" s="6" t="str">
        <f>IF(D1807&lt;&gt;"",VLOOKUP(H1807,TABLEITEM,3,FALSE),"")</f>
        <v>กระจกใส 314x314 หนา 3.0มิล</v>
      </c>
      <c r="N1807" s="7">
        <f>INSTOCK!$I1807*INSTOCK!$K1807</f>
        <v>45</v>
      </c>
      <c r="O1807" s="2"/>
      <c r="P1807" s="2"/>
    </row>
    <row r="1808" ht="18.0" hidden="1" customHeight="1">
      <c r="A1808" s="1"/>
      <c r="B1808" s="3"/>
      <c r="C1808" s="4">
        <v>43718.0</v>
      </c>
      <c r="D1808" s="2" t="s">
        <v>2299</v>
      </c>
      <c r="E1808" s="2">
        <v>6.20900137E9</v>
      </c>
      <c r="F1808" s="3" t="s">
        <v>2300</v>
      </c>
      <c r="G1808" s="2" t="s">
        <v>733</v>
      </c>
      <c r="H1808" s="2" t="s">
        <v>2301</v>
      </c>
      <c r="I1808" s="3">
        <v>1.0</v>
      </c>
      <c r="J1808" s="3"/>
      <c r="K1808" s="5">
        <v>35.0</v>
      </c>
      <c r="L1808" s="6"/>
      <c r="M1808" s="6" t="str">
        <f>IF(D1808&lt;&gt;"",VLOOKUP(H1808,TABLEITEM,3,FALSE),"")</f>
        <v>กระจกใส 277x312 หนา 3.0มิล</v>
      </c>
      <c r="N1808" s="7">
        <f>INSTOCK!$I1808*INSTOCK!$K1808</f>
        <v>35</v>
      </c>
      <c r="O1808" s="2"/>
      <c r="P1808" s="2"/>
    </row>
    <row r="1809" ht="18.0" hidden="1" customHeight="1">
      <c r="A1809" s="1"/>
      <c r="B1809" s="3"/>
      <c r="C1809" s="4">
        <v>43707.0</v>
      </c>
      <c r="D1809" s="2" t="s">
        <v>2302</v>
      </c>
      <c r="E1809" s="2">
        <v>6.20900137E9</v>
      </c>
      <c r="F1809" s="3" t="s">
        <v>2303</v>
      </c>
      <c r="G1809" s="2" t="s">
        <v>733</v>
      </c>
      <c r="H1809" s="2" t="s">
        <v>2304</v>
      </c>
      <c r="I1809" s="3">
        <v>4.0</v>
      </c>
      <c r="J1809" s="3"/>
      <c r="K1809" s="5">
        <v>67.0</v>
      </c>
      <c r="L1809" s="6"/>
      <c r="M1809" s="6" t="str">
        <f>IF(D1809&lt;&gt;"",VLOOKUP(H1809,TABLEITEM,3,FALSE),"")</f>
        <v>กระจกใส 314x364 หนา 5.0มิล</v>
      </c>
      <c r="N1809" s="7">
        <f>INSTOCK!$I1809*INSTOCK!$K1809</f>
        <v>268</v>
      </c>
      <c r="O1809" s="2"/>
      <c r="P1809" s="2"/>
    </row>
    <row r="1810" ht="18.0" hidden="1" customHeight="1">
      <c r="A1810" s="1"/>
      <c r="B1810" s="3"/>
      <c r="C1810" s="4">
        <v>43707.0</v>
      </c>
      <c r="D1810" s="2" t="s">
        <v>2302</v>
      </c>
      <c r="E1810" s="2">
        <v>6.20900137E9</v>
      </c>
      <c r="F1810" s="3" t="s">
        <v>2303</v>
      </c>
      <c r="G1810" s="2" t="s">
        <v>733</v>
      </c>
      <c r="H1810" s="2" t="s">
        <v>2276</v>
      </c>
      <c r="I1810" s="3">
        <v>6.0</v>
      </c>
      <c r="J1810" s="3"/>
      <c r="K1810" s="5">
        <v>67.0</v>
      </c>
      <c r="L1810" s="6"/>
      <c r="M1810" s="6" t="str">
        <f>IF(D1810&lt;&gt;"",VLOOKUP(H1810,TABLEITEM,3,FALSE),"")</f>
        <v>กระจกใส 364x414 หนา 5.0มิล</v>
      </c>
      <c r="N1810" s="7">
        <f>INSTOCK!$I1810*INSTOCK!$K1810</f>
        <v>402</v>
      </c>
      <c r="O1810" s="2"/>
      <c r="P1810" s="2"/>
    </row>
    <row r="1811" ht="18.0" hidden="1" customHeight="1">
      <c r="A1811" s="1"/>
      <c r="B1811" s="3"/>
      <c r="C1811" s="4">
        <v>43707.0</v>
      </c>
      <c r="D1811" s="2" t="s">
        <v>2302</v>
      </c>
      <c r="E1811" s="2">
        <v>6.20900137E9</v>
      </c>
      <c r="F1811" s="3" t="s">
        <v>2303</v>
      </c>
      <c r="G1811" s="2" t="s">
        <v>733</v>
      </c>
      <c r="H1811" s="2" t="s">
        <v>2305</v>
      </c>
      <c r="I1811" s="3">
        <v>8.0</v>
      </c>
      <c r="J1811" s="3"/>
      <c r="K1811" s="5">
        <v>60.0</v>
      </c>
      <c r="L1811" s="6"/>
      <c r="M1811" s="6" t="str">
        <f>IF(D1811&lt;&gt;"",VLOOKUP(H1811,TABLEITEM,3,FALSE),"")</f>
        <v>กระจกใส 264x514 หนา 5.0มิล</v>
      </c>
      <c r="N1811" s="7">
        <f>INSTOCK!$I1811*INSTOCK!$K1811</f>
        <v>480</v>
      </c>
      <c r="O1811" s="2"/>
      <c r="P1811" s="2"/>
    </row>
    <row r="1812" ht="18.0" hidden="1" customHeight="1">
      <c r="A1812" s="1"/>
      <c r="B1812" s="3"/>
      <c r="C1812" s="4">
        <v>43707.0</v>
      </c>
      <c r="D1812" s="2" t="s">
        <v>2302</v>
      </c>
      <c r="E1812" s="2">
        <v>6.20900137E9</v>
      </c>
      <c r="F1812" s="3" t="s">
        <v>2303</v>
      </c>
      <c r="G1812" s="2" t="s">
        <v>733</v>
      </c>
      <c r="H1812" s="2" t="s">
        <v>2190</v>
      </c>
      <c r="I1812" s="3">
        <v>2.0</v>
      </c>
      <c r="J1812" s="3"/>
      <c r="K1812" s="5">
        <v>45.0</v>
      </c>
      <c r="L1812" s="6"/>
      <c r="M1812" s="6" t="str">
        <f>IF(D1812&lt;&gt;"",VLOOKUP(H1812,TABLEITEM,3,FALSE),"")</f>
        <v>กระจกใส 264x364 หนา 5.0มิล</v>
      </c>
      <c r="N1812" s="7">
        <f>INSTOCK!$I1812*INSTOCK!$K1812</f>
        <v>90</v>
      </c>
      <c r="O1812" s="2"/>
      <c r="P1812" s="2"/>
    </row>
    <row r="1813" ht="18.0" hidden="1" customHeight="1">
      <c r="A1813" s="1"/>
      <c r="B1813" s="3"/>
      <c r="C1813" s="4">
        <v>43707.0</v>
      </c>
      <c r="D1813" s="2" t="s">
        <v>2302</v>
      </c>
      <c r="E1813" s="2">
        <v>6.20900137E9</v>
      </c>
      <c r="F1813" s="3" t="s">
        <v>2303</v>
      </c>
      <c r="G1813" s="2" t="s">
        <v>733</v>
      </c>
      <c r="H1813" s="2" t="s">
        <v>2306</v>
      </c>
      <c r="I1813" s="3">
        <v>2.0</v>
      </c>
      <c r="J1813" s="3"/>
      <c r="K1813" s="5">
        <v>90.0</v>
      </c>
      <c r="L1813" s="6"/>
      <c r="M1813" s="6" t="str">
        <f>IF(D1813&lt;&gt;"",VLOOKUP(H1813,TABLEITEM,3,FALSE),"")</f>
        <v>กระจกใส 364x464 หนา 5.0มิล</v>
      </c>
      <c r="N1813" s="7">
        <f>INSTOCK!$I1813*INSTOCK!$K1813</f>
        <v>180</v>
      </c>
      <c r="O1813" s="2"/>
      <c r="P1813" s="2"/>
    </row>
    <row r="1814" ht="18.0" hidden="1" customHeight="1">
      <c r="A1814" s="1"/>
      <c r="B1814" s="3"/>
      <c r="C1814" s="4">
        <v>43718.0</v>
      </c>
      <c r="D1814" s="2" t="s">
        <v>2307</v>
      </c>
      <c r="E1814" s="2">
        <v>6.20900137E9</v>
      </c>
      <c r="F1814" s="3" t="s">
        <v>2308</v>
      </c>
      <c r="G1814" s="2" t="s">
        <v>733</v>
      </c>
      <c r="H1814" s="2" t="s">
        <v>2005</v>
      </c>
      <c r="I1814" s="3">
        <v>1.0</v>
      </c>
      <c r="J1814" s="3"/>
      <c r="K1814" s="5">
        <v>113.0</v>
      </c>
      <c r="L1814" s="6"/>
      <c r="M1814" s="6" t="str">
        <f>IF(D1814&lt;&gt;"",VLOOKUP(H1814,TABLEITEM,3,FALSE),"")</f>
        <v>กระจกใส  414x714 T 5.0</v>
      </c>
      <c r="N1814" s="7">
        <f>INSTOCK!$I1814*INSTOCK!$K1814</f>
        <v>113</v>
      </c>
      <c r="O1814" s="2"/>
      <c r="P1814" s="2"/>
    </row>
    <row r="1815" ht="18.0" hidden="1" customHeight="1">
      <c r="A1815" s="1"/>
      <c r="B1815" s="3"/>
      <c r="C1815" s="4">
        <v>43718.0</v>
      </c>
      <c r="D1815" s="2" t="s">
        <v>2309</v>
      </c>
      <c r="E1815" s="2">
        <v>6.209001322E9</v>
      </c>
      <c r="F1815" s="3" t="s">
        <v>161</v>
      </c>
      <c r="G1815" s="2" t="s">
        <v>171</v>
      </c>
      <c r="H1815" s="2" t="s">
        <v>42</v>
      </c>
      <c r="I1815" s="3">
        <v>200.0</v>
      </c>
      <c r="J1815" s="3"/>
      <c r="K1815" s="5">
        <v>1177.4625</v>
      </c>
      <c r="L1815" s="6"/>
      <c r="M1815" s="6" t="str">
        <f>IF(D1815&lt;&gt;"",VLOOKUP(H1815,TABLEITEM,3,FALSE),"")</f>
        <v>เหล็กแผ่นEG4'x8'T2.0</v>
      </c>
      <c r="N1815" s="7">
        <f>INSTOCK!$I1815*INSTOCK!$K1815</f>
        <v>235492.5</v>
      </c>
      <c r="O1815" s="2"/>
      <c r="P1815" s="2"/>
    </row>
    <row r="1816" ht="18.0" hidden="1" customHeight="1">
      <c r="A1816" s="1"/>
      <c r="B1816" s="3"/>
      <c r="C1816" s="4">
        <v>43724.0</v>
      </c>
      <c r="D1816" s="2" t="s">
        <v>2310</v>
      </c>
      <c r="E1816" s="2">
        <v>6.209001361E9</v>
      </c>
      <c r="F1816" s="3" t="s">
        <v>2311</v>
      </c>
      <c r="G1816" s="2" t="s">
        <v>171</v>
      </c>
      <c r="H1816" s="2" t="s">
        <v>39</v>
      </c>
      <c r="I1816" s="3">
        <v>100.0</v>
      </c>
      <c r="J1816" s="3"/>
      <c r="K1816" s="5">
        <v>702.525</v>
      </c>
      <c r="L1816" s="6"/>
      <c r="M1816" s="6" t="str">
        <f>IF(D1816&lt;&gt;"",VLOOKUP(H1816,TABLEITEM,3,FALSE),"")</f>
        <v>เหล็กแผ่นEG4'x8'T1.2</v>
      </c>
      <c r="N1816" s="7">
        <f>INSTOCK!$I1816*INSTOCK!$K1816</f>
        <v>70252.5</v>
      </c>
      <c r="O1816" s="2"/>
      <c r="P1816" s="2"/>
    </row>
    <row r="1817" ht="18.0" hidden="1" customHeight="1">
      <c r="A1817" s="1"/>
      <c r="B1817" s="3"/>
      <c r="C1817" s="4">
        <v>43725.0</v>
      </c>
      <c r="D1817" s="2" t="s">
        <v>2312</v>
      </c>
      <c r="E1817" s="2"/>
      <c r="F1817" s="3" t="s">
        <v>161</v>
      </c>
      <c r="G1817" s="2" t="s">
        <v>456</v>
      </c>
      <c r="H1817" s="2" t="s">
        <v>539</v>
      </c>
      <c r="I1817" s="3">
        <v>40.0</v>
      </c>
      <c r="J1817" s="3"/>
      <c r="K1817" s="5"/>
      <c r="L1817" s="6"/>
      <c r="M1817" s="6" t="str">
        <f>IF(D1817&lt;&gt;"",VLOOKUP(H1817,TABLEITEM,3,FALSE),"")</f>
        <v>แพลทยึดอุปกรณ์595x250</v>
      </c>
      <c r="N1817" s="7">
        <f>INSTOCK!$I1817*INSTOCK!$K1817</f>
        <v>0</v>
      </c>
      <c r="O1817" s="2"/>
      <c r="P1817" s="2"/>
    </row>
    <row r="1818" ht="18.0" hidden="1" customHeight="1">
      <c r="A1818" s="1"/>
      <c r="B1818" s="3"/>
      <c r="C1818" s="4">
        <v>43725.0</v>
      </c>
      <c r="D1818" s="2" t="s">
        <v>2313</v>
      </c>
      <c r="E1818" s="2"/>
      <c r="F1818" s="3" t="s">
        <v>161</v>
      </c>
      <c r="G1818" s="2" t="s">
        <v>456</v>
      </c>
      <c r="H1818" s="2" t="s">
        <v>464</v>
      </c>
      <c r="I1818" s="3">
        <v>102.0</v>
      </c>
      <c r="J1818" s="3"/>
      <c r="K1818" s="5"/>
      <c r="L1818" s="6"/>
      <c r="M1818" s="6" t="str">
        <f>IF(D1818&lt;&gt;"",VLOOKUP(H1818,TABLEITEM,3,FALSE),"")</f>
        <v>คานต่อโครง 80x45x3mmx420</v>
      </c>
      <c r="N1818" s="7">
        <f>INSTOCK!$I1818*INSTOCK!$K1818</f>
        <v>0</v>
      </c>
      <c r="O1818" s="2"/>
      <c r="P1818" s="2"/>
    </row>
    <row r="1819" ht="18.0" hidden="1" customHeight="1">
      <c r="A1819" s="1"/>
      <c r="B1819" s="3"/>
      <c r="C1819" s="4">
        <v>43725.0</v>
      </c>
      <c r="D1819" s="2" t="s">
        <v>2314</v>
      </c>
      <c r="E1819" s="2"/>
      <c r="F1819" s="3" t="s">
        <v>161</v>
      </c>
      <c r="G1819" s="2" t="s">
        <v>456</v>
      </c>
      <c r="H1819" s="2" t="s">
        <v>466</v>
      </c>
      <c r="I1819" s="3">
        <v>162.0</v>
      </c>
      <c r="J1819" s="3"/>
      <c r="K1819" s="5"/>
      <c r="L1819" s="6"/>
      <c r="M1819" s="6" t="str">
        <f>IF(D1819&lt;&gt;"",VLOOKUP(H1819,TABLEITEM,3,FALSE),"")</f>
        <v>คานเจปรับระดับ754x68x35T3.0</v>
      </c>
      <c r="N1819" s="7">
        <f>INSTOCK!$I1819*INSTOCK!$K1819</f>
        <v>0</v>
      </c>
      <c r="O1819" s="2"/>
      <c r="P1819" s="2"/>
    </row>
    <row r="1820" ht="18.0" hidden="1" customHeight="1">
      <c r="A1820" s="1"/>
      <c r="B1820" s="3"/>
      <c r="C1820" s="4">
        <v>43725.0</v>
      </c>
      <c r="D1820" s="2" t="s">
        <v>2315</v>
      </c>
      <c r="E1820" s="2"/>
      <c r="F1820" s="3" t="s">
        <v>2316</v>
      </c>
      <c r="G1820" s="2" t="s">
        <v>953</v>
      </c>
      <c r="H1820" s="2" t="s">
        <v>2317</v>
      </c>
      <c r="I1820" s="3">
        <v>8.0</v>
      </c>
      <c r="J1820" s="3"/>
      <c r="K1820" s="5">
        <v>350.0</v>
      </c>
      <c r="L1820" s="6"/>
      <c r="M1820" s="6" t="str">
        <f>IF(D1820&lt;&gt;"",VLOOKUP(H1820,TABLEITEM,3,FALSE),"")</f>
        <v>กระจกลวด 154x234 หนา 6มิล</v>
      </c>
      <c r="N1820" s="7">
        <f>INSTOCK!$I1820*INSTOCK!$K1820</f>
        <v>2800</v>
      </c>
      <c r="O1820" s="2"/>
      <c r="P1820" s="2"/>
    </row>
    <row r="1821" ht="18.0" hidden="1" customHeight="1">
      <c r="A1821" s="1"/>
      <c r="B1821" s="3"/>
      <c r="C1821" s="4">
        <v>43725.0</v>
      </c>
      <c r="D1821" s="2" t="s">
        <v>2315</v>
      </c>
      <c r="E1821" s="2"/>
      <c r="F1821" s="3" t="s">
        <v>2316</v>
      </c>
      <c r="G1821" s="2" t="s">
        <v>953</v>
      </c>
      <c r="H1821" s="2" t="s">
        <v>2318</v>
      </c>
      <c r="I1821" s="3">
        <v>8.0</v>
      </c>
      <c r="J1821" s="3"/>
      <c r="K1821" s="5">
        <v>800.0</v>
      </c>
      <c r="L1821" s="6"/>
      <c r="M1821" s="6" t="str">
        <f>IF(D1821&lt;&gt;"",VLOOKUP(H1821,TABLEITEM,3,FALSE),"")</f>
        <v>กระจกลวด 264x464 หนา 6มิล</v>
      </c>
      <c r="N1821" s="7">
        <f>INSTOCK!$I1821*INSTOCK!$K1821</f>
        <v>6400</v>
      </c>
      <c r="O1821" s="2"/>
      <c r="P1821" s="2"/>
    </row>
    <row r="1822" ht="18.0" hidden="1" customHeight="1">
      <c r="A1822" s="1"/>
      <c r="B1822" s="3"/>
      <c r="C1822" s="4">
        <v>43724.0</v>
      </c>
      <c r="D1822" s="2" t="s">
        <v>2319</v>
      </c>
      <c r="E1822" s="2">
        <v>6.209001362E9</v>
      </c>
      <c r="F1822" s="3" t="s">
        <v>161</v>
      </c>
      <c r="G1822" s="2" t="s">
        <v>202</v>
      </c>
      <c r="H1822" s="2" t="s">
        <v>85</v>
      </c>
      <c r="I1822" s="3">
        <v>300.0</v>
      </c>
      <c r="J1822" s="3" t="s">
        <v>78</v>
      </c>
      <c r="K1822" s="5">
        <v>38.3334</v>
      </c>
      <c r="L1822" s="6"/>
      <c r="M1822" s="6" t="str">
        <f>IF(D1822&lt;&gt;"",VLOOKUP(H1822,TABLEITEM,3,FALSE),"")</f>
        <v>เหล็กฉาก 1''1/2'หนา3 มิล</v>
      </c>
      <c r="N1822" s="7">
        <f>INSTOCK!$I1822*INSTOCK!$K1822</f>
        <v>11500.02</v>
      </c>
      <c r="O1822" s="2" t="s">
        <v>2320</v>
      </c>
      <c r="P1822" s="2"/>
    </row>
    <row r="1823" ht="18.0" hidden="1" customHeight="1">
      <c r="A1823" s="1"/>
      <c r="B1823" s="3"/>
      <c r="C1823" s="4">
        <v>43721.0</v>
      </c>
      <c r="D1823" s="2" t="s">
        <v>2321</v>
      </c>
      <c r="E1823" s="2">
        <v>6.209001396E9</v>
      </c>
      <c r="F1823" s="3" t="s">
        <v>2289</v>
      </c>
      <c r="G1823" s="2" t="s">
        <v>733</v>
      </c>
      <c r="H1823" s="2" t="s">
        <v>2207</v>
      </c>
      <c r="I1823" s="3">
        <v>2.0</v>
      </c>
      <c r="J1823" s="3"/>
      <c r="K1823" s="5">
        <v>38.0</v>
      </c>
      <c r="L1823" s="6"/>
      <c r="M1823" s="6" t="str">
        <f>IF(D1823&lt;&gt;"",VLOOKUP(H1823,TABLEITEM,3,FALSE),"")</f>
        <v>กระจกใส 294x414 หนา 3.0มิล</v>
      </c>
      <c r="N1823" s="7">
        <f>INSTOCK!$I1823*INSTOCK!$K1823</f>
        <v>76</v>
      </c>
      <c r="O1823" s="2"/>
      <c r="P1823" s="2"/>
    </row>
    <row r="1824" ht="18.0" hidden="1" customHeight="1">
      <c r="A1824" s="1"/>
      <c r="B1824" s="3"/>
      <c r="C1824" s="4">
        <v>43722.0</v>
      </c>
      <c r="D1824" s="2" t="s">
        <v>2322</v>
      </c>
      <c r="E1824" s="2">
        <v>6.209001396E9</v>
      </c>
      <c r="F1824" s="3" t="s">
        <v>2323</v>
      </c>
      <c r="G1824" s="2" t="s">
        <v>733</v>
      </c>
      <c r="H1824" s="2" t="s">
        <v>2324</v>
      </c>
      <c r="I1824" s="3">
        <v>1.0</v>
      </c>
      <c r="J1824" s="3"/>
      <c r="K1824" s="5">
        <v>25.0</v>
      </c>
      <c r="L1824" s="6"/>
      <c r="M1824" s="6" t="str">
        <f>IF(D1824&lt;&gt;"",VLOOKUP(H1824,TABLEITEM,3,FALSE),"")</f>
        <v>กระจกใส 294x304 หนา 3.0มิล</v>
      </c>
      <c r="N1824" s="7">
        <f>INSTOCK!$I1824*INSTOCK!$K1824</f>
        <v>25</v>
      </c>
      <c r="O1824" s="2"/>
      <c r="P1824" s="2"/>
    </row>
    <row r="1825" ht="18.0" hidden="1" customHeight="1">
      <c r="A1825" s="1"/>
      <c r="B1825" s="3"/>
      <c r="C1825" s="4">
        <v>43724.0</v>
      </c>
      <c r="D1825" s="2" t="s">
        <v>2325</v>
      </c>
      <c r="E1825" s="2">
        <v>6.209001396E9</v>
      </c>
      <c r="F1825" s="3" t="s">
        <v>2326</v>
      </c>
      <c r="G1825" s="2" t="s">
        <v>733</v>
      </c>
      <c r="H1825" s="2" t="s">
        <v>2327</v>
      </c>
      <c r="I1825" s="3">
        <v>6.0</v>
      </c>
      <c r="J1825" s="3"/>
      <c r="K1825" s="5">
        <v>25.0</v>
      </c>
      <c r="L1825" s="6"/>
      <c r="M1825" s="6" t="str">
        <f>IF(D1825&lt;&gt;"",VLOOKUP(H1825,TABLEITEM,3,FALSE),"")</f>
        <v>กระจกใส 264x304 หนา 3.0มิล</v>
      </c>
      <c r="N1825" s="7">
        <f>INSTOCK!$I1825*INSTOCK!$K1825</f>
        <v>150</v>
      </c>
      <c r="O1825" s="2"/>
      <c r="P1825" s="2"/>
    </row>
    <row r="1826" ht="18.0" hidden="1" customHeight="1">
      <c r="A1826" s="1"/>
      <c r="B1826" s="3"/>
      <c r="C1826" s="4">
        <v>43718.0</v>
      </c>
      <c r="D1826" s="2" t="s">
        <v>2328</v>
      </c>
      <c r="E1826" s="2">
        <v>6.209001396E9</v>
      </c>
      <c r="F1826" s="3" t="s">
        <v>2329</v>
      </c>
      <c r="G1826" s="2" t="s">
        <v>733</v>
      </c>
      <c r="H1826" s="2" t="s">
        <v>2330</v>
      </c>
      <c r="I1826" s="3">
        <v>1.0</v>
      </c>
      <c r="J1826" s="3"/>
      <c r="K1826" s="5">
        <v>25.0</v>
      </c>
      <c r="L1826" s="6"/>
      <c r="M1826" s="6" t="str">
        <f>IF(D1826&lt;&gt;"",VLOOKUP(H1826,TABLEITEM,3,FALSE),"")</f>
        <v>กระจกใส 144x264 หนา 3.0มิล</v>
      </c>
      <c r="N1826" s="7">
        <f>INSTOCK!$I1826*INSTOCK!$K1826</f>
        <v>25</v>
      </c>
      <c r="O1826" s="2"/>
      <c r="P1826" s="2"/>
    </row>
    <row r="1827" ht="18.0" hidden="1" customHeight="1">
      <c r="A1827" s="1"/>
      <c r="B1827" s="3"/>
      <c r="C1827" s="4">
        <v>43722.0</v>
      </c>
      <c r="D1827" s="2" t="s">
        <v>2331</v>
      </c>
      <c r="E1827" s="2">
        <v>6.209001396E9</v>
      </c>
      <c r="F1827" s="3" t="s">
        <v>2332</v>
      </c>
      <c r="G1827" s="2" t="s">
        <v>733</v>
      </c>
      <c r="H1827" s="2" t="s">
        <v>2333</v>
      </c>
      <c r="I1827" s="3">
        <v>4.0</v>
      </c>
      <c r="J1827" s="3"/>
      <c r="K1827" s="5">
        <v>90.0</v>
      </c>
      <c r="L1827" s="6"/>
      <c r="M1827" s="6" t="str">
        <f>IF(D1827&lt;&gt;"",VLOOKUP(H1827,TABLEITEM,3,FALSE),"")</f>
        <v>กระจกใส 414x594 หนา 5.0มิล</v>
      </c>
      <c r="N1827" s="7">
        <f>INSTOCK!$I1827*INSTOCK!$K1827</f>
        <v>360</v>
      </c>
      <c r="O1827" s="2"/>
      <c r="P1827" s="2"/>
    </row>
    <row r="1828" ht="18.0" hidden="1" customHeight="1">
      <c r="A1828" s="1"/>
      <c r="B1828" s="3"/>
      <c r="C1828" s="4">
        <v>43722.0</v>
      </c>
      <c r="D1828" s="2" t="s">
        <v>2334</v>
      </c>
      <c r="E1828" s="2">
        <v>6.209001396E9</v>
      </c>
      <c r="F1828" s="3" t="s">
        <v>2335</v>
      </c>
      <c r="G1828" s="2" t="s">
        <v>733</v>
      </c>
      <c r="H1828" s="2" t="s">
        <v>2336</v>
      </c>
      <c r="I1828" s="3">
        <v>1.0</v>
      </c>
      <c r="J1828" s="3"/>
      <c r="K1828" s="5">
        <v>120.0</v>
      </c>
      <c r="L1828" s="6"/>
      <c r="M1828" s="6" t="str">
        <f>IF(D1828&lt;&gt;"",VLOOKUP(H1828,TABLEITEM,3,FALSE),"")</f>
        <v>กระจกใส 534x594 หนา 5.0มิล</v>
      </c>
      <c r="N1828" s="7">
        <f>INSTOCK!$I1828*INSTOCK!$K1828</f>
        <v>120</v>
      </c>
      <c r="O1828" s="2"/>
      <c r="P1828" s="2"/>
    </row>
    <row r="1829" ht="18.0" hidden="1" customHeight="1">
      <c r="A1829" s="1"/>
      <c r="B1829" s="3"/>
      <c r="C1829" s="4">
        <v>43722.0</v>
      </c>
      <c r="D1829" s="2" t="s">
        <v>2337</v>
      </c>
      <c r="E1829" s="2">
        <v>6.209001396E9</v>
      </c>
      <c r="F1829" s="3" t="s">
        <v>2338</v>
      </c>
      <c r="G1829" s="2" t="s">
        <v>733</v>
      </c>
      <c r="H1829" s="2" t="s">
        <v>2339</v>
      </c>
      <c r="I1829" s="3">
        <v>2.0</v>
      </c>
      <c r="J1829" s="3"/>
      <c r="K1829" s="5">
        <v>150.0</v>
      </c>
      <c r="L1829" s="6"/>
      <c r="M1829" s="6" t="str">
        <f>IF(D1829&lt;&gt;"",VLOOKUP(H1829,TABLEITEM,3,FALSE),"")</f>
        <v>กระจกใส 594x614 หนา 5.0มิล</v>
      </c>
      <c r="N1829" s="7">
        <f>INSTOCK!$I1829*INSTOCK!$K1829</f>
        <v>300</v>
      </c>
      <c r="O1829" s="2"/>
      <c r="P1829" s="2"/>
    </row>
    <row r="1830" ht="18.0" hidden="1" customHeight="1">
      <c r="A1830" s="1"/>
      <c r="B1830" s="3"/>
      <c r="C1830" s="4">
        <v>43722.0</v>
      </c>
      <c r="D1830" s="2" t="s">
        <v>2340</v>
      </c>
      <c r="E1830" s="2">
        <v>6.209001396E9</v>
      </c>
      <c r="F1830" s="3" t="s">
        <v>2341</v>
      </c>
      <c r="G1830" s="2" t="s">
        <v>733</v>
      </c>
      <c r="H1830" s="2" t="s">
        <v>2342</v>
      </c>
      <c r="I1830" s="3">
        <v>1.0</v>
      </c>
      <c r="J1830" s="3"/>
      <c r="K1830" s="5">
        <v>60.0</v>
      </c>
      <c r="L1830" s="6"/>
      <c r="M1830" s="6" t="str">
        <f>IF(D1830&lt;&gt;"",VLOOKUP(H1830,TABLEITEM,3,FALSE),"")</f>
        <v>กระจกใส 294x594 หนา 5.0มิล</v>
      </c>
      <c r="N1830" s="7">
        <f>INSTOCK!$I1830*INSTOCK!$K1830</f>
        <v>60</v>
      </c>
      <c r="O1830" s="2"/>
      <c r="P1830" s="2"/>
    </row>
    <row r="1831" ht="18.0" hidden="1" customHeight="1">
      <c r="A1831" s="1"/>
      <c r="B1831" s="3"/>
      <c r="C1831" s="4">
        <v>43727.0</v>
      </c>
      <c r="D1831" s="2" t="s">
        <v>1759</v>
      </c>
      <c r="E1831" s="2"/>
      <c r="F1831" s="3" t="s">
        <v>161</v>
      </c>
      <c r="G1831" s="2" t="s">
        <v>456</v>
      </c>
      <c r="H1831" s="2" t="s">
        <v>540</v>
      </c>
      <c r="I1831" s="3">
        <v>12.0</v>
      </c>
      <c r="J1831" s="3"/>
      <c r="K1831" s="5"/>
      <c r="L1831" s="6"/>
      <c r="M1831" s="6" t="str">
        <f>IF(D1831&lt;&gt;"",VLOOKUP(H1831,TABLEITEM,3,FALSE),"")</f>
        <v>แพลทยึดอุปกรณ์595x690</v>
      </c>
      <c r="N1831" s="7">
        <f>INSTOCK!$I1831*INSTOCK!$K1831</f>
        <v>0</v>
      </c>
      <c r="O1831" s="2"/>
      <c r="P1831" s="2"/>
    </row>
    <row r="1832" ht="18.0" hidden="1" customHeight="1">
      <c r="A1832" s="1"/>
      <c r="B1832" s="3"/>
      <c r="C1832" s="4">
        <v>43727.0</v>
      </c>
      <c r="D1832" s="2" t="s">
        <v>2127</v>
      </c>
      <c r="E1832" s="2"/>
      <c r="F1832" s="3" t="s">
        <v>161</v>
      </c>
      <c r="G1832" s="2" t="s">
        <v>456</v>
      </c>
      <c r="H1832" s="2" t="s">
        <v>493</v>
      </c>
      <c r="I1832" s="3">
        <v>180.0</v>
      </c>
      <c r="J1832" s="3"/>
      <c r="K1832" s="5"/>
      <c r="L1832" s="6"/>
      <c r="M1832" s="6" t="str">
        <f>IF(D1832&lt;&gt;"",VLOOKUP(H1832,TABLEITEM,3,FALSE),"")</f>
        <v>เสาเชื่อม2125x40x50</v>
      </c>
      <c r="N1832" s="7">
        <f>INSTOCK!$I1832*INSTOCK!$K1832</f>
        <v>0</v>
      </c>
      <c r="O1832" s="2"/>
      <c r="P1832" s="2"/>
    </row>
    <row r="1833" ht="18.0" hidden="1" customHeight="1">
      <c r="A1833" s="1"/>
      <c r="B1833" s="3"/>
      <c r="C1833" s="4">
        <v>43727.0</v>
      </c>
      <c r="D1833" s="2" t="s">
        <v>2021</v>
      </c>
      <c r="E1833" s="2"/>
      <c r="F1833" s="3" t="s">
        <v>161</v>
      </c>
      <c r="G1833" s="2" t="s">
        <v>456</v>
      </c>
      <c r="H1833" s="2" t="s">
        <v>525</v>
      </c>
      <c r="I1833" s="3">
        <v>180.0</v>
      </c>
      <c r="J1833" s="3"/>
      <c r="K1833" s="5"/>
      <c r="L1833" s="6"/>
      <c r="M1833" s="6" t="str">
        <f>IF(D1833&lt;&gt;"",VLOOKUP(H1833,TABLEITEM,3,FALSE),"")</f>
        <v>เสาเชื่อม2275x40x50</v>
      </c>
      <c r="N1833" s="7">
        <f>INSTOCK!$I1833*INSTOCK!$K1833</f>
        <v>0</v>
      </c>
      <c r="O1833" s="2"/>
      <c r="P1833" s="2"/>
    </row>
    <row r="1834" ht="18.0" hidden="1" customHeight="1">
      <c r="A1834" s="1"/>
      <c r="B1834" s="3"/>
      <c r="C1834" s="4">
        <v>43727.0</v>
      </c>
      <c r="D1834" s="2" t="s">
        <v>2161</v>
      </c>
      <c r="E1834" s="2"/>
      <c r="F1834" s="3" t="s">
        <v>161</v>
      </c>
      <c r="G1834" s="2" t="s">
        <v>456</v>
      </c>
      <c r="H1834" s="2" t="s">
        <v>723</v>
      </c>
      <c r="I1834" s="3">
        <v>100.0</v>
      </c>
      <c r="J1834" s="3"/>
      <c r="K1834" s="5"/>
      <c r="L1834" s="6"/>
      <c r="M1834" s="6" t="str">
        <f>IF(D1834&lt;&gt;"",VLOOKUP(H1834,TABLEITEM,3,FALSE),"")</f>
        <v>คานเชื่อม600</v>
      </c>
      <c r="N1834" s="7">
        <f>INSTOCK!$I1834*INSTOCK!$K1834</f>
        <v>0</v>
      </c>
      <c r="O1834" s="2"/>
      <c r="P1834" s="2"/>
    </row>
    <row r="1835" ht="18.0" hidden="1" customHeight="1">
      <c r="A1835" s="1"/>
      <c r="B1835" s="3"/>
      <c r="C1835" s="4">
        <v>43727.0</v>
      </c>
      <c r="D1835" s="2" t="s">
        <v>2161</v>
      </c>
      <c r="E1835" s="2"/>
      <c r="F1835" s="3" t="s">
        <v>161</v>
      </c>
      <c r="G1835" s="2" t="s">
        <v>456</v>
      </c>
      <c r="H1835" s="2" t="s">
        <v>495</v>
      </c>
      <c r="I1835" s="3">
        <v>216.0</v>
      </c>
      <c r="J1835" s="3"/>
      <c r="K1835" s="5"/>
      <c r="L1835" s="6"/>
      <c r="M1835" s="6" t="str">
        <f>IF(D1835&lt;&gt;"",VLOOKUP(H1835,TABLEITEM,3,FALSE),"")</f>
        <v>คานเชื่อม800</v>
      </c>
      <c r="N1835" s="7">
        <f>INSTOCK!$I1835*INSTOCK!$K1835</f>
        <v>0</v>
      </c>
      <c r="O1835" s="2"/>
      <c r="P1835" s="2"/>
    </row>
    <row r="1836" ht="18.0" hidden="1" customHeight="1">
      <c r="A1836" s="1"/>
      <c r="B1836" s="3"/>
      <c r="C1836" s="4">
        <v>43731.0</v>
      </c>
      <c r="D1836" s="2" t="s">
        <v>2343</v>
      </c>
      <c r="E1836" s="2"/>
      <c r="F1836" s="3" t="s">
        <v>161</v>
      </c>
      <c r="G1836" s="2" t="s">
        <v>456</v>
      </c>
      <c r="H1836" s="2" t="s">
        <v>707</v>
      </c>
      <c r="I1836" s="3">
        <v>20.0</v>
      </c>
      <c r="J1836" s="3"/>
      <c r="K1836" s="5"/>
      <c r="L1836" s="6"/>
      <c r="M1836" s="6" t="str">
        <f>IF(D1836&lt;&gt;"",VLOOKUP(H1836,TABLEITEM,3,FALSE),"")</f>
        <v>ฝาข้าง-ฝาหลัง 1875x320</v>
      </c>
      <c r="N1836" s="7">
        <f>INSTOCK!$I1836*INSTOCK!$K1836</f>
        <v>0</v>
      </c>
      <c r="O1836" s="2"/>
      <c r="P1836" s="2"/>
    </row>
    <row r="1837" ht="18.0" hidden="1" customHeight="1">
      <c r="A1837" s="1"/>
      <c r="B1837" s="3"/>
      <c r="C1837" s="4">
        <v>43731.0</v>
      </c>
      <c r="D1837" s="2" t="s">
        <v>2344</v>
      </c>
      <c r="E1837" s="2"/>
      <c r="F1837" s="3" t="s">
        <v>161</v>
      </c>
      <c r="G1837" s="2" t="s">
        <v>456</v>
      </c>
      <c r="H1837" s="2" t="s">
        <v>653</v>
      </c>
      <c r="I1837" s="3">
        <v>10.0</v>
      </c>
      <c r="J1837" s="3"/>
      <c r="K1837" s="5"/>
      <c r="L1837" s="6"/>
      <c r="M1837" s="6" t="str">
        <f>IF(D1837&lt;&gt;"",VLOOKUP(H1837,TABLEITEM,3,FALSE),"")</f>
        <v>ฝาข้าง-ฝาหลัง 2075x970</v>
      </c>
      <c r="N1837" s="7">
        <f>INSTOCK!$I1837*INSTOCK!$K1837</f>
        <v>0</v>
      </c>
      <c r="O1837" s="2"/>
      <c r="P1837" s="2"/>
    </row>
    <row r="1838" ht="18.0" hidden="1" customHeight="1">
      <c r="A1838" s="1"/>
      <c r="B1838" s="3"/>
      <c r="C1838" s="4">
        <v>43731.0</v>
      </c>
      <c r="D1838" s="2" t="s">
        <v>2345</v>
      </c>
      <c r="E1838" s="2"/>
      <c r="F1838" s="3" t="s">
        <v>161</v>
      </c>
      <c r="G1838" s="2" t="s">
        <v>456</v>
      </c>
      <c r="H1838" s="2" t="s">
        <v>598</v>
      </c>
      <c r="I1838" s="3">
        <v>20.0</v>
      </c>
      <c r="J1838" s="3"/>
      <c r="K1838" s="5"/>
      <c r="L1838" s="6"/>
      <c r="M1838" s="6" t="str">
        <f>IF(D1838&lt;&gt;"",VLOOKUP(H1838,TABLEITEM,3,FALSE),"")</f>
        <v>ฝาข้าง-ฝาหลัง 2075x470</v>
      </c>
      <c r="N1838" s="7">
        <f>INSTOCK!$I1838*INSTOCK!$K1838</f>
        <v>0</v>
      </c>
      <c r="O1838" s="2"/>
      <c r="P1838" s="2"/>
    </row>
    <row r="1839" ht="18.0" hidden="1" customHeight="1">
      <c r="A1839" s="1"/>
      <c r="B1839" s="3"/>
      <c r="C1839" s="4">
        <v>43731.0</v>
      </c>
      <c r="D1839" s="2" t="s">
        <v>2346</v>
      </c>
      <c r="E1839" s="2"/>
      <c r="F1839" s="3" t="s">
        <v>161</v>
      </c>
      <c r="G1839" s="2" t="s">
        <v>456</v>
      </c>
      <c r="H1839" s="2" t="s">
        <v>1127</v>
      </c>
      <c r="I1839" s="3">
        <v>42.0</v>
      </c>
      <c r="J1839" s="3"/>
      <c r="K1839" s="5"/>
      <c r="L1839" s="6"/>
      <c r="M1839" s="6" t="str">
        <f>IF(D1839&lt;&gt;"",VLOOKUP(H1839,TABLEITEM,3,FALSE),"")</f>
        <v>คานรับลูกถ้วย 50x40x620</v>
      </c>
      <c r="N1839" s="7">
        <f>INSTOCK!$I1839*INSTOCK!$K1839</f>
        <v>0</v>
      </c>
      <c r="O1839" s="2"/>
      <c r="P1839" s="2"/>
    </row>
    <row r="1840" ht="18.0" hidden="1" customHeight="1">
      <c r="A1840" s="1"/>
      <c r="B1840" s="3"/>
      <c r="C1840" s="4">
        <v>43731.0</v>
      </c>
      <c r="D1840" s="2" t="s">
        <v>2347</v>
      </c>
      <c r="E1840" s="2"/>
      <c r="F1840" s="3" t="s">
        <v>161</v>
      </c>
      <c r="G1840" s="2" t="s">
        <v>456</v>
      </c>
      <c r="H1840" s="2" t="s">
        <v>537</v>
      </c>
      <c r="I1840" s="3">
        <v>42.0</v>
      </c>
      <c r="J1840" s="3"/>
      <c r="K1840" s="5"/>
      <c r="L1840" s="6"/>
      <c r="M1840" s="6" t="str">
        <f>IF(D1840&lt;&gt;"",VLOOKUP(H1840,TABLEITEM,3,FALSE),"")</f>
        <v>หมวกตู้ 60x975</v>
      </c>
      <c r="N1840" s="7">
        <f>INSTOCK!$I1840*INSTOCK!$K1840</f>
        <v>0</v>
      </c>
      <c r="O1840" s="2"/>
      <c r="P1840" s="2"/>
    </row>
    <row r="1841" ht="18.0" hidden="1" customHeight="1">
      <c r="A1841" s="1"/>
      <c r="B1841" s="3"/>
      <c r="C1841" s="4">
        <v>43731.0</v>
      </c>
      <c r="D1841" s="2" t="s">
        <v>2348</v>
      </c>
      <c r="E1841" s="2"/>
      <c r="F1841" s="3" t="s">
        <v>161</v>
      </c>
      <c r="G1841" s="2" t="s">
        <v>456</v>
      </c>
      <c r="H1841" s="2" t="s">
        <v>487</v>
      </c>
      <c r="I1841" s="3">
        <v>42.0</v>
      </c>
      <c r="J1841" s="3"/>
      <c r="K1841" s="5"/>
      <c r="L1841" s="6"/>
      <c r="M1841" s="6" t="str">
        <f>IF(D1841&lt;&gt;"",VLOOKUP(H1841,TABLEITEM,3,FALSE),"")</f>
        <v>กระเป๋าเอกสารรุ่น 316x224</v>
      </c>
      <c r="N1841" s="7">
        <f>INSTOCK!$I1841*INSTOCK!$K1841</f>
        <v>0</v>
      </c>
      <c r="O1841" s="2"/>
      <c r="P1841" s="2"/>
    </row>
    <row r="1842" ht="18.0" hidden="1" customHeight="1">
      <c r="A1842" s="1"/>
      <c r="B1842" s="3"/>
      <c r="C1842" s="4">
        <v>43728.0</v>
      </c>
      <c r="D1842" s="2" t="s">
        <v>2349</v>
      </c>
      <c r="E1842" s="2">
        <v>6.209001387E9</v>
      </c>
      <c r="F1842" s="3" t="s">
        <v>2350</v>
      </c>
      <c r="G1842" s="2" t="s">
        <v>153</v>
      </c>
      <c r="H1842" s="2" t="s">
        <v>150</v>
      </c>
      <c r="I1842" s="3">
        <v>42.0</v>
      </c>
      <c r="J1842" s="3" t="s">
        <v>78</v>
      </c>
      <c r="K1842" s="5">
        <v>491.6667</v>
      </c>
      <c r="L1842" s="6"/>
      <c r="M1842" s="6" t="str">
        <f>IF(D1842&lt;&gt;"",VLOOKUP(H1842,TABLEITEM,3,FALSE),"")</f>
        <v>เหล็กเอชบีม 100x100x6x8</v>
      </c>
      <c r="N1842" s="7">
        <f>INSTOCK!$I1842*INSTOCK!$K1842</f>
        <v>20650.0014</v>
      </c>
      <c r="O1842" s="2" t="s">
        <v>2351</v>
      </c>
      <c r="P1842" s="2"/>
    </row>
    <row r="1843" ht="18.0" hidden="1" customHeight="1">
      <c r="A1843" s="1"/>
      <c r="B1843" s="3"/>
      <c r="C1843" s="4">
        <v>43731.0</v>
      </c>
      <c r="D1843" s="2">
        <v>242.0</v>
      </c>
      <c r="E1843" s="2"/>
      <c r="F1843" s="3" t="s">
        <v>2352</v>
      </c>
      <c r="G1843" s="2" t="s">
        <v>953</v>
      </c>
      <c r="H1843" s="2" t="s">
        <v>2318</v>
      </c>
      <c r="I1843" s="3">
        <v>8.0</v>
      </c>
      <c r="J1843" s="3"/>
      <c r="K1843" s="5">
        <v>800.0</v>
      </c>
      <c r="L1843" s="6"/>
      <c r="M1843" s="6" t="str">
        <f>IF(D1843&lt;&gt;"",VLOOKUP(H1843,TABLEITEM,3,FALSE),"")</f>
        <v>กระจกลวด 264x464 หนา 6มิล</v>
      </c>
      <c r="N1843" s="7">
        <f>INSTOCK!$I1843*INSTOCK!$K1843</f>
        <v>6400</v>
      </c>
      <c r="O1843" s="2"/>
      <c r="P1843" s="2"/>
    </row>
    <row r="1844" ht="18.0" hidden="1" customHeight="1">
      <c r="A1844" s="1"/>
      <c r="B1844" s="3"/>
      <c r="C1844" s="4">
        <v>43726.0</v>
      </c>
      <c r="D1844" s="2" t="s">
        <v>2353</v>
      </c>
      <c r="E1844" s="2">
        <v>6.209001442E9</v>
      </c>
      <c r="F1844" s="3" t="s">
        <v>2354</v>
      </c>
      <c r="G1844" s="2" t="s">
        <v>733</v>
      </c>
      <c r="H1844" s="2" t="s">
        <v>2355</v>
      </c>
      <c r="I1844" s="3">
        <v>10.0</v>
      </c>
      <c r="J1844" s="3"/>
      <c r="K1844" s="5">
        <v>30.0</v>
      </c>
      <c r="L1844" s="6"/>
      <c r="M1844" s="6" t="str">
        <f>IF(D1844&lt;&gt;"",VLOOKUP(H1844,TABLEITEM,3,FALSE),"")</f>
        <v>กระจกใส 84x204 หนา 5.0มิล</v>
      </c>
      <c r="N1844" s="7">
        <f>INSTOCK!$I1844*INSTOCK!$K1844</f>
        <v>300</v>
      </c>
      <c r="O1844" s="2"/>
      <c r="P1844" s="2"/>
    </row>
    <row r="1845" ht="18.0" hidden="1" customHeight="1">
      <c r="A1845" s="1"/>
      <c r="B1845" s="3"/>
      <c r="C1845" s="4">
        <v>43726.0</v>
      </c>
      <c r="D1845" s="2" t="s">
        <v>2353</v>
      </c>
      <c r="E1845" s="2">
        <v>6.209001442E9</v>
      </c>
      <c r="F1845" s="3" t="s">
        <v>2354</v>
      </c>
      <c r="G1845" s="2" t="s">
        <v>733</v>
      </c>
      <c r="H1845" s="2" t="s">
        <v>2356</v>
      </c>
      <c r="I1845" s="3">
        <v>15.0</v>
      </c>
      <c r="J1845" s="3"/>
      <c r="K1845" s="5">
        <v>30.0</v>
      </c>
      <c r="L1845" s="6"/>
      <c r="M1845" s="6" t="str">
        <f>IF(D1845&lt;&gt;"",VLOOKUP(H1845,TABLEITEM,3,FALSE),"")</f>
        <v>กระจกใส 227x282 หนา 5.0มิล</v>
      </c>
      <c r="N1845" s="7">
        <f>INSTOCK!$I1845*INSTOCK!$K1845</f>
        <v>450</v>
      </c>
      <c r="O1845" s="2"/>
      <c r="P1845" s="2"/>
    </row>
    <row r="1846" ht="18.0" hidden="1" customHeight="1">
      <c r="A1846" s="1"/>
      <c r="B1846" s="3"/>
      <c r="C1846" s="4">
        <v>43726.0</v>
      </c>
      <c r="D1846" s="2" t="s">
        <v>2353</v>
      </c>
      <c r="E1846" s="2">
        <v>6.209001442E9</v>
      </c>
      <c r="F1846" s="3" t="s">
        <v>2354</v>
      </c>
      <c r="G1846" s="2" t="s">
        <v>733</v>
      </c>
      <c r="H1846" s="2" t="s">
        <v>2357</v>
      </c>
      <c r="I1846" s="3">
        <v>10.0</v>
      </c>
      <c r="J1846" s="3"/>
      <c r="K1846" s="5">
        <v>40.0</v>
      </c>
      <c r="L1846" s="6"/>
      <c r="M1846" s="6" t="str">
        <f>IF(D1846&lt;&gt;"",VLOOKUP(H1846,TABLEITEM,3,FALSE),"")</f>
        <v>กระจกใส 282x307 หนา 5.0มิล</v>
      </c>
      <c r="N1846" s="7">
        <f>INSTOCK!$I1846*INSTOCK!$K1846</f>
        <v>400</v>
      </c>
      <c r="O1846" s="2"/>
      <c r="P1846" s="2"/>
    </row>
    <row r="1847" ht="18.0" hidden="1" customHeight="1">
      <c r="A1847" s="1"/>
      <c r="B1847" s="3"/>
      <c r="C1847" s="4">
        <v>43725.0</v>
      </c>
      <c r="D1847" s="2" t="s">
        <v>2358</v>
      </c>
      <c r="E1847" s="2">
        <v>6.209001442E9</v>
      </c>
      <c r="F1847" s="3" t="s">
        <v>2359</v>
      </c>
      <c r="G1847" s="2" t="s">
        <v>733</v>
      </c>
      <c r="H1847" s="2" t="s">
        <v>2360</v>
      </c>
      <c r="I1847" s="3">
        <v>1.0</v>
      </c>
      <c r="J1847" s="3"/>
      <c r="K1847" s="5">
        <v>180.0</v>
      </c>
      <c r="L1847" s="6"/>
      <c r="M1847" s="6" t="str">
        <f>IF(D1847&lt;&gt;"",VLOOKUP(H1847,TABLEITEM,3,FALSE),"")</f>
        <v>กระจก 472x812 T5.0</v>
      </c>
      <c r="N1847" s="7">
        <f>INSTOCK!$I1847*INSTOCK!$K1847</f>
        <v>180</v>
      </c>
      <c r="O1847" s="2"/>
      <c r="P1847" s="2"/>
    </row>
    <row r="1848" ht="18.0" hidden="1" customHeight="1">
      <c r="A1848" s="1"/>
      <c r="B1848" s="3"/>
      <c r="C1848" s="4">
        <v>43732.0</v>
      </c>
      <c r="D1848" s="2" t="s">
        <v>2361</v>
      </c>
      <c r="E1848" s="2">
        <v>6.209001442E9</v>
      </c>
      <c r="F1848" s="3" t="s">
        <v>2362</v>
      </c>
      <c r="G1848" s="2" t="s">
        <v>733</v>
      </c>
      <c r="H1848" s="2" t="s">
        <v>2363</v>
      </c>
      <c r="I1848" s="3">
        <v>7.0</v>
      </c>
      <c r="J1848" s="3"/>
      <c r="K1848" s="5">
        <v>90.0</v>
      </c>
      <c r="L1848" s="6"/>
      <c r="M1848" s="6" t="str">
        <f>IF(D1848&lt;&gt;"",VLOOKUP(H1848,TABLEITEM,3,FALSE),"")</f>
        <v>กระจกใส 334x484 หนา 5.0มิล</v>
      </c>
      <c r="N1848" s="7">
        <f>INSTOCK!$I1848*INSTOCK!$K1848</f>
        <v>630</v>
      </c>
      <c r="O1848" s="2"/>
      <c r="P1848" s="2"/>
    </row>
    <row r="1849" ht="18.0" hidden="1" customHeight="1">
      <c r="A1849" s="1"/>
      <c r="B1849" s="3"/>
      <c r="C1849" s="4">
        <v>43731.0</v>
      </c>
      <c r="D1849" s="2" t="s">
        <v>2364</v>
      </c>
      <c r="E1849" s="2">
        <v>6.209001442E9</v>
      </c>
      <c r="F1849" s="3" t="s">
        <v>2365</v>
      </c>
      <c r="G1849" s="2" t="s">
        <v>733</v>
      </c>
      <c r="H1849" s="2" t="s">
        <v>2366</v>
      </c>
      <c r="I1849" s="3">
        <v>1.0</v>
      </c>
      <c r="J1849" s="3"/>
      <c r="K1849" s="5">
        <v>180.0</v>
      </c>
      <c r="L1849" s="6"/>
      <c r="M1849" s="6" t="str">
        <f>IF(D1849&lt;&gt;"",VLOOKUP(H1849,TABLEITEM,3,FALSE),"")</f>
        <v>กระจกใส 514x739 หนา 5.0มิล</v>
      </c>
      <c r="N1849" s="7">
        <f>INSTOCK!$I1849*INSTOCK!$K1849</f>
        <v>180</v>
      </c>
      <c r="O1849" s="2"/>
      <c r="P1849" s="2"/>
    </row>
    <row r="1850" ht="18.0" hidden="1" customHeight="1">
      <c r="A1850" s="1"/>
      <c r="B1850" s="3"/>
      <c r="C1850" s="4">
        <v>43728.0</v>
      </c>
      <c r="D1850" s="2" t="s">
        <v>2367</v>
      </c>
      <c r="E1850" s="2">
        <v>6.209001442E9</v>
      </c>
      <c r="F1850" s="3" t="s">
        <v>2368</v>
      </c>
      <c r="G1850" s="2" t="s">
        <v>733</v>
      </c>
      <c r="H1850" s="2" t="s">
        <v>2369</v>
      </c>
      <c r="I1850" s="3">
        <v>1.0</v>
      </c>
      <c r="J1850" s="3"/>
      <c r="K1850" s="5">
        <v>180.0</v>
      </c>
      <c r="L1850" s="6"/>
      <c r="M1850" s="6" t="str">
        <f>IF(D1850&lt;&gt;"",VLOOKUP(H1850,TABLEITEM,3,FALSE),"")</f>
        <v>กระจกใส 594x814 หนา 5.0มิล</v>
      </c>
      <c r="N1850" s="7">
        <f>INSTOCK!$I1850*INSTOCK!$K1850</f>
        <v>180</v>
      </c>
      <c r="O1850" s="2"/>
      <c r="P1850" s="2"/>
    </row>
    <row r="1851" ht="18.0" hidden="1" customHeight="1">
      <c r="A1851" s="1"/>
      <c r="B1851" s="3"/>
      <c r="C1851" s="4">
        <v>43715.0</v>
      </c>
      <c r="D1851" s="2" t="s">
        <v>2370</v>
      </c>
      <c r="E1851" s="2">
        <v>6.209001442E9</v>
      </c>
      <c r="F1851" s="3" t="s">
        <v>2371</v>
      </c>
      <c r="G1851" s="2" t="s">
        <v>733</v>
      </c>
      <c r="H1851" s="2" t="s">
        <v>2035</v>
      </c>
      <c r="I1851" s="3">
        <v>1.0</v>
      </c>
      <c r="J1851" s="3"/>
      <c r="K1851" s="5">
        <v>45.0</v>
      </c>
      <c r="L1851" s="6"/>
      <c r="M1851" s="6" t="str">
        <f>IF(D1851&lt;&gt;"",VLOOKUP(H1851,TABLEITEM,3,FALSE),"")</f>
        <v>กระจกใส  234x334 T 5.0</v>
      </c>
      <c r="N1851" s="7">
        <f>INSTOCK!$I1851*INSTOCK!$K1851</f>
        <v>45</v>
      </c>
      <c r="O1851" s="2"/>
      <c r="P1851" s="2"/>
    </row>
    <row r="1852" ht="18.0" hidden="1" customHeight="1">
      <c r="A1852" s="1"/>
      <c r="B1852" s="3"/>
      <c r="C1852" s="4">
        <v>43715.0</v>
      </c>
      <c r="D1852" s="2" t="s">
        <v>2370</v>
      </c>
      <c r="E1852" s="2">
        <v>6.209001442E9</v>
      </c>
      <c r="F1852" s="3" t="s">
        <v>2371</v>
      </c>
      <c r="G1852" s="2" t="s">
        <v>733</v>
      </c>
      <c r="H1852" s="2" t="s">
        <v>2081</v>
      </c>
      <c r="I1852" s="3">
        <v>1.0</v>
      </c>
      <c r="J1852" s="3"/>
      <c r="K1852" s="5">
        <v>25.0</v>
      </c>
      <c r="L1852" s="6"/>
      <c r="M1852" s="6" t="str">
        <f>IF(D1852&lt;&gt;"",VLOOKUP(H1852,TABLEITEM,3,FALSE),"")</f>
        <v>กระจกใส 94x244 T 3.0mm</v>
      </c>
      <c r="N1852" s="7">
        <f>INSTOCK!$I1852*INSTOCK!$K1852</f>
        <v>25</v>
      </c>
      <c r="O1852" s="2"/>
      <c r="P1852" s="2"/>
    </row>
    <row r="1853" ht="18.0" hidden="1" customHeight="1">
      <c r="A1853" s="1"/>
      <c r="B1853" s="3"/>
      <c r="C1853" s="4">
        <v>43723.0</v>
      </c>
      <c r="D1853" s="2" t="s">
        <v>2372</v>
      </c>
      <c r="E1853" s="2">
        <v>6.209001442E9</v>
      </c>
      <c r="F1853" s="3" t="s">
        <v>2373</v>
      </c>
      <c r="G1853" s="2" t="s">
        <v>733</v>
      </c>
      <c r="H1853" s="2" t="s">
        <v>2199</v>
      </c>
      <c r="I1853" s="3">
        <v>5.0</v>
      </c>
      <c r="J1853" s="3"/>
      <c r="K1853" s="5">
        <v>25.0</v>
      </c>
      <c r="L1853" s="6"/>
      <c r="M1853" s="6" t="str">
        <f>IF(D1853&lt;&gt;"",VLOOKUP(H1853,TABLEITEM,3,FALSE),"")</f>
        <v>กระจกใส 364x304 หนา 3.0มิล</v>
      </c>
      <c r="N1853" s="7">
        <f>INSTOCK!$I1853*INSTOCK!$K1853</f>
        <v>125</v>
      </c>
      <c r="O1853" s="2"/>
      <c r="P1853" s="2"/>
    </row>
    <row r="1854" ht="18.0" hidden="1" customHeight="1">
      <c r="A1854" s="1"/>
      <c r="B1854" s="3"/>
      <c r="C1854" s="4">
        <v>43722.0</v>
      </c>
      <c r="D1854" s="2" t="s">
        <v>2374</v>
      </c>
      <c r="E1854" s="2">
        <v>6.209001442E9</v>
      </c>
      <c r="F1854" s="3" t="s">
        <v>2375</v>
      </c>
      <c r="G1854" s="2" t="s">
        <v>733</v>
      </c>
      <c r="H1854" s="2" t="s">
        <v>2376</v>
      </c>
      <c r="I1854" s="3">
        <v>2.0</v>
      </c>
      <c r="J1854" s="3"/>
      <c r="K1854" s="5">
        <v>38.0</v>
      </c>
      <c r="L1854" s="6"/>
      <c r="M1854" s="6" t="str">
        <f>IF(D1854&lt;&gt;"",VLOOKUP(H1854,TABLEITEM,3,FALSE),"")</f>
        <v>กระจกใส 304x414 หนา 3.0มิล</v>
      </c>
      <c r="N1854" s="7">
        <f>INSTOCK!$I1854*INSTOCK!$K1854</f>
        <v>76</v>
      </c>
      <c r="O1854" s="2"/>
      <c r="P1854" s="2"/>
    </row>
    <row r="1855" ht="18.0" hidden="1" customHeight="1">
      <c r="A1855" s="1"/>
      <c r="B1855" s="3"/>
      <c r="C1855" s="4">
        <v>43722.0</v>
      </c>
      <c r="D1855" s="2" t="s">
        <v>2374</v>
      </c>
      <c r="E1855" s="2">
        <v>6.209001442E9</v>
      </c>
      <c r="F1855" s="3" t="s">
        <v>2375</v>
      </c>
      <c r="G1855" s="2" t="s">
        <v>733</v>
      </c>
      <c r="H1855" s="2" t="s">
        <v>2377</v>
      </c>
      <c r="I1855" s="3">
        <v>6.0</v>
      </c>
      <c r="J1855" s="3"/>
      <c r="K1855" s="5">
        <v>25.0</v>
      </c>
      <c r="L1855" s="6"/>
      <c r="M1855" s="6" t="str">
        <f>IF(D1855&lt;&gt;"",VLOOKUP(H1855,TABLEITEM,3,FALSE),"")</f>
        <v>กระจกใส 92x252 หนา 3.0มิล</v>
      </c>
      <c r="N1855" s="7">
        <f>INSTOCK!$I1855*INSTOCK!$K1855</f>
        <v>150</v>
      </c>
      <c r="O1855" s="2"/>
      <c r="P1855" s="2"/>
    </row>
    <row r="1856" ht="18.0" hidden="1" customHeight="1">
      <c r="A1856" s="1"/>
      <c r="B1856" s="3"/>
      <c r="C1856" s="4">
        <v>43736.0</v>
      </c>
      <c r="D1856" s="2" t="s">
        <v>2378</v>
      </c>
      <c r="E1856" s="2"/>
      <c r="F1856" s="3" t="s">
        <v>161</v>
      </c>
      <c r="G1856" s="2" t="s">
        <v>456</v>
      </c>
      <c r="H1856" s="2" t="s">
        <v>539</v>
      </c>
      <c r="I1856" s="3">
        <v>30.0</v>
      </c>
      <c r="J1856" s="3"/>
      <c r="K1856" s="5"/>
      <c r="L1856" s="6"/>
      <c r="M1856" s="6" t="str">
        <f>IF(D1856&lt;&gt;"",VLOOKUP(H1856,TABLEITEM,3,FALSE),"")</f>
        <v>แพลทยึดอุปกรณ์595x250</v>
      </c>
      <c r="N1856" s="7">
        <f>INSTOCK!$I1856*INSTOCK!$K1856</f>
        <v>0</v>
      </c>
      <c r="O1856" s="2"/>
      <c r="P1856" s="2"/>
    </row>
    <row r="1857" ht="18.0" hidden="1" customHeight="1">
      <c r="A1857" s="1"/>
      <c r="B1857" s="3"/>
      <c r="C1857" s="4">
        <v>43736.0</v>
      </c>
      <c r="D1857" s="2" t="s">
        <v>2379</v>
      </c>
      <c r="E1857" s="2"/>
      <c r="F1857" s="3" t="s">
        <v>161</v>
      </c>
      <c r="G1857" s="2" t="s">
        <v>456</v>
      </c>
      <c r="H1857" s="2" t="s">
        <v>651</v>
      </c>
      <c r="I1857" s="3">
        <v>50.0</v>
      </c>
      <c r="J1857" s="3"/>
      <c r="K1857" s="5"/>
      <c r="L1857" s="6"/>
      <c r="M1857" s="6" t="str">
        <f>IF(D1857&lt;&gt;"",VLOOKUP(H1857,TABLEITEM,3,FALSE),"")</f>
        <v>แผ่นสไลค์ 350x100</v>
      </c>
      <c r="N1857" s="7">
        <f>INSTOCK!$I1857*INSTOCK!$K1857</f>
        <v>0</v>
      </c>
      <c r="O1857" s="2"/>
      <c r="P1857" s="2"/>
    </row>
    <row r="1858" ht="18.0" hidden="1" customHeight="1">
      <c r="A1858" s="1"/>
      <c r="B1858" s="3"/>
      <c r="C1858" s="4">
        <v>43736.0</v>
      </c>
      <c r="D1858" s="2" t="s">
        <v>2380</v>
      </c>
      <c r="E1858" s="2"/>
      <c r="F1858" s="3" t="s">
        <v>161</v>
      </c>
      <c r="G1858" s="2" t="s">
        <v>456</v>
      </c>
      <c r="H1858" s="2" t="s">
        <v>1729</v>
      </c>
      <c r="I1858" s="3">
        <v>62.0</v>
      </c>
      <c r="J1858" s="3"/>
      <c r="K1858" s="5"/>
      <c r="L1858" s="6"/>
      <c r="M1858" s="6" t="str">
        <f>IF(D1858&lt;&gt;"",VLOOKUP(H1858,TABLEITEM,3,FALSE),"")</f>
        <v>คานเจ 2รู 65x40x325</v>
      </c>
      <c r="N1858" s="7">
        <f>INSTOCK!$I1858*INSTOCK!$K1858</f>
        <v>0</v>
      </c>
      <c r="O1858" s="2"/>
      <c r="P1858" s="2"/>
    </row>
    <row r="1859" ht="18.0" hidden="1" customHeight="1">
      <c r="A1859" s="1"/>
      <c r="B1859" s="3"/>
      <c r="C1859" s="4">
        <v>43736.0</v>
      </c>
      <c r="D1859" s="2" t="s">
        <v>2348</v>
      </c>
      <c r="E1859" s="2"/>
      <c r="F1859" s="3" t="s">
        <v>161</v>
      </c>
      <c r="G1859" s="2" t="s">
        <v>456</v>
      </c>
      <c r="H1859" s="2" t="s">
        <v>487</v>
      </c>
      <c r="I1859" s="3">
        <v>42.0</v>
      </c>
      <c r="J1859" s="3"/>
      <c r="K1859" s="5"/>
      <c r="L1859" s="6"/>
      <c r="M1859" s="6" t="str">
        <f>IF(D1859&lt;&gt;"",VLOOKUP(H1859,TABLEITEM,3,FALSE),"")</f>
        <v>กระเป๋าเอกสารรุ่น 316x224</v>
      </c>
      <c r="N1859" s="7">
        <f>INSTOCK!$I1859*INSTOCK!$K1859</f>
        <v>0</v>
      </c>
      <c r="O1859" s="2"/>
      <c r="P1859" s="2"/>
    </row>
    <row r="1860" ht="18.0" hidden="1" customHeight="1">
      <c r="A1860" s="1"/>
      <c r="B1860" s="3"/>
      <c r="C1860" s="4">
        <v>43741.0</v>
      </c>
      <c r="D1860" s="2" t="s">
        <v>2381</v>
      </c>
      <c r="E1860" s="2"/>
      <c r="F1860" s="3" t="s">
        <v>161</v>
      </c>
      <c r="G1860" s="2" t="s">
        <v>456</v>
      </c>
      <c r="H1860" s="2" t="s">
        <v>542</v>
      </c>
      <c r="I1860" s="3">
        <v>20.0</v>
      </c>
      <c r="J1860" s="3"/>
      <c r="K1860" s="5"/>
      <c r="L1860" s="6"/>
      <c r="M1860" s="6" t="str">
        <f>IF(D1860&lt;&gt;"",VLOOKUP(H1860,TABLEITEM,3,FALSE),"")</f>
        <v>ฝาข้าง-ฝาหลัง 1875x770</v>
      </c>
      <c r="N1860" s="7">
        <f>INSTOCK!$I1860*INSTOCK!$K1860</f>
        <v>0</v>
      </c>
      <c r="O1860" s="2"/>
      <c r="P1860" s="2"/>
    </row>
    <row r="1861" ht="18.0" hidden="1" customHeight="1">
      <c r="A1861" s="1"/>
      <c r="B1861" s="3"/>
      <c r="C1861" s="4">
        <v>43741.0</v>
      </c>
      <c r="D1861" s="2" t="s">
        <v>2382</v>
      </c>
      <c r="E1861" s="2"/>
      <c r="F1861" s="3" t="s">
        <v>161</v>
      </c>
      <c r="G1861" s="2" t="s">
        <v>456</v>
      </c>
      <c r="H1861" s="2" t="s">
        <v>484</v>
      </c>
      <c r="I1861" s="3">
        <v>73.0</v>
      </c>
      <c r="J1861" s="3"/>
      <c r="K1861" s="5"/>
      <c r="L1861" s="6"/>
      <c r="M1861" s="6" t="str">
        <f>IF(D1861&lt;&gt;"",VLOOKUP(H1861,TABLEITEM,3,FALSE),"")</f>
        <v>คานต่อโครง3mm 68x45x720</v>
      </c>
      <c r="N1861" s="7">
        <f>INSTOCK!$I1861*INSTOCK!$K1861</f>
        <v>0</v>
      </c>
      <c r="O1861" s="2"/>
      <c r="P1861" s="2"/>
    </row>
    <row r="1862" ht="18.0" hidden="1" customHeight="1">
      <c r="A1862" s="1"/>
      <c r="B1862" s="3"/>
      <c r="C1862" s="4">
        <v>43741.0</v>
      </c>
      <c r="D1862" s="2" t="s">
        <v>1788</v>
      </c>
      <c r="E1862" s="2"/>
      <c r="F1862" s="3" t="s">
        <v>161</v>
      </c>
      <c r="G1862" s="2" t="s">
        <v>456</v>
      </c>
      <c r="H1862" s="2" t="s">
        <v>550</v>
      </c>
      <c r="I1862" s="3">
        <v>270.0</v>
      </c>
      <c r="J1862" s="3"/>
      <c r="K1862" s="5"/>
      <c r="L1862" s="6"/>
      <c r="M1862" s="6" t="str">
        <f>IF(D1862&lt;&gt;"",VLOOKUP(H1862,TABLEITEM,3,FALSE),"")</f>
        <v>ฉากตัวZ รับแผ่นกั้น50x34x29</v>
      </c>
      <c r="N1862" s="7">
        <f>INSTOCK!$I1862*INSTOCK!$K1862</f>
        <v>0</v>
      </c>
      <c r="O1862" s="2"/>
      <c r="P1862" s="2"/>
    </row>
    <row r="1863" ht="18.0" hidden="1" customHeight="1">
      <c r="A1863" s="1"/>
      <c r="B1863" s="3"/>
      <c r="C1863" s="4">
        <v>43741.0</v>
      </c>
      <c r="D1863" s="2" t="s">
        <v>2383</v>
      </c>
      <c r="E1863" s="2"/>
      <c r="F1863" s="3" t="s">
        <v>161</v>
      </c>
      <c r="G1863" s="2" t="s">
        <v>456</v>
      </c>
      <c r="H1863" s="2" t="s">
        <v>459</v>
      </c>
      <c r="I1863" s="3">
        <v>71.0</v>
      </c>
      <c r="J1863" s="3"/>
      <c r="K1863" s="5"/>
      <c r="L1863" s="6"/>
      <c r="M1863" s="6" t="str">
        <f>IF(D1863&lt;&gt;"",VLOOKUP(H1863,TABLEITEM,3,FALSE),"")</f>
        <v>คานต่อโครง3mm 68x45x520</v>
      </c>
      <c r="N1863" s="7">
        <f>INSTOCK!$I1863*INSTOCK!$K1863</f>
        <v>0</v>
      </c>
      <c r="O1863" s="2"/>
      <c r="P1863" s="2"/>
    </row>
    <row r="1864" ht="18.0" customHeight="1">
      <c r="A1864" s="1"/>
      <c r="B1864" s="3"/>
      <c r="C1864" s="4">
        <v>43739.0</v>
      </c>
      <c r="D1864" s="2" t="s">
        <v>2384</v>
      </c>
      <c r="E1864" s="2">
        <v>6.210001452E9</v>
      </c>
      <c r="F1864" s="3" t="s">
        <v>2385</v>
      </c>
      <c r="G1864" s="2" t="s">
        <v>165</v>
      </c>
      <c r="H1864" s="2" t="s">
        <v>2386</v>
      </c>
      <c r="I1864" s="3">
        <v>3.0</v>
      </c>
      <c r="J1864" s="3"/>
      <c r="K1864" s="5">
        <v>650.0</v>
      </c>
      <c r="L1864" s="6"/>
      <c r="M1864" s="6" t="str">
        <f>IF(D1864&lt;&gt;"",VLOOKUP(H1864,TABLEITEM,3,FALSE),"")</f>
        <v>แผ่นอะคริลิคขาวขุ่น 700x1200mm T3.0mm</v>
      </c>
      <c r="N1864" s="7">
        <f>INSTOCK!$I1864*INSTOCK!$K1864</f>
        <v>1950</v>
      </c>
      <c r="O1864" s="2"/>
      <c r="P1864" s="2"/>
    </row>
    <row r="1865" ht="18.0" hidden="1" customHeight="1">
      <c r="A1865" s="1"/>
      <c r="B1865" s="3"/>
      <c r="C1865" s="4">
        <v>43739.0</v>
      </c>
      <c r="D1865" s="2" t="s">
        <v>2387</v>
      </c>
      <c r="E1865" s="2">
        <v>6.20900144E9</v>
      </c>
      <c r="F1865" s="3" t="s">
        <v>161</v>
      </c>
      <c r="G1865" s="2" t="s">
        <v>165</v>
      </c>
      <c r="H1865" s="2" t="s">
        <v>75</v>
      </c>
      <c r="I1865" s="3">
        <v>10.0</v>
      </c>
      <c r="J1865" s="3"/>
      <c r="K1865" s="5">
        <v>3450.0</v>
      </c>
      <c r="L1865" s="6"/>
      <c r="M1865" s="6" t="str">
        <f>IF(D1865&lt;&gt;"",VLOOKUP(H1865,TABLEITEM,3,FALSE),"")</f>
        <v>แผ่นเบกไลท์ 1220x2440T5.0</v>
      </c>
      <c r="N1865" s="7">
        <f>INSTOCK!$I1865*INSTOCK!$K1865</f>
        <v>34500</v>
      </c>
      <c r="O1865" s="2"/>
      <c r="P1865" s="2"/>
    </row>
    <row r="1866" ht="18.0" customHeight="1">
      <c r="A1866" s="1"/>
      <c r="B1866" s="3"/>
      <c r="C1866" s="4">
        <v>43739.0</v>
      </c>
      <c r="D1866" s="2" t="s">
        <v>2388</v>
      </c>
      <c r="E1866" s="2">
        <v>6.210001453E9</v>
      </c>
      <c r="F1866" s="3" t="s">
        <v>2389</v>
      </c>
      <c r="G1866" s="2" t="s">
        <v>165</v>
      </c>
      <c r="H1866" s="2" t="s">
        <v>2390</v>
      </c>
      <c r="I1866" s="3">
        <v>1.0</v>
      </c>
      <c r="J1866" s="3"/>
      <c r="K1866" s="5">
        <v>1700.0</v>
      </c>
      <c r="L1866" s="6"/>
      <c r="M1866" s="6" t="str">
        <f>IF(D1866&lt;&gt;"",VLOOKUP(H1866,TABLEITEM,3,FALSE),"")</f>
        <v>แผ่นอะคริลิคสีชาใส 4'x8' T3.0mm #521</v>
      </c>
      <c r="N1866" s="7">
        <f>INSTOCK!$I1866*INSTOCK!$K1866</f>
        <v>1700</v>
      </c>
      <c r="O1866" s="2"/>
      <c r="P1866" s="2"/>
    </row>
    <row r="1867" ht="18.0" hidden="1" customHeight="1">
      <c r="A1867" s="1"/>
      <c r="B1867" s="3"/>
      <c r="C1867" s="4">
        <v>43736.0</v>
      </c>
      <c r="D1867" s="2" t="s">
        <v>2391</v>
      </c>
      <c r="E1867" s="2">
        <v>6.209001443E9</v>
      </c>
      <c r="F1867" s="3" t="s">
        <v>2392</v>
      </c>
      <c r="G1867" s="2" t="s">
        <v>153</v>
      </c>
      <c r="H1867" s="2" t="s">
        <v>2393</v>
      </c>
      <c r="I1867" s="3">
        <v>6.0</v>
      </c>
      <c r="J1867" s="3" t="s">
        <v>78</v>
      </c>
      <c r="K1867" s="5">
        <v>520.0</v>
      </c>
      <c r="L1867" s="6"/>
      <c r="M1867" s="6" t="str">
        <f>IF(D1867&lt;&gt;"",VLOOKUP(H1867,TABLEITEM,3,FALSE),"")</f>
        <v>ฉากสเตนเลส 2.1/2"x2.1/2"x1/4"x6M</v>
      </c>
      <c r="N1867" s="7">
        <f>INSTOCK!$I1867*INSTOCK!$K1867</f>
        <v>3120</v>
      </c>
      <c r="O1867" s="2" t="s">
        <v>2394</v>
      </c>
      <c r="P1867" s="2"/>
    </row>
    <row r="1868" ht="18.0" hidden="1" customHeight="1">
      <c r="A1868" s="1"/>
      <c r="B1868" s="3"/>
      <c r="C1868" s="4">
        <v>43739.0</v>
      </c>
      <c r="D1868" s="2" t="s">
        <v>2395</v>
      </c>
      <c r="E1868" s="2">
        <v>6.209001416E9</v>
      </c>
      <c r="F1868" s="3" t="s">
        <v>161</v>
      </c>
      <c r="G1868" s="2" t="s">
        <v>240</v>
      </c>
      <c r="H1868" s="2" t="s">
        <v>61</v>
      </c>
      <c r="I1868" s="3">
        <v>30.0</v>
      </c>
      <c r="J1868" s="3"/>
      <c r="K1868" s="5">
        <v>1900.0</v>
      </c>
      <c r="L1868" s="6"/>
      <c r="M1868" s="6" t="str">
        <f>IF(D1868&lt;&gt;"",VLOOKUP(H1868,TABLEITEM,3,FALSE),"")</f>
        <v>สแตนเลสแผ่น4'x8'T1.2</v>
      </c>
      <c r="N1868" s="7">
        <f>INSTOCK!$I1868*INSTOCK!$K1868</f>
        <v>57000</v>
      </c>
      <c r="O1868" s="2"/>
      <c r="P1868" s="2"/>
    </row>
    <row r="1869" ht="18.0" hidden="1" customHeight="1">
      <c r="A1869" s="1"/>
      <c r="B1869" s="3"/>
      <c r="C1869" s="4">
        <v>43739.0</v>
      </c>
      <c r="D1869" s="2" t="s">
        <v>2396</v>
      </c>
      <c r="E1869" s="2">
        <v>6.209001415E9</v>
      </c>
      <c r="F1869" s="3" t="s">
        <v>161</v>
      </c>
      <c r="G1869" s="2" t="s">
        <v>219</v>
      </c>
      <c r="H1869" s="2" t="s">
        <v>71</v>
      </c>
      <c r="I1869" s="3">
        <v>10.0</v>
      </c>
      <c r="J1869" s="3"/>
      <c r="K1869" s="5">
        <v>1960.0</v>
      </c>
      <c r="L1869" s="6"/>
      <c r="M1869" s="6" t="str">
        <f>IF(D1869&lt;&gt;"",VLOOKUP(H1869,TABLEITEM,3,FALSE),"")</f>
        <v>แผ่นอลูมิเนียม4'x8'T3.0</v>
      </c>
      <c r="N1869" s="7">
        <f>INSTOCK!$I1869*INSTOCK!$K1869</f>
        <v>19600</v>
      </c>
      <c r="O1869" s="2"/>
      <c r="P1869" s="2"/>
    </row>
    <row r="1870" ht="18.0" hidden="1" customHeight="1">
      <c r="A1870" s="1"/>
      <c r="B1870" s="3"/>
      <c r="C1870" s="4">
        <v>43739.0</v>
      </c>
      <c r="D1870" s="2" t="s">
        <v>2397</v>
      </c>
      <c r="E1870" s="2">
        <v>6.209001441E9</v>
      </c>
      <c r="F1870" s="3" t="s">
        <v>161</v>
      </c>
      <c r="G1870" s="2" t="s">
        <v>158</v>
      </c>
      <c r="H1870" s="2" t="s">
        <v>76</v>
      </c>
      <c r="I1870" s="3">
        <v>20.0</v>
      </c>
      <c r="J1870" s="3"/>
      <c r="K1870" s="5">
        <v>490.0</v>
      </c>
      <c r="L1870" s="6"/>
      <c r="M1870" s="6" t="str">
        <f>IF(D1870&lt;&gt;"",VLOOKUP(H1870,TABLEITEM,3,FALSE),"")</f>
        <v>แผ่นตระแกรงระบาย 4x8รู 3มิลT0.6</v>
      </c>
      <c r="N1870" s="7">
        <f>INSTOCK!$I1870*INSTOCK!$K1870</f>
        <v>9800</v>
      </c>
      <c r="O1870" s="2"/>
      <c r="P1870" s="2"/>
    </row>
    <row r="1871" ht="18.0" hidden="1" customHeight="1">
      <c r="A1871" s="1"/>
      <c r="B1871" s="3"/>
      <c r="C1871" s="4">
        <v>43738.0</v>
      </c>
      <c r="D1871" s="2" t="s">
        <v>2398</v>
      </c>
      <c r="E1871" s="2">
        <v>6.210001482E9</v>
      </c>
      <c r="F1871" s="3" t="s">
        <v>2399</v>
      </c>
      <c r="G1871" s="2" t="s">
        <v>733</v>
      </c>
      <c r="H1871" s="2" t="s">
        <v>2207</v>
      </c>
      <c r="I1871" s="3">
        <v>1.0</v>
      </c>
      <c r="J1871" s="3"/>
      <c r="K1871" s="5">
        <v>45.0</v>
      </c>
      <c r="L1871" s="6"/>
      <c r="M1871" s="6" t="str">
        <f>IF(D1871&lt;&gt;"",VLOOKUP(H1871,TABLEITEM,3,FALSE),"")</f>
        <v>กระจกใส 294x414 หนา 3.0มิล</v>
      </c>
      <c r="N1871" s="7">
        <f>INSTOCK!$I1871*INSTOCK!$K1871</f>
        <v>45</v>
      </c>
      <c r="O1871" s="2"/>
      <c r="P1871" s="2"/>
    </row>
    <row r="1872" ht="18.0" hidden="1" customHeight="1">
      <c r="A1872" s="1"/>
      <c r="B1872" s="3"/>
      <c r="C1872" s="4">
        <v>43738.0</v>
      </c>
      <c r="D1872" s="2" t="s">
        <v>2398</v>
      </c>
      <c r="E1872" s="2">
        <v>6.210001482E9</v>
      </c>
      <c r="F1872" s="3" t="s">
        <v>2400</v>
      </c>
      <c r="G1872" s="2" t="s">
        <v>733</v>
      </c>
      <c r="H1872" s="2" t="s">
        <v>2401</v>
      </c>
      <c r="I1872" s="3">
        <v>3.0</v>
      </c>
      <c r="J1872" s="3"/>
      <c r="K1872" s="5">
        <v>70.0</v>
      </c>
      <c r="L1872" s="6"/>
      <c r="M1872" s="6" t="str">
        <f>IF(D1872&lt;&gt;"",VLOOKUP(H1872,TABLEITEM,3,FALSE),"")</f>
        <v>กระจกใส 314x414 หนา 5.0มิล</v>
      </c>
      <c r="N1872" s="7">
        <f>INSTOCK!$I1872*INSTOCK!$K1872</f>
        <v>210</v>
      </c>
      <c r="O1872" s="2"/>
      <c r="P1872" s="2"/>
    </row>
    <row r="1873" ht="18.0" hidden="1" customHeight="1">
      <c r="A1873" s="1"/>
      <c r="B1873" s="3"/>
      <c r="C1873" s="4">
        <v>43738.0</v>
      </c>
      <c r="D1873" s="2" t="s">
        <v>2398</v>
      </c>
      <c r="E1873" s="2">
        <v>6.210001482E9</v>
      </c>
      <c r="F1873" s="3" t="s">
        <v>2400</v>
      </c>
      <c r="G1873" s="2" t="s">
        <v>733</v>
      </c>
      <c r="H1873" s="2" t="s">
        <v>2402</v>
      </c>
      <c r="I1873" s="3">
        <v>3.0</v>
      </c>
      <c r="J1873" s="3"/>
      <c r="K1873" s="5">
        <v>140.0</v>
      </c>
      <c r="L1873" s="6"/>
      <c r="M1873" s="6" t="str">
        <f>IF(D1873&lt;&gt;"",VLOOKUP(H1873,TABLEITEM,3,FALSE),"")</f>
        <v>กระจกใส 314x714 หนา 5.0มิล</v>
      </c>
      <c r="N1873" s="7">
        <f>INSTOCK!$I1873*INSTOCK!$K1873</f>
        <v>420</v>
      </c>
      <c r="O1873" s="2"/>
      <c r="P1873" s="2"/>
    </row>
    <row r="1874" ht="18.0" hidden="1" customHeight="1">
      <c r="A1874" s="1"/>
      <c r="B1874" s="3"/>
      <c r="C1874" s="4">
        <v>43735.0</v>
      </c>
      <c r="D1874" s="2" t="s">
        <v>2403</v>
      </c>
      <c r="E1874" s="2">
        <v>6.210001482E9</v>
      </c>
      <c r="F1874" s="3" t="s">
        <v>2404</v>
      </c>
      <c r="G1874" s="2" t="s">
        <v>733</v>
      </c>
      <c r="H1874" s="2" t="s">
        <v>2405</v>
      </c>
      <c r="I1874" s="3">
        <v>1.0</v>
      </c>
      <c r="J1874" s="3"/>
      <c r="K1874" s="5">
        <v>40.0</v>
      </c>
      <c r="L1874" s="6"/>
      <c r="M1874" s="6" t="str">
        <f>IF(D1874&lt;&gt;"",VLOOKUP(H1874,TABLEITEM,3,FALSE),"")</f>
        <v>กระจกใส 249x414 หนา 3.0มิล</v>
      </c>
      <c r="N1874" s="7">
        <f>INSTOCK!$I1874*INSTOCK!$K1874</f>
        <v>40</v>
      </c>
      <c r="O1874" s="2"/>
      <c r="P1874" s="2"/>
    </row>
    <row r="1875" ht="18.0" hidden="1" customHeight="1">
      <c r="A1875" s="1"/>
      <c r="B1875" s="3"/>
      <c r="C1875" s="4">
        <v>43735.0</v>
      </c>
      <c r="D1875" s="2" t="s">
        <v>2403</v>
      </c>
      <c r="E1875" s="2">
        <v>6.210001482E9</v>
      </c>
      <c r="F1875" s="3" t="s">
        <v>2404</v>
      </c>
      <c r="G1875" s="2" t="s">
        <v>733</v>
      </c>
      <c r="H1875" s="2" t="s">
        <v>2406</v>
      </c>
      <c r="I1875" s="3">
        <v>2.0</v>
      </c>
      <c r="J1875" s="3"/>
      <c r="K1875" s="5">
        <v>45.0</v>
      </c>
      <c r="L1875" s="6"/>
      <c r="M1875" s="6" t="str">
        <f>IF(D1875&lt;&gt;"",VLOOKUP(H1875,TABLEITEM,3,FALSE),"")</f>
        <v>กระจกใส 262x426 หนา 5.0มิล</v>
      </c>
      <c r="N1875" s="7">
        <f>INSTOCK!$I1875*INSTOCK!$K1875</f>
        <v>90</v>
      </c>
      <c r="O1875" s="2"/>
      <c r="P1875" s="2"/>
    </row>
    <row r="1876" ht="18.0" hidden="1" customHeight="1">
      <c r="A1876" s="1"/>
      <c r="B1876" s="3"/>
      <c r="C1876" s="4">
        <v>43734.0</v>
      </c>
      <c r="D1876" s="2" t="s">
        <v>2407</v>
      </c>
      <c r="E1876" s="2">
        <v>6.210001482E9</v>
      </c>
      <c r="F1876" s="3" t="s">
        <v>2408</v>
      </c>
      <c r="G1876" s="2" t="s">
        <v>733</v>
      </c>
      <c r="H1876" s="2" t="s">
        <v>2035</v>
      </c>
      <c r="I1876" s="3">
        <v>1.0</v>
      </c>
      <c r="J1876" s="3"/>
      <c r="K1876" s="5">
        <v>45.0</v>
      </c>
      <c r="L1876" s="6"/>
      <c r="M1876" s="6" t="str">
        <f>IF(D1876&lt;&gt;"",VLOOKUP(H1876,TABLEITEM,3,FALSE),"")</f>
        <v>กระจกใส  234x334 T 5.0</v>
      </c>
      <c r="N1876" s="7">
        <f>INSTOCK!$I1876*INSTOCK!$K1876</f>
        <v>45</v>
      </c>
      <c r="O1876" s="2"/>
      <c r="P1876" s="2"/>
    </row>
    <row r="1877" ht="18.0" hidden="1" customHeight="1">
      <c r="A1877" s="1"/>
      <c r="B1877" s="3"/>
      <c r="C1877" s="4">
        <v>43734.0</v>
      </c>
      <c r="D1877" s="2" t="s">
        <v>2407</v>
      </c>
      <c r="E1877" s="2">
        <v>6.210001482E9</v>
      </c>
      <c r="F1877" s="3" t="s">
        <v>2408</v>
      </c>
      <c r="G1877" s="2" t="s">
        <v>733</v>
      </c>
      <c r="H1877" s="2" t="s">
        <v>2081</v>
      </c>
      <c r="I1877" s="3">
        <v>1.0</v>
      </c>
      <c r="J1877" s="3"/>
      <c r="K1877" s="5">
        <v>25.0</v>
      </c>
      <c r="L1877" s="6"/>
      <c r="M1877" s="6" t="str">
        <f>IF(D1877&lt;&gt;"",VLOOKUP(H1877,TABLEITEM,3,FALSE),"")</f>
        <v>กระจกใส 94x244 T 3.0mm</v>
      </c>
      <c r="N1877" s="7">
        <f>INSTOCK!$I1877*INSTOCK!$K1877</f>
        <v>25</v>
      </c>
      <c r="O1877" s="2"/>
      <c r="P1877" s="2"/>
    </row>
    <row r="1878" ht="18.0" hidden="1" customHeight="1">
      <c r="A1878" s="1"/>
      <c r="B1878" s="3"/>
      <c r="C1878" s="4">
        <v>43734.0</v>
      </c>
      <c r="D1878" s="2" t="s">
        <v>2409</v>
      </c>
      <c r="E1878" s="2">
        <v>6.210001482E9</v>
      </c>
      <c r="F1878" s="3" t="s">
        <v>2410</v>
      </c>
      <c r="G1878" s="2" t="s">
        <v>733</v>
      </c>
      <c r="H1878" s="2" t="s">
        <v>2411</v>
      </c>
      <c r="I1878" s="3">
        <v>1.0</v>
      </c>
      <c r="J1878" s="3"/>
      <c r="K1878" s="5">
        <v>38.0</v>
      </c>
      <c r="L1878" s="6"/>
      <c r="M1878" s="6" t="str">
        <f>IF(D1878&lt;&gt;"",VLOOKUP(H1878,TABLEITEM,3,FALSE),"")</f>
        <v>กระจกใส 260x360 หนา 3.0มิล</v>
      </c>
      <c r="N1878" s="7">
        <f>INSTOCK!$I1878*INSTOCK!$K1878</f>
        <v>38</v>
      </c>
      <c r="O1878" s="2"/>
      <c r="P1878" s="2"/>
    </row>
    <row r="1879" ht="18.0" hidden="1" customHeight="1">
      <c r="A1879" s="1"/>
      <c r="B1879" s="3"/>
      <c r="C1879" s="4">
        <v>43732.0</v>
      </c>
      <c r="D1879" s="2" t="s">
        <v>2412</v>
      </c>
      <c r="E1879" s="2">
        <v>6.210001482E9</v>
      </c>
      <c r="F1879" s="3" t="s">
        <v>2413</v>
      </c>
      <c r="G1879" s="2" t="s">
        <v>733</v>
      </c>
      <c r="H1879" s="2" t="s">
        <v>2414</v>
      </c>
      <c r="I1879" s="3">
        <v>1.0</v>
      </c>
      <c r="J1879" s="3"/>
      <c r="K1879" s="5">
        <v>38.0</v>
      </c>
      <c r="L1879" s="6"/>
      <c r="M1879" s="6" t="str">
        <f>IF(D1879&lt;&gt;"",VLOOKUP(H1879,TABLEITEM,3,FALSE),"")</f>
        <v>กระจกใส 244x344 หนา 3.0มิล</v>
      </c>
      <c r="N1879" s="7">
        <f>INSTOCK!$I1879*INSTOCK!$K1879</f>
        <v>38</v>
      </c>
      <c r="O1879" s="2"/>
      <c r="P1879" s="2"/>
    </row>
    <row r="1880" ht="18.0" hidden="1" customHeight="1">
      <c r="A1880" s="1"/>
      <c r="B1880" s="3"/>
      <c r="C1880" s="4">
        <v>43738.0</v>
      </c>
      <c r="D1880" s="2" t="s">
        <v>2415</v>
      </c>
      <c r="E1880" s="2">
        <v>6.210001482E9</v>
      </c>
      <c r="F1880" s="3" t="s">
        <v>2416</v>
      </c>
      <c r="G1880" s="2" t="s">
        <v>733</v>
      </c>
      <c r="H1880" s="2" t="s">
        <v>2008</v>
      </c>
      <c r="I1880" s="3">
        <v>2.0</v>
      </c>
      <c r="J1880" s="3"/>
      <c r="K1880" s="5">
        <v>45.0</v>
      </c>
      <c r="L1880" s="6"/>
      <c r="M1880" s="6" t="str">
        <f>IF(D1880&lt;&gt;"",VLOOKUP(H1880,TABLEITEM,3,FALSE),"")</f>
        <v>กระจกใส  264x314 T 5.0</v>
      </c>
      <c r="N1880" s="7">
        <f>INSTOCK!$I1880*INSTOCK!$K1880</f>
        <v>90</v>
      </c>
      <c r="O1880" s="2"/>
      <c r="P1880" s="2"/>
    </row>
    <row r="1881" ht="18.0" hidden="1" customHeight="1">
      <c r="A1881" s="1"/>
      <c r="B1881" s="3"/>
      <c r="C1881" s="4">
        <v>43738.0</v>
      </c>
      <c r="D1881" s="2" t="s">
        <v>2417</v>
      </c>
      <c r="E1881" s="2">
        <v>6.210001482E9</v>
      </c>
      <c r="F1881" s="3" t="s">
        <v>2418</v>
      </c>
      <c r="G1881" s="2" t="s">
        <v>733</v>
      </c>
      <c r="H1881" s="2" t="s">
        <v>2419</v>
      </c>
      <c r="I1881" s="3">
        <v>1.0</v>
      </c>
      <c r="J1881" s="3"/>
      <c r="K1881" s="5">
        <v>38.0</v>
      </c>
      <c r="L1881" s="6"/>
      <c r="M1881" s="6" t="str">
        <f>IF(D1881&lt;&gt;"",VLOOKUP(H1881,TABLEITEM,3,FALSE),"")</f>
        <v>กระจกใส 244x324 หนา 3.0มิล</v>
      </c>
      <c r="N1881" s="7">
        <f>INSTOCK!$I1881*INSTOCK!$K1881</f>
        <v>38</v>
      </c>
      <c r="O1881" s="2"/>
      <c r="P1881" s="2"/>
    </row>
    <row r="1882" ht="18.0" hidden="1" customHeight="1">
      <c r="A1882" s="1"/>
      <c r="B1882" s="3"/>
      <c r="C1882" s="4">
        <v>43743.0</v>
      </c>
      <c r="D1882" s="2" t="s">
        <v>2420</v>
      </c>
      <c r="E1882" s="2"/>
      <c r="F1882" s="3" t="s">
        <v>161</v>
      </c>
      <c r="G1882" s="2" t="s">
        <v>456</v>
      </c>
      <c r="H1882" s="2" t="s">
        <v>527</v>
      </c>
      <c r="I1882" s="3">
        <v>57.0</v>
      </c>
      <c r="J1882" s="3"/>
      <c r="K1882" s="5"/>
      <c r="L1882" s="6"/>
      <c r="M1882" s="6" t="str">
        <f>IF(D1882&lt;&gt;"",VLOOKUP(H1882,TABLEITEM,3,FALSE),"")</f>
        <v>คานตัวC 70x25T2.0x595</v>
      </c>
      <c r="N1882" s="7">
        <f>INSTOCK!$I1882*INSTOCK!$K1882</f>
        <v>0</v>
      </c>
      <c r="O1882" s="2"/>
      <c r="P1882" s="2"/>
    </row>
    <row r="1883" ht="18.0" hidden="1" customHeight="1">
      <c r="A1883" s="1"/>
      <c r="B1883" s="3"/>
      <c r="C1883" s="4">
        <v>43743.0</v>
      </c>
      <c r="D1883" s="2" t="s">
        <v>2420</v>
      </c>
      <c r="E1883" s="2"/>
      <c r="F1883" s="3" t="s">
        <v>161</v>
      </c>
      <c r="G1883" s="2" t="s">
        <v>456</v>
      </c>
      <c r="H1883" s="2" t="s">
        <v>601</v>
      </c>
      <c r="I1883" s="3">
        <v>30.0</v>
      </c>
      <c r="J1883" s="3"/>
      <c r="K1883" s="5"/>
      <c r="L1883" s="6"/>
      <c r="M1883" s="6" t="str">
        <f>IF(D1883&lt;&gt;"",VLOOKUP(H1883,TABLEITEM,3,FALSE),"")</f>
        <v>คานตัวC 70x25T3.0x420</v>
      </c>
      <c r="N1883" s="7">
        <f>INSTOCK!$I1883*INSTOCK!$K1883</f>
        <v>0</v>
      </c>
      <c r="O1883" s="2"/>
      <c r="P1883" s="2"/>
    </row>
    <row r="1884" ht="18.0" hidden="1" customHeight="1">
      <c r="A1884" s="1"/>
      <c r="B1884" s="3"/>
      <c r="C1884" s="4">
        <v>43743.0</v>
      </c>
      <c r="D1884" s="2" t="s">
        <v>2421</v>
      </c>
      <c r="E1884" s="2"/>
      <c r="F1884" s="3" t="s">
        <v>161</v>
      </c>
      <c r="G1884" s="2" t="s">
        <v>456</v>
      </c>
      <c r="H1884" s="2" t="s">
        <v>457</v>
      </c>
      <c r="I1884" s="3">
        <v>50.0</v>
      </c>
      <c r="J1884" s="3"/>
      <c r="K1884" s="5"/>
      <c r="L1884" s="6"/>
      <c r="M1884" s="6" t="str">
        <f>IF(D1884&lt;&gt;"",VLOOKUP(H1884,TABLEITEM,3,FALSE),"")</f>
        <v>แผ่นสไลค์ 280x125</v>
      </c>
      <c r="N1884" s="7">
        <f>INSTOCK!$I1884*INSTOCK!$K1884</f>
        <v>0</v>
      </c>
      <c r="O1884" s="2"/>
      <c r="P1884" s="2"/>
    </row>
    <row r="1885" ht="18.0" hidden="1" customHeight="1">
      <c r="A1885" s="1"/>
      <c r="B1885" s="3"/>
      <c r="C1885" s="4">
        <v>43743.0</v>
      </c>
      <c r="D1885" s="2" t="s">
        <v>2421</v>
      </c>
      <c r="E1885" s="2"/>
      <c r="F1885" s="3" t="s">
        <v>161</v>
      </c>
      <c r="G1885" s="2" t="s">
        <v>456</v>
      </c>
      <c r="H1885" s="2" t="s">
        <v>649</v>
      </c>
      <c r="I1885" s="3">
        <v>20.0</v>
      </c>
      <c r="J1885" s="3"/>
      <c r="K1885" s="5"/>
      <c r="L1885" s="6"/>
      <c r="M1885" s="6" t="str">
        <f>IF(D1885&lt;&gt;"",VLOOKUP(H1885,TABLEITEM,3,FALSE),"")</f>
        <v>เพลทเบกเกอร์ 275x220</v>
      </c>
      <c r="N1885" s="7">
        <f>INSTOCK!$I1885*INSTOCK!$K1885</f>
        <v>0</v>
      </c>
      <c r="O1885" s="2"/>
      <c r="P1885" s="2"/>
    </row>
    <row r="1886" ht="18.0" hidden="1" customHeight="1">
      <c r="A1886" s="1"/>
      <c r="B1886" s="3"/>
      <c r="C1886" s="4">
        <v>43743.0</v>
      </c>
      <c r="D1886" s="2" t="s">
        <v>2383</v>
      </c>
      <c r="E1886" s="2"/>
      <c r="F1886" s="3" t="s">
        <v>161</v>
      </c>
      <c r="G1886" s="2" t="s">
        <v>456</v>
      </c>
      <c r="H1886" s="2" t="s">
        <v>459</v>
      </c>
      <c r="I1886" s="3">
        <v>71.0</v>
      </c>
      <c r="J1886" s="3"/>
      <c r="K1886" s="5"/>
      <c r="L1886" s="6"/>
      <c r="M1886" s="6" t="str">
        <f>IF(D1886&lt;&gt;"",VLOOKUP(H1886,TABLEITEM,3,FALSE),"")</f>
        <v>คานต่อโครง3mm 68x45x520</v>
      </c>
      <c r="N1886" s="7">
        <f>INSTOCK!$I1886*INSTOCK!$K1886</f>
        <v>0</v>
      </c>
      <c r="O1886" s="2"/>
      <c r="P1886" s="2"/>
    </row>
    <row r="1887" ht="18.0" hidden="1" customHeight="1">
      <c r="A1887" s="1"/>
      <c r="B1887" s="3"/>
      <c r="C1887" s="4">
        <v>43743.0</v>
      </c>
      <c r="D1887" s="2" t="s">
        <v>2422</v>
      </c>
      <c r="E1887" s="2"/>
      <c r="F1887" s="3" t="s">
        <v>161</v>
      </c>
      <c r="G1887" s="2" t="s">
        <v>456</v>
      </c>
      <c r="H1887" s="2" t="s">
        <v>571</v>
      </c>
      <c r="I1887" s="3">
        <v>114.0</v>
      </c>
      <c r="J1887" s="3"/>
      <c r="K1887" s="5"/>
      <c r="L1887" s="6"/>
      <c r="M1887" s="6" t="str">
        <f>IF(D1887&lt;&gt;"",VLOOKUP(H1887,TABLEITEM,3,FALSE),"")</f>
        <v>เสาเสริม 38x50x2mmx504</v>
      </c>
      <c r="N1887" s="7">
        <f>INSTOCK!$I1887*INSTOCK!$K1887</f>
        <v>0</v>
      </c>
      <c r="O1887" s="2"/>
      <c r="P1887" s="2"/>
    </row>
    <row r="1888" ht="18.0" hidden="1" customHeight="1">
      <c r="A1888" s="1"/>
      <c r="B1888" s="3"/>
      <c r="C1888" s="4">
        <v>43743.0</v>
      </c>
      <c r="D1888" s="2" t="s">
        <v>2423</v>
      </c>
      <c r="E1888" s="2"/>
      <c r="F1888" s="3" t="s">
        <v>161</v>
      </c>
      <c r="G1888" s="2" t="s">
        <v>456</v>
      </c>
      <c r="H1888" s="2" t="s">
        <v>596</v>
      </c>
      <c r="I1888" s="3">
        <v>36.0</v>
      </c>
      <c r="J1888" s="3"/>
      <c r="K1888" s="5"/>
      <c r="L1888" s="6"/>
      <c r="M1888" s="6" t="str">
        <f>IF(D1888&lt;&gt;"",VLOOKUP(H1888,TABLEITEM,3,FALSE),"")</f>
        <v>คานฝาหน้า 50x22x620</v>
      </c>
      <c r="N1888" s="7">
        <f>INSTOCK!$I1888*INSTOCK!$K1888</f>
        <v>0</v>
      </c>
      <c r="O1888" s="2"/>
      <c r="P1888" s="2"/>
    </row>
    <row r="1889" ht="18.0" hidden="1" customHeight="1">
      <c r="A1889" s="1"/>
      <c r="B1889" s="3"/>
      <c r="C1889" s="4">
        <v>43743.0</v>
      </c>
      <c r="D1889" s="2" t="s">
        <v>2423</v>
      </c>
      <c r="E1889" s="2"/>
      <c r="F1889" s="3" t="s">
        <v>161</v>
      </c>
      <c r="G1889" s="2" t="s">
        <v>456</v>
      </c>
      <c r="H1889" s="2" t="s">
        <v>710</v>
      </c>
      <c r="I1889" s="3">
        <v>32.0</v>
      </c>
      <c r="J1889" s="3"/>
      <c r="K1889" s="5"/>
      <c r="L1889" s="6"/>
      <c r="M1889" s="6" t="str">
        <f>IF(D1889&lt;&gt;"",VLOOKUP(H1889,TABLEITEM,3,FALSE),"")</f>
        <v>คานฝาหน้า 50x22x720</v>
      </c>
      <c r="N1889" s="7">
        <f>INSTOCK!$I1889*INSTOCK!$K1889</f>
        <v>0</v>
      </c>
      <c r="O1889" s="2"/>
      <c r="P1889" s="2"/>
    </row>
    <row r="1890" ht="18.0" hidden="1" customHeight="1">
      <c r="A1890" s="1"/>
      <c r="B1890" s="3"/>
      <c r="C1890" s="4">
        <v>43743.0</v>
      </c>
      <c r="D1890" s="2" t="s">
        <v>2312</v>
      </c>
      <c r="E1890" s="2"/>
      <c r="F1890" s="3" t="s">
        <v>161</v>
      </c>
      <c r="G1890" s="2" t="s">
        <v>456</v>
      </c>
      <c r="H1890" s="2" t="s">
        <v>504</v>
      </c>
      <c r="I1890" s="3">
        <v>31.0</v>
      </c>
      <c r="J1890" s="3"/>
      <c r="K1890" s="5"/>
      <c r="L1890" s="6"/>
      <c r="M1890" s="6" t="str">
        <f>IF(D1890&lt;&gt;"",VLOOKUP(H1890,TABLEITEM,3,FALSE),"")</f>
        <v>แพลทยึดอุปกรณ์595x300</v>
      </c>
      <c r="N1890" s="7">
        <f>INSTOCK!$I1890*INSTOCK!$K1890</f>
        <v>0</v>
      </c>
      <c r="O1890" s="2"/>
      <c r="P1890" s="2"/>
    </row>
    <row r="1891" ht="18.0" hidden="1" customHeight="1">
      <c r="A1891" s="1"/>
      <c r="B1891" s="3"/>
      <c r="C1891" s="4">
        <v>43739.0</v>
      </c>
      <c r="D1891" s="2" t="s">
        <v>2424</v>
      </c>
      <c r="E1891" s="2">
        <v>6.209001424E9</v>
      </c>
      <c r="F1891" s="3" t="s">
        <v>161</v>
      </c>
      <c r="G1891" s="2" t="s">
        <v>171</v>
      </c>
      <c r="H1891" s="2" t="s">
        <v>21</v>
      </c>
      <c r="I1891" s="3">
        <v>400.0</v>
      </c>
      <c r="J1891" s="3"/>
      <c r="K1891" s="5">
        <v>1010.569</v>
      </c>
      <c r="L1891" s="6"/>
      <c r="M1891" s="6" t="str">
        <f>IF(D1891&lt;&gt;"",VLOOKUP(H1891,TABLEITEM,3,FALSE),"")</f>
        <v>เหล็กแผ่นขาว4'x8'T2.0</v>
      </c>
      <c r="N1891" s="7">
        <f>INSTOCK!$I1891*INSTOCK!$K1891</f>
        <v>404227.6</v>
      </c>
      <c r="O1891" s="2" t="s">
        <v>2425</v>
      </c>
      <c r="P1891" s="2"/>
    </row>
    <row r="1892" ht="18.0" hidden="1" customHeight="1">
      <c r="A1892" s="1"/>
      <c r="B1892" s="3"/>
      <c r="C1892" s="4">
        <v>43739.0</v>
      </c>
      <c r="D1892" s="2" t="s">
        <v>2426</v>
      </c>
      <c r="E1892" s="2">
        <v>6.209001424E9</v>
      </c>
      <c r="F1892" s="3" t="s">
        <v>161</v>
      </c>
      <c r="G1892" s="2" t="s">
        <v>171</v>
      </c>
      <c r="H1892" s="2" t="s">
        <v>19</v>
      </c>
      <c r="I1892" s="3">
        <v>300.0</v>
      </c>
      <c r="J1892" s="3"/>
      <c r="K1892" s="5">
        <v>800.9467</v>
      </c>
      <c r="L1892" s="6"/>
      <c r="M1892" s="6" t="str">
        <f>IF(D1892&lt;&gt;"",VLOOKUP(H1892,TABLEITEM,3,FALSE),"")</f>
        <v>เหล็กแผ่นขาว4'x8'T1.6</v>
      </c>
      <c r="N1892" s="7">
        <f>INSTOCK!$I1892*INSTOCK!$K1892</f>
        <v>240284.01</v>
      </c>
      <c r="O1892" s="2" t="s">
        <v>2427</v>
      </c>
      <c r="P1892" s="2"/>
    </row>
    <row r="1893" ht="18.0" hidden="1" customHeight="1">
      <c r="A1893" s="1"/>
      <c r="B1893" s="3"/>
      <c r="C1893" s="4">
        <v>43740.0</v>
      </c>
      <c r="D1893" s="2" t="s">
        <v>2428</v>
      </c>
      <c r="E1893" s="2">
        <v>6.209001424E9</v>
      </c>
      <c r="F1893" s="3" t="s">
        <v>161</v>
      </c>
      <c r="G1893" s="2" t="s">
        <v>171</v>
      </c>
      <c r="H1893" s="2" t="s">
        <v>25</v>
      </c>
      <c r="I1893" s="3">
        <v>150.0</v>
      </c>
      <c r="J1893" s="3"/>
      <c r="K1893" s="5">
        <v>1598.28</v>
      </c>
      <c r="L1893" s="6"/>
      <c r="M1893" s="6" t="str">
        <f>IF(D1893&lt;&gt;"",VLOOKUP(H1893,TABLEITEM,3,FALSE),"")</f>
        <v>เหล็กแผ่นขาว4'x8'T3.0</v>
      </c>
      <c r="N1893" s="7">
        <f>INSTOCK!$I1893*INSTOCK!$K1893</f>
        <v>239742</v>
      </c>
      <c r="O1893" s="2" t="s">
        <v>2429</v>
      </c>
      <c r="P1893" s="2"/>
    </row>
    <row r="1894" ht="18.0" hidden="1" customHeight="1">
      <c r="A1894" s="1"/>
      <c r="B1894" s="3"/>
      <c r="C1894" s="4">
        <v>43741.0</v>
      </c>
      <c r="D1894" s="2" t="s">
        <v>2430</v>
      </c>
      <c r="E1894" s="2">
        <v>6.29001424E8</v>
      </c>
      <c r="F1894" s="3" t="s">
        <v>161</v>
      </c>
      <c r="G1894" s="2" t="s">
        <v>2431</v>
      </c>
      <c r="H1894" s="2" t="s">
        <v>25</v>
      </c>
      <c r="I1894" s="3">
        <v>50.0</v>
      </c>
      <c r="J1894" s="3"/>
      <c r="K1894" s="5">
        <v>1577.25</v>
      </c>
      <c r="L1894" s="6"/>
      <c r="M1894" s="6" t="str">
        <f>IF(D1894&lt;&gt;"",VLOOKUP(H1894,TABLEITEM,3,FALSE),"")</f>
        <v>เหล็กแผ่นขาว4'x8'T3.0</v>
      </c>
      <c r="N1894" s="7">
        <f>INSTOCK!$I1894*INSTOCK!$K1894</f>
        <v>78862.5</v>
      </c>
      <c r="O1894" s="2" t="s">
        <v>2432</v>
      </c>
      <c r="P1894" s="2"/>
    </row>
    <row r="1895" ht="18.0" hidden="1" customHeight="1">
      <c r="A1895" s="1"/>
      <c r="B1895" s="3"/>
      <c r="C1895" s="4">
        <v>43741.0</v>
      </c>
      <c r="D1895" s="2" t="s">
        <v>2430</v>
      </c>
      <c r="E1895" s="2">
        <v>6.29001424E8</v>
      </c>
      <c r="F1895" s="3" t="s">
        <v>161</v>
      </c>
      <c r="G1895" s="2" t="s">
        <v>2431</v>
      </c>
      <c r="H1895" s="2" t="s">
        <v>40</v>
      </c>
      <c r="I1895" s="3">
        <v>50.0</v>
      </c>
      <c r="J1895" s="3"/>
      <c r="K1895" s="5">
        <v>935.75</v>
      </c>
      <c r="L1895" s="6"/>
      <c r="M1895" s="6" t="str">
        <f>IF(D1895&lt;&gt;"",VLOOKUP(H1895,TABLEITEM,3,FALSE),"")</f>
        <v>เหล็กแผ่นEG4'x8'T1.6</v>
      </c>
      <c r="N1895" s="7">
        <f>INSTOCK!$I1895*INSTOCK!$K1895</f>
        <v>46787.5</v>
      </c>
      <c r="O1895" s="2" t="s">
        <v>2433</v>
      </c>
      <c r="P1895" s="2"/>
    </row>
    <row r="1896" ht="18.0" hidden="1" customHeight="1">
      <c r="A1896" s="1"/>
      <c r="B1896" s="3"/>
      <c r="C1896" s="4">
        <v>43739.0</v>
      </c>
      <c r="D1896" s="2" t="s">
        <v>2434</v>
      </c>
      <c r="E1896" s="2">
        <v>6.209201414E9</v>
      </c>
      <c r="F1896" s="3" t="s">
        <v>161</v>
      </c>
      <c r="G1896" s="2" t="s">
        <v>202</v>
      </c>
      <c r="H1896" s="2" t="s">
        <v>54</v>
      </c>
      <c r="I1896" s="3">
        <v>100.0</v>
      </c>
      <c r="J1896" s="3"/>
      <c r="K1896" s="5">
        <v>2240.0</v>
      </c>
      <c r="L1896" s="6"/>
      <c r="M1896" s="6" t="str">
        <f>IF(D1896&lt;&gt;"",VLOOKUP(H1896,TABLEITEM,3,FALSE),"")</f>
        <v>เหล็กแผ่นดำ5'x10'T3.0</v>
      </c>
      <c r="N1896" s="7">
        <f>INSTOCK!$I1896*INSTOCK!$K1896</f>
        <v>224000</v>
      </c>
      <c r="O1896" s="2"/>
      <c r="P1896" s="2"/>
    </row>
    <row r="1897" ht="18.0" hidden="1" customHeight="1">
      <c r="A1897" s="1"/>
      <c r="B1897" s="3"/>
      <c r="C1897" s="4">
        <v>43739.0</v>
      </c>
      <c r="D1897" s="2" t="s">
        <v>2434</v>
      </c>
      <c r="E1897" s="2">
        <v>6.209201414E9</v>
      </c>
      <c r="F1897" s="3" t="s">
        <v>161</v>
      </c>
      <c r="G1897" s="2" t="s">
        <v>202</v>
      </c>
      <c r="H1897" s="2" t="s">
        <v>89</v>
      </c>
      <c r="I1897" s="3">
        <v>300.0</v>
      </c>
      <c r="J1897" s="3" t="s">
        <v>78</v>
      </c>
      <c r="K1897" s="5">
        <v>75.8334</v>
      </c>
      <c r="L1897" s="6"/>
      <c r="M1897" s="6" t="str">
        <f>IF(D1897&lt;&gt;"",VLOOKUP(H1897,TABLEITEM,3,FALSE),"")</f>
        <v>เหล็กฉาก 2''หนา5 มิล</v>
      </c>
      <c r="N1897" s="7">
        <f>INSTOCK!$I1897*INSTOCK!$K1897</f>
        <v>22750.02</v>
      </c>
      <c r="O1897" s="2" t="s">
        <v>2435</v>
      </c>
      <c r="P1897" s="2"/>
    </row>
    <row r="1898" ht="18.0" hidden="1" customHeight="1">
      <c r="A1898" s="1"/>
      <c r="B1898" s="3"/>
      <c r="C1898" s="4">
        <v>43739.0</v>
      </c>
      <c r="D1898" s="2" t="s">
        <v>2434</v>
      </c>
      <c r="E1898" s="2">
        <v>6.209201414E9</v>
      </c>
      <c r="F1898" s="3" t="s">
        <v>161</v>
      </c>
      <c r="G1898" s="2" t="s">
        <v>202</v>
      </c>
      <c r="H1898" s="2" t="s">
        <v>79</v>
      </c>
      <c r="I1898" s="3">
        <v>300.0</v>
      </c>
      <c r="J1898" s="3" t="s">
        <v>78</v>
      </c>
      <c r="K1898" s="5">
        <v>136.6667</v>
      </c>
      <c r="L1898" s="6"/>
      <c r="M1898" s="6" t="str">
        <f>IF(D1898&lt;&gt;"",VLOOKUP(H1898,TABLEITEM,3,FALSE),"")</f>
        <v>เหล็กรางน้ำ U' 3</v>
      </c>
      <c r="N1898" s="7">
        <f>INSTOCK!$I1898*INSTOCK!$K1898</f>
        <v>41000.01</v>
      </c>
      <c r="O1898" s="2" t="s">
        <v>2436</v>
      </c>
      <c r="P1898" s="2"/>
    </row>
    <row r="1899" ht="18.0" hidden="1" customHeight="1">
      <c r="A1899" s="1"/>
      <c r="B1899" s="3"/>
      <c r="C1899" s="4">
        <v>43745.0</v>
      </c>
      <c r="D1899" s="2" t="s">
        <v>2437</v>
      </c>
      <c r="E1899" s="2"/>
      <c r="F1899" s="3" t="s">
        <v>161</v>
      </c>
      <c r="G1899" s="2" t="s">
        <v>456</v>
      </c>
      <c r="H1899" s="2" t="s">
        <v>525</v>
      </c>
      <c r="I1899" s="3">
        <v>90.0</v>
      </c>
      <c r="J1899" s="3"/>
      <c r="K1899" s="5"/>
      <c r="L1899" s="6"/>
      <c r="M1899" s="6" t="str">
        <f>IF(D1899&lt;&gt;"",VLOOKUP(H1899,TABLEITEM,3,FALSE),"")</f>
        <v>เสาเชื่อม2275x40x50</v>
      </c>
      <c r="N1899" s="7">
        <f>INSTOCK!$I1899*INSTOCK!$K1899</f>
        <v>0</v>
      </c>
      <c r="O1899" s="2"/>
      <c r="P1899" s="2"/>
    </row>
    <row r="1900" ht="18.0" hidden="1" customHeight="1">
      <c r="A1900" s="1"/>
      <c r="B1900" s="3"/>
      <c r="C1900" s="4">
        <v>43745.0</v>
      </c>
      <c r="D1900" s="2" t="s">
        <v>2438</v>
      </c>
      <c r="E1900" s="2"/>
      <c r="F1900" s="3" t="s">
        <v>161</v>
      </c>
      <c r="G1900" s="2" t="s">
        <v>456</v>
      </c>
      <c r="H1900" s="2" t="s">
        <v>493</v>
      </c>
      <c r="I1900" s="3">
        <v>90.0</v>
      </c>
      <c r="J1900" s="3"/>
      <c r="K1900" s="5"/>
      <c r="L1900" s="6"/>
      <c r="M1900" s="6" t="str">
        <f>IF(D1900&lt;&gt;"",VLOOKUP(H1900,TABLEITEM,3,FALSE),"")</f>
        <v>เสาเชื่อม2125x40x50</v>
      </c>
      <c r="N1900" s="7">
        <f>INSTOCK!$I1900*INSTOCK!$K1900</f>
        <v>0</v>
      </c>
      <c r="O1900" s="2"/>
      <c r="P1900" s="2"/>
    </row>
    <row r="1901" ht="18.0" hidden="1" customHeight="1">
      <c r="A1901" s="1"/>
      <c r="B1901" s="3"/>
      <c r="C1901" s="4">
        <v>43745.0</v>
      </c>
      <c r="D1901" s="2" t="s">
        <v>2439</v>
      </c>
      <c r="E1901" s="2"/>
      <c r="F1901" s="3" t="s">
        <v>161</v>
      </c>
      <c r="G1901" s="2" t="s">
        <v>456</v>
      </c>
      <c r="H1901" s="2" t="s">
        <v>495</v>
      </c>
      <c r="I1901" s="3">
        <v>216.0</v>
      </c>
      <c r="J1901" s="3"/>
      <c r="K1901" s="5"/>
      <c r="L1901" s="6"/>
      <c r="M1901" s="6" t="str">
        <f>IF(D1901&lt;&gt;"",VLOOKUP(H1901,TABLEITEM,3,FALSE),"")</f>
        <v>คานเชื่อม800</v>
      </c>
      <c r="N1901" s="7">
        <f>INSTOCK!$I1901*INSTOCK!$K1901</f>
        <v>0</v>
      </c>
      <c r="O1901" s="2"/>
      <c r="P1901" s="2"/>
    </row>
    <row r="1902" ht="18.0" hidden="1" customHeight="1">
      <c r="A1902" s="1"/>
      <c r="B1902" s="3"/>
      <c r="C1902" s="4">
        <v>43746.0</v>
      </c>
      <c r="D1902" s="2" t="s">
        <v>2440</v>
      </c>
      <c r="E1902" s="2"/>
      <c r="F1902" s="3" t="s">
        <v>161</v>
      </c>
      <c r="G1902" s="2" t="s">
        <v>456</v>
      </c>
      <c r="H1902" s="2" t="s">
        <v>503</v>
      </c>
      <c r="I1902" s="3">
        <v>40.0</v>
      </c>
      <c r="J1902" s="3"/>
      <c r="K1902" s="5"/>
      <c r="L1902" s="6"/>
      <c r="M1902" s="6" t="str">
        <f>IF(D1902&lt;&gt;"",VLOOKUP(H1902,TABLEITEM,3,FALSE),"")</f>
        <v>แพลทยึดอุปกรณ์220x700</v>
      </c>
      <c r="N1902" s="7">
        <f>INSTOCK!$I1902*INSTOCK!$K1902</f>
        <v>0</v>
      </c>
      <c r="O1902" s="2"/>
      <c r="P1902" s="2"/>
    </row>
    <row r="1903" ht="18.0" hidden="1" customHeight="1">
      <c r="A1903" s="1"/>
      <c r="B1903" s="3"/>
      <c r="C1903" s="4">
        <v>43746.0</v>
      </c>
      <c r="D1903" s="2" t="s">
        <v>2382</v>
      </c>
      <c r="E1903" s="2"/>
      <c r="F1903" s="3" t="s">
        <v>161</v>
      </c>
      <c r="G1903" s="2" t="s">
        <v>456</v>
      </c>
      <c r="H1903" s="2" t="s">
        <v>484</v>
      </c>
      <c r="I1903" s="3">
        <v>186.0</v>
      </c>
      <c r="J1903" s="3"/>
      <c r="K1903" s="5"/>
      <c r="L1903" s="6"/>
      <c r="M1903" s="6" t="str">
        <f>IF(D1903&lt;&gt;"",VLOOKUP(H1903,TABLEITEM,3,FALSE),"")</f>
        <v>คานต่อโครง3mm 68x45x720</v>
      </c>
      <c r="N1903" s="7">
        <f>INSTOCK!$I1903*INSTOCK!$K1903</f>
        <v>0</v>
      </c>
      <c r="O1903" s="2"/>
      <c r="P1903" s="2"/>
    </row>
    <row r="1904" ht="18.0" hidden="1" customHeight="1">
      <c r="A1904" s="1"/>
      <c r="B1904" s="3"/>
      <c r="C1904" s="4">
        <v>43747.0</v>
      </c>
      <c r="D1904" s="2" t="s">
        <v>2420</v>
      </c>
      <c r="E1904" s="2"/>
      <c r="F1904" s="3" t="s">
        <v>161</v>
      </c>
      <c r="G1904" s="2" t="s">
        <v>456</v>
      </c>
      <c r="H1904" s="2" t="s">
        <v>573</v>
      </c>
      <c r="I1904" s="3">
        <v>62.0</v>
      </c>
      <c r="J1904" s="3"/>
      <c r="K1904" s="5"/>
      <c r="L1904" s="6"/>
      <c r="M1904" s="6" t="str">
        <f>IF(D1904&lt;&gt;"",VLOOKUP(H1904,TABLEITEM,3,FALSE),"")</f>
        <v>คานตัวC 70x25T2.0x495</v>
      </c>
      <c r="N1904" s="7">
        <f>INSTOCK!$I1904*INSTOCK!$K1904</f>
        <v>0</v>
      </c>
      <c r="O1904" s="2"/>
      <c r="P1904" s="2"/>
    </row>
    <row r="1905" ht="18.0" hidden="1" customHeight="1">
      <c r="A1905" s="1"/>
      <c r="B1905" s="3"/>
      <c r="C1905" s="4">
        <v>43747.0</v>
      </c>
      <c r="D1905" s="2" t="s">
        <v>2383</v>
      </c>
      <c r="E1905" s="2"/>
      <c r="F1905" s="3" t="s">
        <v>161</v>
      </c>
      <c r="G1905" s="2" t="s">
        <v>456</v>
      </c>
      <c r="H1905" s="2" t="s">
        <v>459</v>
      </c>
      <c r="I1905" s="3">
        <v>177.0</v>
      </c>
      <c r="J1905" s="3"/>
      <c r="K1905" s="5"/>
      <c r="L1905" s="6"/>
      <c r="M1905" s="6" t="str">
        <f>IF(D1905&lt;&gt;"",VLOOKUP(H1905,TABLEITEM,3,FALSE),"")</f>
        <v>คานต่อโครง3mm 68x45x520</v>
      </c>
      <c r="N1905" s="7">
        <f>INSTOCK!$I1905*INSTOCK!$K1905</f>
        <v>0</v>
      </c>
      <c r="O1905" s="2"/>
      <c r="P1905" s="2"/>
    </row>
    <row r="1906" ht="18.0" hidden="1" customHeight="1">
      <c r="A1906" s="1"/>
      <c r="B1906" s="3"/>
      <c r="C1906" s="4">
        <v>43747.0</v>
      </c>
      <c r="D1906" s="2" t="s">
        <v>2441</v>
      </c>
      <c r="E1906" s="2"/>
      <c r="F1906" s="3" t="s">
        <v>161</v>
      </c>
      <c r="G1906" s="2" t="s">
        <v>456</v>
      </c>
      <c r="H1906" s="2" t="s">
        <v>1340</v>
      </c>
      <c r="I1906" s="3">
        <v>60.0</v>
      </c>
      <c r="J1906" s="3"/>
      <c r="K1906" s="5"/>
      <c r="L1906" s="6"/>
      <c r="M1906" s="6" t="str">
        <f>IF(D1906&lt;&gt;"",VLOOKUP(H1906,TABLEITEM,3,FALSE),"")</f>
        <v>แผ่นสไลค์ 280x100</v>
      </c>
      <c r="N1906" s="7">
        <f>INSTOCK!$I1906*INSTOCK!$K1906</f>
        <v>0</v>
      </c>
      <c r="O1906" s="2"/>
      <c r="P1906" s="2"/>
    </row>
    <row r="1907" ht="18.0" hidden="1" customHeight="1">
      <c r="A1907" s="1"/>
      <c r="B1907" s="3"/>
      <c r="C1907" s="4">
        <v>43748.0</v>
      </c>
      <c r="D1907" s="2" t="s">
        <v>2164</v>
      </c>
      <c r="E1907" s="2"/>
      <c r="F1907" s="3" t="s">
        <v>161</v>
      </c>
      <c r="G1907" s="2" t="s">
        <v>456</v>
      </c>
      <c r="H1907" s="2" t="s">
        <v>620</v>
      </c>
      <c r="I1907" s="3">
        <v>33.0</v>
      </c>
      <c r="J1907" s="3"/>
      <c r="K1907" s="5"/>
      <c r="L1907" s="6"/>
      <c r="M1907" s="6" t="str">
        <f>IF(D1907&lt;&gt;"",VLOOKUP(H1907,TABLEITEM,3,FALSE),"")</f>
        <v>คานต่อโครง3mm 68x45x620</v>
      </c>
      <c r="N1907" s="7">
        <f>INSTOCK!$I1907*INSTOCK!$K1907</f>
        <v>0</v>
      </c>
      <c r="O1907" s="2"/>
      <c r="P1907" s="2"/>
    </row>
    <row r="1908" ht="18.0" hidden="1" customHeight="1">
      <c r="A1908" s="1"/>
      <c r="B1908" s="3"/>
      <c r="C1908" s="4">
        <v>43748.0</v>
      </c>
      <c r="D1908" s="2" t="s">
        <v>2164</v>
      </c>
      <c r="E1908" s="2"/>
      <c r="F1908" s="3" t="s">
        <v>161</v>
      </c>
      <c r="G1908" s="2" t="s">
        <v>456</v>
      </c>
      <c r="H1908" s="2" t="s">
        <v>472</v>
      </c>
      <c r="I1908" s="3">
        <v>21.0</v>
      </c>
      <c r="J1908" s="3"/>
      <c r="K1908" s="5"/>
      <c r="L1908" s="6"/>
      <c r="M1908" s="6" t="str">
        <f>IF(D1908&lt;&gt;"",VLOOKUP(H1908,TABLEITEM,3,FALSE),"")</f>
        <v>คานต่อโครง3mm 68x45x420</v>
      </c>
      <c r="N1908" s="7">
        <f>INSTOCK!$I1908*INSTOCK!$K1908</f>
        <v>0</v>
      </c>
      <c r="O1908" s="2"/>
      <c r="P1908" s="2"/>
    </row>
    <row r="1909" ht="18.0" hidden="1" customHeight="1">
      <c r="A1909" s="1"/>
      <c r="B1909" s="3"/>
      <c r="C1909" s="4">
        <v>43748.0</v>
      </c>
      <c r="D1909" s="2" t="s">
        <v>2348</v>
      </c>
      <c r="E1909" s="2"/>
      <c r="F1909" s="3" t="s">
        <v>161</v>
      </c>
      <c r="G1909" s="2" t="s">
        <v>456</v>
      </c>
      <c r="H1909" s="2" t="s">
        <v>486</v>
      </c>
      <c r="I1909" s="3">
        <v>15.0</v>
      </c>
      <c r="J1909" s="3"/>
      <c r="K1909" s="5"/>
      <c r="L1909" s="6"/>
      <c r="M1909" s="6" t="str">
        <f>IF(D1909&lt;&gt;"",VLOOKUP(H1909,TABLEITEM,3,FALSE),"")</f>
        <v>กระเป๋าเอกสารรุ่น 316x45</v>
      </c>
      <c r="N1909" s="7">
        <f>INSTOCK!$I1909*INSTOCK!$K1909</f>
        <v>0</v>
      </c>
      <c r="O1909" s="2"/>
      <c r="P1909" s="2"/>
    </row>
    <row r="1910" ht="18.0" hidden="1" customHeight="1">
      <c r="A1910" s="1"/>
      <c r="B1910" s="3"/>
      <c r="C1910" s="4">
        <v>43747.0</v>
      </c>
      <c r="D1910" s="2" t="s">
        <v>2442</v>
      </c>
      <c r="E1910" s="2">
        <v>6.210001484E9</v>
      </c>
      <c r="F1910" s="3" t="s">
        <v>161</v>
      </c>
      <c r="G1910" s="2" t="s">
        <v>171</v>
      </c>
      <c r="H1910" s="2" t="s">
        <v>17</v>
      </c>
      <c r="I1910" s="3">
        <v>100.0</v>
      </c>
      <c r="J1910" s="3"/>
      <c r="K1910" s="5">
        <v>602.0</v>
      </c>
      <c r="L1910" s="6"/>
      <c r="M1910" s="6" t="str">
        <f>IF(D1910&lt;&gt;"",VLOOKUP(H1910,TABLEITEM,3,FALSE),"")</f>
        <v>เหล็กแผ่นขาว4'x8'T1.2</v>
      </c>
      <c r="N1910" s="7">
        <f>INSTOCK!$I1910*INSTOCK!$K1910</f>
        <v>60200</v>
      </c>
      <c r="O1910" s="2" t="s">
        <v>2443</v>
      </c>
      <c r="P1910" s="2"/>
    </row>
    <row r="1911" ht="18.0" hidden="1" customHeight="1">
      <c r="A1911" s="1"/>
      <c r="B1911" s="3"/>
      <c r="C1911" s="4">
        <v>43747.0</v>
      </c>
      <c r="D1911" s="2" t="s">
        <v>2442</v>
      </c>
      <c r="E1911" s="2">
        <v>6.210001484E9</v>
      </c>
      <c r="F1911" s="3" t="s">
        <v>161</v>
      </c>
      <c r="G1911" s="2" t="s">
        <v>171</v>
      </c>
      <c r="H1911" s="2" t="s">
        <v>40</v>
      </c>
      <c r="I1911" s="3">
        <v>50.0</v>
      </c>
      <c r="J1911" s="3"/>
      <c r="K1911" s="5">
        <v>930.75</v>
      </c>
      <c r="L1911" s="6"/>
      <c r="M1911" s="6" t="str">
        <f>IF(D1911&lt;&gt;"",VLOOKUP(H1911,TABLEITEM,3,FALSE),"")</f>
        <v>เหล็กแผ่นEG4'x8'T1.6</v>
      </c>
      <c r="N1911" s="7">
        <f>INSTOCK!$I1911*INSTOCK!$K1911</f>
        <v>46537.5</v>
      </c>
      <c r="O1911" s="2" t="s">
        <v>2444</v>
      </c>
      <c r="P1911" s="2"/>
    </row>
    <row r="1912" ht="18.0" hidden="1" customHeight="1">
      <c r="A1912" s="1"/>
      <c r="B1912" s="3"/>
      <c r="C1912" s="4">
        <v>43747.0</v>
      </c>
      <c r="D1912" s="2" t="s">
        <v>2445</v>
      </c>
      <c r="E1912" s="2">
        <v>6.210001484E9</v>
      </c>
      <c r="F1912" s="3" t="s">
        <v>161</v>
      </c>
      <c r="G1912" s="2" t="s">
        <v>171</v>
      </c>
      <c r="H1912" s="2" t="s">
        <v>19</v>
      </c>
      <c r="I1912" s="3">
        <v>100.0</v>
      </c>
      <c r="J1912" s="3"/>
      <c r="K1912" s="5">
        <v>987.925</v>
      </c>
      <c r="L1912" s="6"/>
      <c r="M1912" s="6" t="str">
        <f>IF(D1912&lt;&gt;"",VLOOKUP(H1912,TABLEITEM,3,FALSE),"")</f>
        <v>เหล็กแผ่นขาว4'x8'T1.6</v>
      </c>
      <c r="N1912" s="7">
        <f>INSTOCK!$I1912*INSTOCK!$K1912</f>
        <v>98792.5</v>
      </c>
      <c r="O1912" s="2" t="s">
        <v>2446</v>
      </c>
      <c r="P1912" s="2"/>
    </row>
    <row r="1913" ht="18.0" hidden="1" customHeight="1">
      <c r="A1913" s="1"/>
      <c r="B1913" s="3"/>
      <c r="C1913" s="4">
        <v>43747.0</v>
      </c>
      <c r="D1913" s="2" t="s">
        <v>2445</v>
      </c>
      <c r="E1913" s="2">
        <v>6.210001484E9</v>
      </c>
      <c r="F1913" s="3" t="s">
        <v>161</v>
      </c>
      <c r="G1913" s="2" t="s">
        <v>171</v>
      </c>
      <c r="H1913" s="2" t="s">
        <v>22</v>
      </c>
      <c r="I1913" s="3">
        <v>100.0</v>
      </c>
      <c r="J1913" s="3"/>
      <c r="K1913" s="5">
        <v>1244.495</v>
      </c>
      <c r="L1913" s="6"/>
      <c r="M1913" s="6" t="str">
        <f>IF(D1913&lt;&gt;"",VLOOKUP(H1913,TABLEITEM,3,FALSE),"")</f>
        <v>เหล็กแผ่นขาว4''X3000T2.0</v>
      </c>
      <c r="N1913" s="7">
        <f>INSTOCK!$I1913*INSTOCK!$K1913</f>
        <v>124449.5</v>
      </c>
      <c r="O1913" s="2" t="s">
        <v>2447</v>
      </c>
      <c r="P1913" s="2"/>
    </row>
    <row r="1914" ht="18.0" hidden="1" customHeight="1">
      <c r="A1914" s="1"/>
      <c r="B1914" s="3"/>
      <c r="C1914" s="4">
        <v>43748.0</v>
      </c>
      <c r="D1914" s="2" t="s">
        <v>2448</v>
      </c>
      <c r="E1914" s="2">
        <v>6.210001503E9</v>
      </c>
      <c r="F1914" s="3" t="s">
        <v>2260</v>
      </c>
      <c r="G1914" s="2" t="s">
        <v>153</v>
      </c>
      <c r="H1914" s="2" t="s">
        <v>1652</v>
      </c>
      <c r="I1914" s="3">
        <v>18.0</v>
      </c>
      <c r="J1914" s="3" t="s">
        <v>78</v>
      </c>
      <c r="K1914" s="5">
        <v>101.6667</v>
      </c>
      <c r="L1914" s="6"/>
      <c r="M1914" s="6" t="str">
        <f>IF(D1914&lt;&gt;"",VLOOKUP(H1914,TABLEITEM,3,FALSE),"")</f>
        <v>เหล็กกล่อง2''หนา3.2มิล</v>
      </c>
      <c r="N1914" s="7">
        <f>INSTOCK!$I1914*INSTOCK!$K1914</f>
        <v>1830.0006</v>
      </c>
      <c r="O1914" s="2" t="s">
        <v>2261</v>
      </c>
      <c r="P1914" s="2"/>
    </row>
    <row r="1915" ht="18.0" hidden="1" customHeight="1">
      <c r="A1915" s="1"/>
      <c r="B1915" s="3"/>
      <c r="C1915" s="4">
        <v>43754.0</v>
      </c>
      <c r="D1915" s="2" t="s">
        <v>2449</v>
      </c>
      <c r="E1915" s="2"/>
      <c r="F1915" s="3" t="s">
        <v>161</v>
      </c>
      <c r="G1915" s="2" t="s">
        <v>456</v>
      </c>
      <c r="H1915" s="2" t="s">
        <v>507</v>
      </c>
      <c r="I1915" s="3">
        <v>39.0</v>
      </c>
      <c r="J1915" s="3"/>
      <c r="K1915" s="5"/>
      <c r="L1915" s="6"/>
      <c r="M1915" s="6" t="str">
        <f>IF(D1915&lt;&gt;"",VLOOKUP(H1915,TABLEITEM,3,FALSE),"")</f>
        <v>แพลทยึดอุปกรณ์345x300</v>
      </c>
      <c r="N1915" s="7">
        <f>INSTOCK!$I1915*INSTOCK!$K1915</f>
        <v>0</v>
      </c>
      <c r="O1915" s="2"/>
      <c r="P1915" s="2"/>
    </row>
    <row r="1916" ht="18.0" hidden="1" customHeight="1">
      <c r="A1916" s="1"/>
      <c r="B1916" s="3"/>
      <c r="C1916" s="4">
        <v>43754.0</v>
      </c>
      <c r="D1916" s="2" t="s">
        <v>2423</v>
      </c>
      <c r="E1916" s="2"/>
      <c r="F1916" s="3" t="s">
        <v>161</v>
      </c>
      <c r="G1916" s="2" t="s">
        <v>456</v>
      </c>
      <c r="H1916" s="2" t="s">
        <v>1226</v>
      </c>
      <c r="I1916" s="3">
        <v>60.0</v>
      </c>
      <c r="J1916" s="3"/>
      <c r="K1916" s="5"/>
      <c r="L1916" s="6"/>
      <c r="M1916" s="6" t="str">
        <f>IF(D1916&lt;&gt;"",VLOOKUP(H1916,TABLEITEM,3,FALSE),"")</f>
        <v>คานฝาหน้า 50x22x520</v>
      </c>
      <c r="N1916" s="7">
        <f>INSTOCK!$I1916*INSTOCK!$K1916</f>
        <v>0</v>
      </c>
      <c r="O1916" s="2"/>
      <c r="P1916" s="2"/>
    </row>
    <row r="1917" ht="18.0" hidden="1" customHeight="1">
      <c r="A1917" s="1"/>
      <c r="B1917" s="3"/>
      <c r="C1917" s="4">
        <v>43754.0</v>
      </c>
      <c r="D1917" s="2" t="s">
        <v>2450</v>
      </c>
      <c r="E1917" s="2"/>
      <c r="F1917" s="3" t="s">
        <v>161</v>
      </c>
      <c r="G1917" s="2" t="s">
        <v>456</v>
      </c>
      <c r="H1917" s="2" t="s">
        <v>491</v>
      </c>
      <c r="I1917" s="3">
        <v>106.0</v>
      </c>
      <c r="J1917" s="3"/>
      <c r="K1917" s="5"/>
      <c r="L1917" s="6"/>
      <c r="M1917" s="6" t="str">
        <f>IF(D1917&lt;&gt;"",VLOOKUP(H1917,TABLEITEM,3,FALSE),"")</f>
        <v>เสาเสริม 40x50x1988</v>
      </c>
      <c r="N1917" s="7">
        <f>INSTOCK!$I1917*INSTOCK!$K1917</f>
        <v>0</v>
      </c>
      <c r="O1917" s="2"/>
      <c r="P1917" s="2"/>
    </row>
    <row r="1918" ht="18.0" hidden="1" customHeight="1">
      <c r="A1918" s="1"/>
      <c r="B1918" s="3"/>
      <c r="C1918" s="4">
        <v>43754.0</v>
      </c>
      <c r="D1918" s="2" t="s">
        <v>2451</v>
      </c>
      <c r="E1918" s="2"/>
      <c r="F1918" s="3" t="s">
        <v>161</v>
      </c>
      <c r="G1918" s="2" t="s">
        <v>456</v>
      </c>
      <c r="H1918" s="2" t="s">
        <v>511</v>
      </c>
      <c r="I1918" s="3">
        <v>92.0</v>
      </c>
      <c r="J1918" s="3"/>
      <c r="K1918" s="5"/>
      <c r="L1918" s="6"/>
      <c r="M1918" s="6" t="str">
        <f>IF(D1918&lt;&gt;"",VLOOKUP(H1918,TABLEITEM,3,FALSE),"")</f>
        <v>เสาเสริม 40x50x1788</v>
      </c>
      <c r="N1918" s="7">
        <f>INSTOCK!$I1918*INSTOCK!$K1918</f>
        <v>0</v>
      </c>
      <c r="O1918" s="2"/>
      <c r="P1918" s="2"/>
    </row>
    <row r="1919" ht="18.0" hidden="1" customHeight="1">
      <c r="A1919" s="1"/>
      <c r="B1919" s="3"/>
      <c r="C1919" s="4">
        <v>43754.0</v>
      </c>
      <c r="D1919" s="2" t="s">
        <v>2452</v>
      </c>
      <c r="E1919" s="2"/>
      <c r="F1919" s="3" t="s">
        <v>161</v>
      </c>
      <c r="G1919" s="2" t="s">
        <v>456</v>
      </c>
      <c r="H1919" s="2" t="s">
        <v>635</v>
      </c>
      <c r="I1919" s="3">
        <v>110.0</v>
      </c>
      <c r="J1919" s="3"/>
      <c r="K1919" s="5"/>
      <c r="L1919" s="6"/>
      <c r="M1919" s="6" t="str">
        <f>IF(D1919&lt;&gt;"",VLOOKUP(H1919,TABLEITEM,3,FALSE),"")</f>
        <v>แผ่นสไลค์ 150x70</v>
      </c>
      <c r="N1919" s="7">
        <f>INSTOCK!$I1919*INSTOCK!$K1919</f>
        <v>0</v>
      </c>
      <c r="O1919" s="2"/>
      <c r="P1919" s="2"/>
    </row>
    <row r="1920" ht="18.0" hidden="1" customHeight="1">
      <c r="A1920" s="1"/>
      <c r="B1920" s="3"/>
      <c r="C1920" s="4">
        <v>43754.0</v>
      </c>
      <c r="D1920" s="2" t="s">
        <v>2453</v>
      </c>
      <c r="E1920" s="2"/>
      <c r="F1920" s="3" t="s">
        <v>161</v>
      </c>
      <c r="G1920" s="2" t="s">
        <v>456</v>
      </c>
      <c r="H1920" s="2" t="s">
        <v>468</v>
      </c>
      <c r="I1920" s="3">
        <v>113.0</v>
      </c>
      <c r="J1920" s="3"/>
      <c r="K1920" s="5"/>
      <c r="L1920" s="6"/>
      <c r="M1920" s="6" t="str">
        <f>IF(D1920&lt;&gt;"",VLOOKUP(H1920,TABLEITEM,3,FALSE),"")</f>
        <v>คานเจยึดเสาใน754x50x35T2.0</v>
      </c>
      <c r="N1920" s="7">
        <f>INSTOCK!$I1920*INSTOCK!$K1920</f>
        <v>0</v>
      </c>
      <c r="O1920" s="2"/>
      <c r="P1920" s="2"/>
    </row>
    <row r="1921" ht="18.0" hidden="1" customHeight="1">
      <c r="A1921" s="1"/>
      <c r="B1921" s="3"/>
      <c r="C1921" s="4">
        <v>43754.0</v>
      </c>
      <c r="D1921" s="2" t="s">
        <v>2382</v>
      </c>
      <c r="E1921" s="2"/>
      <c r="F1921" s="3" t="s">
        <v>161</v>
      </c>
      <c r="G1921" s="2" t="s">
        <v>456</v>
      </c>
      <c r="H1921" s="2" t="s">
        <v>483</v>
      </c>
      <c r="I1921" s="3">
        <v>134.0</v>
      </c>
      <c r="J1921" s="3"/>
      <c r="K1921" s="5"/>
      <c r="L1921" s="6"/>
      <c r="M1921" s="6" t="str">
        <f>IF(D1921&lt;&gt;"",VLOOKUP(H1921,TABLEITEM,3,FALSE),"")</f>
        <v>คานต่อโครง4รู 68x45x3mmx720</v>
      </c>
      <c r="N1921" s="7">
        <f>INSTOCK!$I1921*INSTOCK!$K1921</f>
        <v>0</v>
      </c>
      <c r="O1921" s="2"/>
      <c r="P1921" s="2"/>
    </row>
    <row r="1922" ht="18.0" hidden="1" customHeight="1">
      <c r="A1922" s="1"/>
      <c r="B1922" s="3"/>
      <c r="C1922" s="4">
        <v>43754.0</v>
      </c>
      <c r="D1922" s="2" t="s">
        <v>2441</v>
      </c>
      <c r="E1922" s="2"/>
      <c r="F1922" s="3" t="s">
        <v>161</v>
      </c>
      <c r="G1922" s="2" t="s">
        <v>456</v>
      </c>
      <c r="H1922" s="2" t="s">
        <v>1341</v>
      </c>
      <c r="I1922" s="3">
        <v>160.0</v>
      </c>
      <c r="J1922" s="3"/>
      <c r="K1922" s="5"/>
      <c r="L1922" s="6"/>
      <c r="M1922" s="6" t="str">
        <f>IF(D1922&lt;&gt;"",VLOOKUP(H1922,TABLEITEM,3,FALSE),"")</f>
        <v>แผ่นสไลค์ 170x80</v>
      </c>
      <c r="N1922" s="7">
        <f>INSTOCK!$I1922*INSTOCK!$K1922</f>
        <v>0</v>
      </c>
      <c r="O1922" s="2"/>
      <c r="P1922" s="2"/>
    </row>
    <row r="1923" ht="18.0" hidden="1" customHeight="1">
      <c r="A1923" s="1"/>
      <c r="B1923" s="3"/>
      <c r="C1923" s="4">
        <v>43754.0</v>
      </c>
      <c r="D1923" s="2" t="s">
        <v>2312</v>
      </c>
      <c r="E1923" s="2"/>
      <c r="F1923" s="3" t="s">
        <v>161</v>
      </c>
      <c r="G1923" s="2" t="s">
        <v>456</v>
      </c>
      <c r="H1923" s="2" t="s">
        <v>539</v>
      </c>
      <c r="I1923" s="3">
        <v>12.0</v>
      </c>
      <c r="J1923" s="3"/>
      <c r="K1923" s="5"/>
      <c r="L1923" s="6"/>
      <c r="M1923" s="6" t="str">
        <f>IF(D1923&lt;&gt;"",VLOOKUP(H1923,TABLEITEM,3,FALSE),"")</f>
        <v>แพลทยึดอุปกรณ์595x250</v>
      </c>
      <c r="N1923" s="7">
        <f>INSTOCK!$I1923*INSTOCK!$K1923</f>
        <v>0</v>
      </c>
      <c r="O1923" s="2"/>
      <c r="P1923" s="2"/>
    </row>
    <row r="1924" ht="18.0" hidden="1" customHeight="1">
      <c r="A1924" s="1"/>
      <c r="B1924" s="3"/>
      <c r="C1924" s="4">
        <v>43754.0</v>
      </c>
      <c r="D1924" s="2" t="s">
        <v>2312</v>
      </c>
      <c r="E1924" s="2"/>
      <c r="F1924" s="3" t="s">
        <v>161</v>
      </c>
      <c r="G1924" s="2" t="s">
        <v>456</v>
      </c>
      <c r="H1924" s="2" t="s">
        <v>504</v>
      </c>
      <c r="I1924" s="3">
        <v>12.0</v>
      </c>
      <c r="J1924" s="3"/>
      <c r="K1924" s="5"/>
      <c r="L1924" s="6"/>
      <c r="M1924" s="6" t="str">
        <f>IF(D1924&lt;&gt;"",VLOOKUP(H1924,TABLEITEM,3,FALSE),"")</f>
        <v>แพลทยึดอุปกรณ์595x300</v>
      </c>
      <c r="N1924" s="7">
        <f>INSTOCK!$I1924*INSTOCK!$K1924</f>
        <v>0</v>
      </c>
      <c r="O1924" s="2"/>
      <c r="P1924" s="2"/>
    </row>
    <row r="1925" ht="18.0" customHeight="1">
      <c r="A1925" s="1"/>
      <c r="B1925" s="3"/>
      <c r="C1925" s="4">
        <v>43753.0</v>
      </c>
      <c r="D1925" s="2" t="s">
        <v>2454</v>
      </c>
      <c r="E1925" s="2">
        <v>6.21000152E9</v>
      </c>
      <c r="F1925" s="3" t="s">
        <v>2455</v>
      </c>
      <c r="G1925" s="2" t="s">
        <v>165</v>
      </c>
      <c r="H1925" s="2" t="s">
        <v>2390</v>
      </c>
      <c r="I1925" s="3">
        <v>1.0</v>
      </c>
      <c r="J1925" s="3"/>
      <c r="K1925" s="5">
        <v>1700.0</v>
      </c>
      <c r="L1925" s="6"/>
      <c r="M1925" s="6" t="str">
        <f>IF(D1925&lt;&gt;"",VLOOKUP(H1925,TABLEITEM,3,FALSE),"")</f>
        <v>แผ่นอะคริลิคสีชาใส 4'x8' T3.0mm #521</v>
      </c>
      <c r="N1925" s="7">
        <f>INSTOCK!$I1925*INSTOCK!$K1925</f>
        <v>1700</v>
      </c>
      <c r="O1925" s="2"/>
      <c r="P1925" s="2"/>
    </row>
    <row r="1926" ht="18.0" hidden="1" customHeight="1">
      <c r="A1926" s="1"/>
      <c r="B1926" s="3"/>
      <c r="C1926" s="4">
        <v>43750.0</v>
      </c>
      <c r="D1926" s="2" t="s">
        <v>2456</v>
      </c>
      <c r="E1926" s="2"/>
      <c r="F1926" s="3" t="s">
        <v>2457</v>
      </c>
      <c r="G1926" s="2" t="s">
        <v>953</v>
      </c>
      <c r="H1926" s="2" t="s">
        <v>1350</v>
      </c>
      <c r="I1926" s="3">
        <v>10.0</v>
      </c>
      <c r="J1926" s="3"/>
      <c r="K1926" s="5">
        <v>450.0</v>
      </c>
      <c r="L1926" s="6"/>
      <c r="M1926" s="6" t="str">
        <f>IF(D1926&lt;&gt;"",VLOOKUP(H1926,TABLEITEM,3,FALSE),"")</f>
        <v>กระจกลวด190X290T6.0</v>
      </c>
      <c r="N1926" s="7">
        <f>INSTOCK!$I1926*INSTOCK!$K1926</f>
        <v>4500</v>
      </c>
      <c r="O1926" s="2"/>
      <c r="P1926" s="2"/>
    </row>
    <row r="1927" ht="18.0" hidden="1" customHeight="1">
      <c r="A1927" s="1"/>
      <c r="B1927" s="3"/>
      <c r="C1927" s="4">
        <v>43755.0</v>
      </c>
      <c r="D1927" s="2" t="s">
        <v>2423</v>
      </c>
      <c r="E1927" s="2"/>
      <c r="F1927" s="3" t="s">
        <v>161</v>
      </c>
      <c r="G1927" s="2" t="s">
        <v>456</v>
      </c>
      <c r="H1927" s="2" t="s">
        <v>596</v>
      </c>
      <c r="I1927" s="3">
        <v>33.0</v>
      </c>
      <c r="J1927" s="3"/>
      <c r="K1927" s="5"/>
      <c r="L1927" s="6"/>
      <c r="M1927" s="6" t="str">
        <f>IF(D1927&lt;&gt;"",VLOOKUP(H1927,TABLEITEM,3,FALSE),"")</f>
        <v>คานฝาหน้า 50x22x620</v>
      </c>
      <c r="N1927" s="7">
        <f>INSTOCK!$I1927*INSTOCK!$K1927</f>
        <v>0</v>
      </c>
      <c r="O1927" s="2"/>
      <c r="P1927" s="2"/>
    </row>
    <row r="1928" ht="18.0" hidden="1" customHeight="1">
      <c r="A1928" s="1"/>
      <c r="B1928" s="3"/>
      <c r="C1928" s="4">
        <v>43756.0</v>
      </c>
      <c r="D1928" s="2" t="s">
        <v>2382</v>
      </c>
      <c r="E1928" s="2"/>
      <c r="F1928" s="3" t="s">
        <v>161</v>
      </c>
      <c r="G1928" s="2" t="s">
        <v>456</v>
      </c>
      <c r="H1928" s="2" t="s">
        <v>484</v>
      </c>
      <c r="I1928" s="3">
        <v>49.0</v>
      </c>
      <c r="J1928" s="3"/>
      <c r="K1928" s="5"/>
      <c r="L1928" s="6"/>
      <c r="M1928" s="6" t="str">
        <f>IF(D1928&lt;&gt;"",VLOOKUP(H1928,TABLEITEM,3,FALSE),"")</f>
        <v>คานต่อโครง3mm 68x45x720</v>
      </c>
      <c r="N1928" s="7">
        <f>INSTOCK!$I1928*INSTOCK!$K1928</f>
        <v>0</v>
      </c>
      <c r="O1928" s="2"/>
      <c r="P1928" s="2"/>
    </row>
    <row r="1929" ht="18.0" hidden="1" customHeight="1">
      <c r="A1929" s="1"/>
      <c r="B1929" s="3"/>
      <c r="C1929" s="4">
        <v>43756.0</v>
      </c>
      <c r="D1929" s="2" t="s">
        <v>2096</v>
      </c>
      <c r="E1929" s="2"/>
      <c r="F1929" s="3" t="s">
        <v>161</v>
      </c>
      <c r="G1929" s="2" t="s">
        <v>456</v>
      </c>
      <c r="H1929" s="2" t="s">
        <v>985</v>
      </c>
      <c r="I1929" s="3">
        <v>157.0</v>
      </c>
      <c r="J1929" s="3"/>
      <c r="K1929" s="5"/>
      <c r="L1929" s="6"/>
      <c r="M1929" s="6" t="str">
        <f>IF(D1929&lt;&gt;"",VLOOKUP(H1929,TABLEITEM,3,FALSE),"")</f>
        <v>ฉากรับเพลท70x30x3mm</v>
      </c>
      <c r="N1929" s="7">
        <f>INSTOCK!$I1929*INSTOCK!$K1929</f>
        <v>0</v>
      </c>
      <c r="O1929" s="2"/>
      <c r="P1929" s="2"/>
    </row>
    <row r="1930" ht="18.0" hidden="1" customHeight="1">
      <c r="A1930" s="1"/>
      <c r="B1930" s="3"/>
      <c r="C1930" s="4">
        <v>43754.0</v>
      </c>
      <c r="D1930" s="2" t="s">
        <v>2458</v>
      </c>
      <c r="E1930" s="2">
        <v>6.210001541E9</v>
      </c>
      <c r="F1930" s="3" t="s">
        <v>2459</v>
      </c>
      <c r="G1930" s="2" t="s">
        <v>733</v>
      </c>
      <c r="H1930" s="2" t="s">
        <v>2460</v>
      </c>
      <c r="I1930" s="3">
        <v>1.0</v>
      </c>
      <c r="J1930" s="3"/>
      <c r="K1930" s="5">
        <v>55.0</v>
      </c>
      <c r="L1930" s="6"/>
      <c r="M1930" s="6" t="str">
        <f>IF(D1930&lt;&gt;"",VLOOKUP(H1930,TABLEITEM,3,FALSE),"")</f>
        <v>กระจกใส 344x389 หนา 5.0มิล</v>
      </c>
      <c r="N1930" s="7">
        <f>INSTOCK!$I1930*INSTOCK!$K1930</f>
        <v>55</v>
      </c>
      <c r="O1930" s="2"/>
      <c r="P1930" s="2"/>
    </row>
    <row r="1931" ht="18.0" hidden="1" customHeight="1">
      <c r="A1931" s="1"/>
      <c r="B1931" s="3"/>
      <c r="C1931" s="4">
        <v>43749.0</v>
      </c>
      <c r="D1931" s="2" t="s">
        <v>2461</v>
      </c>
      <c r="E1931" s="2">
        <v>6.210001541E9</v>
      </c>
      <c r="F1931" s="3" t="s">
        <v>1893</v>
      </c>
      <c r="G1931" s="2" t="s">
        <v>733</v>
      </c>
      <c r="H1931" s="2" t="s">
        <v>2086</v>
      </c>
      <c r="I1931" s="3">
        <v>2.0</v>
      </c>
      <c r="J1931" s="3"/>
      <c r="K1931" s="5">
        <v>160.0</v>
      </c>
      <c r="L1931" s="6"/>
      <c r="M1931" s="6" t="str">
        <f>IF(D1931&lt;&gt;"",VLOOKUP(H1931,TABLEITEM,3,FALSE),"")</f>
        <v>กระจกใส 320x1062 T 5.0mm</v>
      </c>
      <c r="N1931" s="7">
        <f>INSTOCK!$I1931*INSTOCK!$K1931</f>
        <v>320</v>
      </c>
      <c r="O1931" s="2"/>
      <c r="P1931" s="2"/>
    </row>
    <row r="1932" ht="18.0" hidden="1" customHeight="1">
      <c r="A1932" s="1"/>
      <c r="B1932" s="3"/>
      <c r="C1932" s="4">
        <v>43749.0</v>
      </c>
      <c r="D1932" s="2" t="s">
        <v>2462</v>
      </c>
      <c r="E1932" s="2">
        <v>6.210001541E9</v>
      </c>
      <c r="F1932" s="3" t="s">
        <v>2463</v>
      </c>
      <c r="G1932" s="2" t="s">
        <v>733</v>
      </c>
      <c r="H1932" s="2" t="s">
        <v>2464</v>
      </c>
      <c r="I1932" s="3">
        <v>2.0</v>
      </c>
      <c r="J1932" s="3"/>
      <c r="K1932" s="5">
        <v>180.0</v>
      </c>
      <c r="L1932" s="6"/>
      <c r="M1932" s="6" t="str">
        <f>IF(D1932&lt;&gt;"",VLOOKUP(H1932,TABLEITEM,3,FALSE),"")</f>
        <v>กระจกใส 444x914 หนา 5.0มิล</v>
      </c>
      <c r="N1932" s="7">
        <f>INSTOCK!$I1932*INSTOCK!$K1932</f>
        <v>360</v>
      </c>
      <c r="O1932" s="2"/>
      <c r="P1932" s="2"/>
    </row>
    <row r="1933" ht="18.0" hidden="1" customHeight="1">
      <c r="A1933" s="1"/>
      <c r="B1933" s="3"/>
      <c r="C1933" s="4">
        <v>43749.0</v>
      </c>
      <c r="D1933" s="2" t="s">
        <v>2462</v>
      </c>
      <c r="E1933" s="2">
        <v>6.210001541E9</v>
      </c>
      <c r="F1933" s="3" t="s">
        <v>2463</v>
      </c>
      <c r="G1933" s="2" t="s">
        <v>733</v>
      </c>
      <c r="H1933" s="2" t="s">
        <v>2465</v>
      </c>
      <c r="I1933" s="3">
        <v>1.0</v>
      </c>
      <c r="J1933" s="3"/>
      <c r="K1933" s="5">
        <v>240.0</v>
      </c>
      <c r="L1933" s="6"/>
      <c r="M1933" s="6" t="str">
        <f>IF(D1933&lt;&gt;"",VLOOKUP(H1933,TABLEITEM,3,FALSE),"")</f>
        <v>กระจกใส 494x914 หนา 5.0มิล</v>
      </c>
      <c r="N1933" s="7">
        <f>INSTOCK!$I1933*INSTOCK!$K1933</f>
        <v>240</v>
      </c>
      <c r="O1933" s="2"/>
      <c r="P1933" s="2"/>
    </row>
    <row r="1934" ht="18.0" hidden="1" customHeight="1">
      <c r="A1934" s="1"/>
      <c r="B1934" s="3"/>
      <c r="C1934" s="4">
        <v>43740.0</v>
      </c>
      <c r="D1934" s="2" t="s">
        <v>2466</v>
      </c>
      <c r="E1934" s="2">
        <v>6.210001541E9</v>
      </c>
      <c r="F1934" s="3" t="s">
        <v>2467</v>
      </c>
      <c r="G1934" s="2" t="s">
        <v>733</v>
      </c>
      <c r="H1934" s="2" t="s">
        <v>2468</v>
      </c>
      <c r="I1934" s="3">
        <v>1.0</v>
      </c>
      <c r="J1934" s="3"/>
      <c r="K1934" s="5">
        <v>113.0</v>
      </c>
      <c r="L1934" s="6"/>
      <c r="M1934" s="6" t="str">
        <f>IF(D1934&lt;&gt;"",VLOOKUP(H1934,TABLEITEM,3,FALSE),"")</f>
        <v>กระจกใส 414x682 หนา 5.0มิล</v>
      </c>
      <c r="N1934" s="7">
        <f>INSTOCK!$I1934*INSTOCK!$K1934</f>
        <v>113</v>
      </c>
      <c r="O1934" s="2"/>
      <c r="P1934" s="2"/>
    </row>
    <row r="1935" ht="18.0" hidden="1" customHeight="1">
      <c r="A1935" s="1"/>
      <c r="B1935" s="3"/>
      <c r="C1935" s="4">
        <v>43739.0</v>
      </c>
      <c r="D1935" s="2" t="s">
        <v>2469</v>
      </c>
      <c r="E1935" s="2">
        <v>6.210001541E9</v>
      </c>
      <c r="F1935" s="3" t="s">
        <v>2470</v>
      </c>
      <c r="G1935" s="2" t="s">
        <v>733</v>
      </c>
      <c r="H1935" s="2" t="s">
        <v>2406</v>
      </c>
      <c r="I1935" s="3">
        <v>3.0</v>
      </c>
      <c r="J1935" s="3"/>
      <c r="K1935" s="5">
        <v>45.0</v>
      </c>
      <c r="L1935" s="6"/>
      <c r="M1935" s="6" t="str">
        <f>IF(D1935&lt;&gt;"",VLOOKUP(H1935,TABLEITEM,3,FALSE),"")</f>
        <v>กระจกใส 262x426 หนา 5.0มิล</v>
      </c>
      <c r="N1935" s="7">
        <f>INSTOCK!$I1935*INSTOCK!$K1935</f>
        <v>135</v>
      </c>
      <c r="O1935" s="2"/>
      <c r="P1935" s="2"/>
    </row>
    <row r="1936" ht="18.0" hidden="1" customHeight="1">
      <c r="A1936" s="1"/>
      <c r="B1936" s="3"/>
      <c r="C1936" s="4">
        <v>43739.0</v>
      </c>
      <c r="D1936" s="2" t="s">
        <v>2471</v>
      </c>
      <c r="E1936" s="2">
        <v>6.210001541E9</v>
      </c>
      <c r="F1936" s="3" t="s">
        <v>2472</v>
      </c>
      <c r="G1936" s="2" t="s">
        <v>733</v>
      </c>
      <c r="H1936" s="2" t="s">
        <v>1957</v>
      </c>
      <c r="I1936" s="3">
        <v>1.0</v>
      </c>
      <c r="J1936" s="3"/>
      <c r="K1936" s="5">
        <v>25.0</v>
      </c>
      <c r="L1936" s="6"/>
      <c r="M1936" s="6" t="str">
        <f>IF(D1936&lt;&gt;"",VLOOKUP(H1936,TABLEITEM,3,FALSE),"")</f>
        <v>กระจกใส 214x214 หนา 3.0</v>
      </c>
      <c r="N1936" s="7">
        <f>INSTOCK!$I1936*INSTOCK!$K1936</f>
        <v>25</v>
      </c>
      <c r="O1936" s="2"/>
      <c r="P1936" s="2"/>
    </row>
    <row r="1937" ht="18.0" hidden="1" customHeight="1">
      <c r="A1937" s="1"/>
      <c r="B1937" s="3"/>
      <c r="C1937" s="4">
        <v>43759.0</v>
      </c>
      <c r="D1937" s="2" t="s">
        <v>2453</v>
      </c>
      <c r="E1937" s="2"/>
      <c r="F1937" s="3" t="s">
        <v>161</v>
      </c>
      <c r="G1937" s="2" t="s">
        <v>456</v>
      </c>
      <c r="H1937" s="2" t="s">
        <v>466</v>
      </c>
      <c r="I1937" s="3">
        <v>37.0</v>
      </c>
      <c r="J1937" s="3"/>
      <c r="K1937" s="5"/>
      <c r="L1937" s="6"/>
      <c r="M1937" s="6" t="str">
        <f>IF(D1937&lt;&gt;"",VLOOKUP(H1937,TABLEITEM,3,FALSE),"")</f>
        <v>คานเจปรับระดับ754x68x35T3.0</v>
      </c>
      <c r="N1937" s="7">
        <f>INSTOCK!$I1937*INSTOCK!$K1937</f>
        <v>0</v>
      </c>
      <c r="O1937" s="2"/>
      <c r="P1937" s="2"/>
    </row>
    <row r="1938" ht="18.0" hidden="1" customHeight="1">
      <c r="A1938" s="1"/>
      <c r="B1938" s="3"/>
      <c r="C1938" s="4">
        <v>43741.0</v>
      </c>
      <c r="D1938" s="2" t="s">
        <v>2473</v>
      </c>
      <c r="E1938" s="2">
        <v>6.210001554E9</v>
      </c>
      <c r="F1938" s="3" t="s">
        <v>2371</v>
      </c>
      <c r="G1938" s="2" t="s">
        <v>733</v>
      </c>
      <c r="H1938" s="2" t="s">
        <v>1948</v>
      </c>
      <c r="I1938" s="3">
        <v>2.0</v>
      </c>
      <c r="J1938" s="3"/>
      <c r="K1938" s="5">
        <v>25.0</v>
      </c>
      <c r="L1938" s="6"/>
      <c r="M1938" s="6" t="str">
        <f>IF(D1938&lt;&gt;"",VLOOKUP(H1938,TABLEITEM,3,FALSE),"")</f>
        <v>กระจกใส 109x274 หนา 3.0</v>
      </c>
      <c r="N1938" s="7">
        <f>INSTOCK!$I1938*INSTOCK!$K1938</f>
        <v>50</v>
      </c>
      <c r="O1938" s="2"/>
      <c r="P1938" s="2"/>
    </row>
    <row r="1939" ht="18.0" hidden="1" customHeight="1">
      <c r="A1939" s="1"/>
      <c r="B1939" s="3"/>
      <c r="C1939" s="4">
        <v>43759.0</v>
      </c>
      <c r="D1939" s="2" t="s">
        <v>2474</v>
      </c>
      <c r="E1939" s="2">
        <v>6.210001554E9</v>
      </c>
      <c r="F1939" s="3" t="s">
        <v>2475</v>
      </c>
      <c r="G1939" s="2" t="s">
        <v>733</v>
      </c>
      <c r="H1939" s="2" t="s">
        <v>2476</v>
      </c>
      <c r="I1939" s="3">
        <v>1.0</v>
      </c>
      <c r="J1939" s="3"/>
      <c r="K1939" s="5">
        <v>25.0</v>
      </c>
      <c r="L1939" s="6"/>
      <c r="M1939" s="6" t="str">
        <f>IF(D1939&lt;&gt;"",VLOOKUP(H1939,TABLEITEM,3,FALSE),"")</f>
        <v>กระจกใส 114x244 หนา 3.0มิล</v>
      </c>
      <c r="N1939" s="7">
        <f>INSTOCK!$I1939*INSTOCK!$K1939</f>
        <v>25</v>
      </c>
      <c r="O1939" s="2"/>
      <c r="P1939" s="2"/>
    </row>
    <row r="1940" ht="18.0" hidden="1" customHeight="1">
      <c r="A1940" s="1"/>
      <c r="B1940" s="3"/>
      <c r="C1940" s="4">
        <v>43754.0</v>
      </c>
      <c r="D1940" s="2" t="s">
        <v>2477</v>
      </c>
      <c r="E1940" s="2">
        <v>6.210001554E9</v>
      </c>
      <c r="F1940" s="3" t="s">
        <v>2478</v>
      </c>
      <c r="G1940" s="2" t="s">
        <v>733</v>
      </c>
      <c r="H1940" s="2" t="s">
        <v>2304</v>
      </c>
      <c r="I1940" s="3">
        <v>1.0</v>
      </c>
      <c r="J1940" s="3"/>
      <c r="K1940" s="5">
        <v>55.0</v>
      </c>
      <c r="L1940" s="6"/>
      <c r="M1940" s="6" t="str">
        <f>IF(D1940&lt;&gt;"",VLOOKUP(H1940,TABLEITEM,3,FALSE),"")</f>
        <v>กระจกใส 314x364 หนา 5.0มิล</v>
      </c>
      <c r="N1940" s="7">
        <f>INSTOCK!$I1940*INSTOCK!$K1940</f>
        <v>55</v>
      </c>
      <c r="O1940" s="2"/>
      <c r="P1940" s="2"/>
    </row>
    <row r="1941" ht="18.0" hidden="1" customHeight="1">
      <c r="A1941" s="1"/>
      <c r="B1941" s="3"/>
      <c r="C1941" s="4">
        <v>43754.0</v>
      </c>
      <c r="D1941" s="2" t="s">
        <v>2477</v>
      </c>
      <c r="E1941" s="2">
        <v>6.210001554E9</v>
      </c>
      <c r="F1941" s="3" t="s">
        <v>2478</v>
      </c>
      <c r="G1941" s="2" t="s">
        <v>733</v>
      </c>
      <c r="H1941" s="2" t="s">
        <v>2479</v>
      </c>
      <c r="I1941" s="3">
        <v>1.0</v>
      </c>
      <c r="J1941" s="3"/>
      <c r="K1941" s="5">
        <v>60.0</v>
      </c>
      <c r="L1941" s="6"/>
      <c r="M1941" s="6" t="str">
        <f>IF(D1941&lt;&gt;"",VLOOKUP(H1941,TABLEITEM,3,FALSE),"")</f>
        <v>กระจกใส 414x364 หนา 5.0มิล</v>
      </c>
      <c r="N1941" s="7">
        <f>INSTOCK!$I1941*INSTOCK!$K1941</f>
        <v>60</v>
      </c>
      <c r="O1941" s="2"/>
      <c r="P1941" s="2"/>
    </row>
    <row r="1942" ht="18.0" hidden="1" customHeight="1">
      <c r="A1942" s="1"/>
      <c r="B1942" s="3"/>
      <c r="C1942" s="4">
        <v>43754.0</v>
      </c>
      <c r="D1942" s="2" t="s">
        <v>2477</v>
      </c>
      <c r="E1942" s="2">
        <v>6.210001554E9</v>
      </c>
      <c r="F1942" s="3" t="s">
        <v>2478</v>
      </c>
      <c r="G1942" s="2" t="s">
        <v>733</v>
      </c>
      <c r="H1942" s="2" t="s">
        <v>2480</v>
      </c>
      <c r="I1942" s="3">
        <v>2.0</v>
      </c>
      <c r="J1942" s="3"/>
      <c r="K1942" s="5">
        <v>60.0</v>
      </c>
      <c r="L1942" s="6"/>
      <c r="M1942" s="6" t="str">
        <f>IF(D1942&lt;&gt;"",VLOOKUP(H1942,TABLEITEM,3,FALSE),"")</f>
        <v>กระจกใส 264x564 หนา 5.0มิล</v>
      </c>
      <c r="N1942" s="7">
        <f>INSTOCK!$I1942*INSTOCK!$K1942</f>
        <v>120</v>
      </c>
      <c r="O1942" s="2"/>
      <c r="P1942" s="2"/>
    </row>
    <row r="1943" ht="18.0" hidden="1" customHeight="1">
      <c r="A1943" s="1"/>
      <c r="B1943" s="3"/>
      <c r="C1943" s="4">
        <v>43754.0</v>
      </c>
      <c r="D1943" s="2" t="s">
        <v>2481</v>
      </c>
      <c r="E1943" s="2">
        <v>6.210001554E9</v>
      </c>
      <c r="F1943" s="3" t="s">
        <v>2482</v>
      </c>
      <c r="G1943" s="2" t="s">
        <v>733</v>
      </c>
      <c r="H1943" s="2" t="s">
        <v>2483</v>
      </c>
      <c r="I1943" s="3">
        <v>2.0</v>
      </c>
      <c r="J1943" s="3"/>
      <c r="K1943" s="5">
        <v>55.0</v>
      </c>
      <c r="L1943" s="6"/>
      <c r="M1943" s="6" t="str">
        <f>IF(D1943&lt;&gt;"",VLOOKUP(H1943,TABLEITEM,3,FALSE),"")</f>
        <v>กระจกใส 314x364 หนา 5.0มิล</v>
      </c>
      <c r="N1943" s="7">
        <f>INSTOCK!$I1943*INSTOCK!$K1943</f>
        <v>110</v>
      </c>
      <c r="O1943" s="2"/>
      <c r="P1943" s="2"/>
    </row>
    <row r="1944" ht="18.0" hidden="1" customHeight="1">
      <c r="A1944" s="1"/>
      <c r="B1944" s="3"/>
      <c r="C1944" s="4">
        <v>43754.0</v>
      </c>
      <c r="D1944" s="2" t="s">
        <v>2481</v>
      </c>
      <c r="E1944" s="2">
        <v>6.210001554E9</v>
      </c>
      <c r="F1944" s="3" t="s">
        <v>2482</v>
      </c>
      <c r="G1944" s="2" t="s">
        <v>733</v>
      </c>
      <c r="H1944" s="2" t="s">
        <v>2484</v>
      </c>
      <c r="I1944" s="3">
        <v>2.0</v>
      </c>
      <c r="J1944" s="3"/>
      <c r="K1944" s="5">
        <v>60.0</v>
      </c>
      <c r="L1944" s="6"/>
      <c r="M1944" s="6" t="str">
        <f>IF(D1944&lt;&gt;"",VLOOKUP(H1944,TABLEITEM,3,FALSE),"")</f>
        <v>กระจกใส 364x414 หนา 5.0มิล</v>
      </c>
      <c r="N1944" s="7">
        <f>INSTOCK!$I1944*INSTOCK!$K1944</f>
        <v>120</v>
      </c>
      <c r="O1944" s="2"/>
      <c r="P1944" s="2"/>
    </row>
    <row r="1945" ht="18.0" hidden="1" customHeight="1">
      <c r="A1945" s="1"/>
      <c r="B1945" s="3"/>
      <c r="C1945" s="4">
        <v>43754.0</v>
      </c>
      <c r="D1945" s="2" t="s">
        <v>2481</v>
      </c>
      <c r="E1945" s="2">
        <v>6.210001554E9</v>
      </c>
      <c r="F1945" s="3" t="s">
        <v>2482</v>
      </c>
      <c r="G1945" s="2" t="s">
        <v>733</v>
      </c>
      <c r="H1945" s="2" t="s">
        <v>2485</v>
      </c>
      <c r="I1945" s="3">
        <v>4.0</v>
      </c>
      <c r="J1945" s="3"/>
      <c r="K1945" s="5">
        <v>60.0</v>
      </c>
      <c r="L1945" s="6"/>
      <c r="M1945" s="6" t="str">
        <f>IF(D1945&lt;&gt;"",VLOOKUP(H1945,TABLEITEM,3,FALSE),"")</f>
        <v>กระจกใส 244x514 หนา 5.0มิล</v>
      </c>
      <c r="N1945" s="7">
        <f>INSTOCK!$I1945*INSTOCK!$K1945</f>
        <v>240</v>
      </c>
      <c r="O1945" s="2"/>
      <c r="P1945" s="2"/>
    </row>
    <row r="1946" ht="18.0" hidden="1" customHeight="1">
      <c r="A1946" s="1"/>
      <c r="B1946" s="3"/>
      <c r="C1946" s="4">
        <v>43756.0</v>
      </c>
      <c r="D1946" s="2" t="s">
        <v>2486</v>
      </c>
      <c r="E1946" s="2">
        <v>6.210001554E9</v>
      </c>
      <c r="F1946" s="3" t="s">
        <v>2487</v>
      </c>
      <c r="G1946" s="2" t="s">
        <v>733</v>
      </c>
      <c r="H1946" s="2" t="s">
        <v>2488</v>
      </c>
      <c r="I1946" s="3">
        <v>1.0</v>
      </c>
      <c r="J1946" s="3"/>
      <c r="K1946" s="5">
        <v>90.0</v>
      </c>
      <c r="L1946" s="6"/>
      <c r="M1946" s="6" t="str">
        <f>IF(D1946&lt;&gt;"",VLOOKUP(H1946,TABLEITEM,3,FALSE),"")</f>
        <v>กระจกใส 324x569 หนา 5.0มิล</v>
      </c>
      <c r="N1946" s="7">
        <f>INSTOCK!$I1946*INSTOCK!$K1946</f>
        <v>90</v>
      </c>
      <c r="O1946" s="2"/>
      <c r="P1946" s="2"/>
    </row>
    <row r="1947" ht="18.0" hidden="1" customHeight="1">
      <c r="A1947" s="1"/>
      <c r="B1947" s="3"/>
      <c r="C1947" s="4">
        <v>43757.0</v>
      </c>
      <c r="D1947" s="2" t="s">
        <v>2489</v>
      </c>
      <c r="E1947" s="2">
        <v>6.210001543E9</v>
      </c>
      <c r="F1947" s="3" t="s">
        <v>2490</v>
      </c>
      <c r="G1947" s="2" t="s">
        <v>153</v>
      </c>
      <c r="H1947" s="2" t="s">
        <v>82</v>
      </c>
      <c r="I1947" s="3">
        <v>12.0</v>
      </c>
      <c r="J1947" s="3" t="s">
        <v>78</v>
      </c>
      <c r="K1947" s="5">
        <v>396.6667</v>
      </c>
      <c r="L1947" s="6"/>
      <c r="M1947" s="6" t="str">
        <f>IF(D1947&lt;&gt;"",VLOOKUP(H1947,TABLEITEM,3,FALSE),"")</f>
        <v>เหล็กรางน้ำ U' 6</v>
      </c>
      <c r="N1947" s="7">
        <f>INSTOCK!$I1947*INSTOCK!$K1947</f>
        <v>4760.0004</v>
      </c>
      <c r="O1947" s="2" t="s">
        <v>2491</v>
      </c>
      <c r="P1947" s="2"/>
    </row>
    <row r="1948" ht="18.0" hidden="1" customHeight="1">
      <c r="A1948" s="1"/>
      <c r="B1948" s="3"/>
      <c r="C1948" s="4">
        <v>43762.0</v>
      </c>
      <c r="D1948" s="2" t="s">
        <v>2492</v>
      </c>
      <c r="E1948" s="2"/>
      <c r="F1948" s="3" t="s">
        <v>161</v>
      </c>
      <c r="G1948" s="2" t="s">
        <v>456</v>
      </c>
      <c r="H1948" s="2" t="s">
        <v>623</v>
      </c>
      <c r="I1948" s="3">
        <v>62.0</v>
      </c>
      <c r="J1948" s="3"/>
      <c r="K1948" s="5"/>
      <c r="L1948" s="6"/>
      <c r="M1948" s="6" t="str">
        <f>IF(D1948&lt;&gt;"",VLOOKUP(H1948,TABLEITEM,3,FALSE),"")</f>
        <v>คานต่อโครง3mm 68x45x920</v>
      </c>
      <c r="N1948" s="7">
        <f>INSTOCK!$I1948*INSTOCK!$K1948</f>
        <v>0</v>
      </c>
      <c r="O1948" s="2"/>
      <c r="P1948" s="2"/>
    </row>
    <row r="1949" ht="18.0" hidden="1" customHeight="1">
      <c r="A1949" s="1"/>
      <c r="B1949" s="3"/>
      <c r="C1949" s="4">
        <v>43762.0</v>
      </c>
      <c r="D1949" s="2" t="s">
        <v>2493</v>
      </c>
      <c r="E1949" s="2"/>
      <c r="F1949" s="3" t="s">
        <v>161</v>
      </c>
      <c r="G1949" s="2" t="s">
        <v>456</v>
      </c>
      <c r="H1949" s="2" t="s">
        <v>599</v>
      </c>
      <c r="I1949" s="3">
        <v>20.0</v>
      </c>
      <c r="J1949" s="3"/>
      <c r="K1949" s="5"/>
      <c r="L1949" s="6"/>
      <c r="M1949" s="6" t="str">
        <f>IF(D1949&lt;&gt;"",VLOOKUP(H1949,TABLEITEM,3,FALSE),"")</f>
        <v>ฝาข้าง-ฝาหลัง 2075x770</v>
      </c>
      <c r="N1949" s="7">
        <f>INSTOCK!$I1949*INSTOCK!$K1949</f>
        <v>0</v>
      </c>
      <c r="O1949" s="2"/>
      <c r="P1949" s="2"/>
    </row>
    <row r="1950" ht="18.0" hidden="1" customHeight="1">
      <c r="A1950" s="1"/>
      <c r="B1950" s="3"/>
      <c r="C1950" s="4">
        <v>43762.0</v>
      </c>
      <c r="D1950" s="2" t="s">
        <v>2348</v>
      </c>
      <c r="E1950" s="2"/>
      <c r="F1950" s="3" t="s">
        <v>161</v>
      </c>
      <c r="G1950" s="2" t="s">
        <v>456</v>
      </c>
      <c r="H1950" s="2" t="s">
        <v>487</v>
      </c>
      <c r="I1950" s="3">
        <v>55.0</v>
      </c>
      <c r="J1950" s="3"/>
      <c r="K1950" s="5"/>
      <c r="L1950" s="6"/>
      <c r="M1950" s="6" t="str">
        <f>IF(D1950&lt;&gt;"",VLOOKUP(H1950,TABLEITEM,3,FALSE),"")</f>
        <v>กระเป๋าเอกสารรุ่น 316x224</v>
      </c>
      <c r="N1950" s="7">
        <f>INSTOCK!$I1950*INSTOCK!$K1950</f>
        <v>0</v>
      </c>
      <c r="O1950" s="2"/>
      <c r="P1950" s="2"/>
    </row>
    <row r="1951" ht="18.0" hidden="1" customHeight="1">
      <c r="A1951" s="1"/>
      <c r="B1951" s="3"/>
      <c r="C1951" s="4">
        <v>43760.0</v>
      </c>
      <c r="D1951" s="2" t="s">
        <v>2494</v>
      </c>
      <c r="E1951" s="2">
        <v>6.210001554E9</v>
      </c>
      <c r="F1951" s="3" t="s">
        <v>2495</v>
      </c>
      <c r="G1951" s="2" t="s">
        <v>153</v>
      </c>
      <c r="H1951" s="2" t="s">
        <v>59</v>
      </c>
      <c r="I1951" s="3">
        <v>2.0</v>
      </c>
      <c r="J1951" s="3"/>
      <c r="K1951" s="5">
        <v>3100.0</v>
      </c>
      <c r="L1951" s="6"/>
      <c r="M1951" s="6" t="str">
        <f>IF(D1951&lt;&gt;"",VLOOKUP(H1951,TABLEITEM,3,FALSE),"")</f>
        <v>เหล็กแผ่นดำ4'x8'T6.0</v>
      </c>
      <c r="N1951" s="7">
        <f>INSTOCK!$I1951*INSTOCK!$K1951</f>
        <v>6200</v>
      </c>
      <c r="O1951" s="2"/>
      <c r="P1951" s="2"/>
    </row>
    <row r="1952" ht="18.0" hidden="1" customHeight="1">
      <c r="A1952" s="1"/>
      <c r="B1952" s="3"/>
      <c r="C1952" s="4">
        <v>43763.0</v>
      </c>
      <c r="D1952" s="2" t="s">
        <v>2496</v>
      </c>
      <c r="E1952" s="2">
        <v>6.210001567E9</v>
      </c>
      <c r="F1952" s="3" t="s">
        <v>2497</v>
      </c>
      <c r="G1952" s="2" t="s">
        <v>153</v>
      </c>
      <c r="H1952" s="2" t="s">
        <v>56</v>
      </c>
      <c r="I1952" s="3">
        <v>1.0</v>
      </c>
      <c r="J1952" s="3"/>
      <c r="K1952" s="5">
        <v>2450.0</v>
      </c>
      <c r="L1952" s="6"/>
      <c r="M1952" s="6" t="str">
        <f>IF(D1952&lt;&gt;"",VLOOKUP(H1952,TABLEITEM,3,FALSE),"")</f>
        <v>เหล็กแผ่นดำ4'x8'T5.0</v>
      </c>
      <c r="N1952" s="7">
        <f>INSTOCK!$I1952*INSTOCK!$K1952</f>
        <v>2450</v>
      </c>
      <c r="O1952" s="2"/>
      <c r="P1952" s="2"/>
    </row>
    <row r="1953" ht="18.0" hidden="1" customHeight="1">
      <c r="A1953" s="1"/>
      <c r="B1953" s="3"/>
      <c r="C1953" s="4">
        <v>43767.0</v>
      </c>
      <c r="D1953" s="2" t="s">
        <v>2498</v>
      </c>
      <c r="E1953" s="2"/>
      <c r="F1953" s="3" t="s">
        <v>161</v>
      </c>
      <c r="G1953" s="2" t="s">
        <v>456</v>
      </c>
      <c r="H1953" s="2" t="s">
        <v>540</v>
      </c>
      <c r="I1953" s="3">
        <v>21.0</v>
      </c>
      <c r="J1953" s="3"/>
      <c r="K1953" s="5"/>
      <c r="L1953" s="6"/>
      <c r="M1953" s="6" t="str">
        <f>IF(D1953&lt;&gt;"",VLOOKUP(H1953,TABLEITEM,3,FALSE),"")</f>
        <v>แพลทยึดอุปกรณ์595x690</v>
      </c>
      <c r="N1953" s="7">
        <f>INSTOCK!$I1953*INSTOCK!$K1953</f>
        <v>0</v>
      </c>
      <c r="O1953" s="2"/>
      <c r="P1953" s="2"/>
    </row>
    <row r="1954" ht="18.0" hidden="1" customHeight="1">
      <c r="A1954" s="1"/>
      <c r="B1954" s="3"/>
      <c r="C1954" s="4">
        <v>43767.0</v>
      </c>
      <c r="D1954" s="2" t="s">
        <v>2499</v>
      </c>
      <c r="E1954" s="2"/>
      <c r="F1954" s="3" t="s">
        <v>161</v>
      </c>
      <c r="G1954" s="2" t="s">
        <v>456</v>
      </c>
      <c r="H1954" s="2" t="s">
        <v>586</v>
      </c>
      <c r="I1954" s="3">
        <v>65.0</v>
      </c>
      <c r="J1954" s="3"/>
      <c r="K1954" s="5"/>
      <c r="L1954" s="6"/>
      <c r="M1954" s="6" t="str">
        <f>IF(D1954&lt;&gt;"",VLOOKUP(H1954,TABLEITEM,3,FALSE),"")</f>
        <v>หมวกตู้ 40x775</v>
      </c>
      <c r="N1954" s="7">
        <f>INSTOCK!$I1954*INSTOCK!$K1954</f>
        <v>0</v>
      </c>
      <c r="O1954" s="2"/>
      <c r="P1954" s="2"/>
    </row>
    <row r="1955" ht="18.0" hidden="1" customHeight="1">
      <c r="A1955" s="1"/>
      <c r="B1955" s="3"/>
      <c r="C1955" s="4">
        <v>43767.0</v>
      </c>
      <c r="D1955" s="2" t="s">
        <v>2500</v>
      </c>
      <c r="E1955" s="2"/>
      <c r="F1955" s="3" t="s">
        <v>161</v>
      </c>
      <c r="G1955" s="2" t="s">
        <v>456</v>
      </c>
      <c r="H1955" s="2" t="s">
        <v>499</v>
      </c>
      <c r="I1955" s="3">
        <v>109.0</v>
      </c>
      <c r="J1955" s="3"/>
      <c r="K1955" s="5"/>
      <c r="L1955" s="6"/>
      <c r="M1955" s="6" t="str">
        <f>IF(D1955&lt;&gt;"",VLOOKUP(H1955,TABLEITEM,3,FALSE),"")</f>
        <v>หมวกตู้ 40x675</v>
      </c>
      <c r="N1955" s="7">
        <f>INSTOCK!$I1955*INSTOCK!$K1955</f>
        <v>0</v>
      </c>
      <c r="O1955" s="2"/>
      <c r="P1955" s="2"/>
    </row>
    <row r="1956" ht="18.0" hidden="1" customHeight="1">
      <c r="A1956" s="1"/>
      <c r="B1956" s="3"/>
      <c r="C1956" s="4">
        <v>43767.0</v>
      </c>
      <c r="D1956" s="2" t="s">
        <v>2423</v>
      </c>
      <c r="E1956" s="2"/>
      <c r="F1956" s="3" t="s">
        <v>161</v>
      </c>
      <c r="G1956" s="2" t="s">
        <v>456</v>
      </c>
      <c r="H1956" s="2" t="s">
        <v>1226</v>
      </c>
      <c r="I1956" s="3">
        <v>140.0</v>
      </c>
      <c r="J1956" s="3"/>
      <c r="K1956" s="5"/>
      <c r="L1956" s="6"/>
      <c r="M1956" s="6" t="str">
        <f>IF(D1956&lt;&gt;"",VLOOKUP(H1956,TABLEITEM,3,FALSE),"")</f>
        <v>คานฝาหน้า 50x22x520</v>
      </c>
      <c r="N1956" s="7">
        <f>INSTOCK!$I1956*INSTOCK!$K1956</f>
        <v>0</v>
      </c>
      <c r="O1956" s="2"/>
      <c r="P1956" s="2"/>
    </row>
    <row r="1957" ht="18.0" hidden="1" customHeight="1">
      <c r="A1957" s="1"/>
      <c r="B1957" s="3"/>
      <c r="C1957" s="4">
        <v>43767.0</v>
      </c>
      <c r="D1957" s="2" t="s">
        <v>2501</v>
      </c>
      <c r="E1957" s="2"/>
      <c r="F1957" s="3" t="s">
        <v>161</v>
      </c>
      <c r="G1957" s="2" t="s">
        <v>456</v>
      </c>
      <c r="H1957" s="2" t="s">
        <v>2502</v>
      </c>
      <c r="I1957" s="3">
        <v>48.0</v>
      </c>
      <c r="J1957" s="3"/>
      <c r="K1957" s="5"/>
      <c r="L1957" s="6"/>
      <c r="M1957" s="6" t="str">
        <f>IF(D1957&lt;&gt;"",VLOOKUP(H1957,TABLEITEM,3,FALSE),"")</f>
        <v>หมวกตู้ 40x475</v>
      </c>
      <c r="N1957" s="7">
        <f>INSTOCK!$I1957*INSTOCK!$K1957</f>
        <v>0</v>
      </c>
      <c r="O1957" s="2"/>
      <c r="P1957" s="2"/>
    </row>
    <row r="1958" ht="18.0" hidden="1" customHeight="1">
      <c r="A1958" s="1"/>
      <c r="B1958" s="3"/>
      <c r="C1958" s="4">
        <v>43767.0</v>
      </c>
      <c r="D1958" s="2" t="s">
        <v>2438</v>
      </c>
      <c r="E1958" s="2"/>
      <c r="F1958" s="3" t="s">
        <v>161</v>
      </c>
      <c r="G1958" s="2" t="s">
        <v>456</v>
      </c>
      <c r="H1958" s="2" t="s">
        <v>513</v>
      </c>
      <c r="I1958" s="3">
        <v>180.0</v>
      </c>
      <c r="J1958" s="3"/>
      <c r="K1958" s="5"/>
      <c r="L1958" s="6"/>
      <c r="M1958" s="6" t="str">
        <f>IF(D1958&lt;&gt;"",VLOOKUP(H1958,TABLEITEM,3,FALSE),"")</f>
        <v>เสาเชื่อม1925x40x50</v>
      </c>
      <c r="N1958" s="7">
        <f>INSTOCK!$I1958*INSTOCK!$K1958</f>
        <v>0</v>
      </c>
      <c r="O1958" s="2"/>
      <c r="P1958" s="2"/>
    </row>
    <row r="1959" ht="18.0" hidden="1" customHeight="1">
      <c r="A1959" s="1"/>
      <c r="B1959" s="3"/>
      <c r="C1959" s="4">
        <v>43769.0</v>
      </c>
      <c r="D1959" s="2" t="s">
        <v>2503</v>
      </c>
      <c r="E1959" s="2"/>
      <c r="F1959" s="3" t="s">
        <v>161</v>
      </c>
      <c r="G1959" s="2" t="s">
        <v>456</v>
      </c>
      <c r="H1959" s="2" t="s">
        <v>2504</v>
      </c>
      <c r="I1959" s="3">
        <v>162.0</v>
      </c>
      <c r="J1959" s="3"/>
      <c r="K1959" s="5"/>
      <c r="L1959" s="6"/>
      <c r="M1959" s="6" t="str">
        <f>IF(D1959&lt;&gt;"",VLOOKUP(H1959,TABLEITEM,3,FALSE),"")</f>
        <v>คานเจ 45x32x454</v>
      </c>
      <c r="N1959" s="7">
        <f>INSTOCK!$I1959*INSTOCK!$K1959</f>
        <v>0</v>
      </c>
      <c r="O1959" s="2"/>
      <c r="P1959" s="2"/>
    </row>
    <row r="1960" ht="18.0" hidden="1" customHeight="1">
      <c r="A1960" s="1"/>
      <c r="B1960" s="3"/>
      <c r="C1960" s="4">
        <v>43769.0</v>
      </c>
      <c r="D1960" s="2" t="s">
        <v>2505</v>
      </c>
      <c r="E1960" s="2"/>
      <c r="F1960" s="3" t="s">
        <v>161</v>
      </c>
      <c r="G1960" s="2" t="s">
        <v>456</v>
      </c>
      <c r="H1960" s="2" t="s">
        <v>495</v>
      </c>
      <c r="I1960" s="3">
        <v>200.0</v>
      </c>
      <c r="J1960" s="3"/>
      <c r="K1960" s="5"/>
      <c r="L1960" s="6"/>
      <c r="M1960" s="6" t="str">
        <f>IF(D1960&lt;&gt;"",VLOOKUP(H1960,TABLEITEM,3,FALSE),"")</f>
        <v>คานเชื่อม800</v>
      </c>
      <c r="N1960" s="7">
        <f>INSTOCK!$I1960*INSTOCK!$K1960</f>
        <v>0</v>
      </c>
      <c r="O1960" s="2"/>
      <c r="P1960" s="2"/>
    </row>
    <row r="1961" ht="18.0" hidden="1" customHeight="1">
      <c r="A1961" s="1"/>
      <c r="B1961" s="3"/>
      <c r="C1961" s="4">
        <v>43743.0</v>
      </c>
      <c r="D1961" s="2" t="s">
        <v>2506</v>
      </c>
      <c r="E1961" s="2">
        <v>6.210001611E9</v>
      </c>
      <c r="F1961" s="3" t="s">
        <v>2507</v>
      </c>
      <c r="G1961" s="2" t="s">
        <v>733</v>
      </c>
      <c r="H1961" s="2" t="s">
        <v>2508</v>
      </c>
      <c r="I1961" s="3">
        <v>3.0</v>
      </c>
      <c r="J1961" s="3"/>
      <c r="K1961" s="5">
        <v>75.0</v>
      </c>
      <c r="L1961" s="6"/>
      <c r="M1961" s="6" t="str">
        <f>IF(D1961&lt;&gt;"",VLOOKUP(H1961,TABLEITEM,3,FALSE),"")</f>
        <v>กระจกใส 326x557 หนา 3.0มิล</v>
      </c>
      <c r="N1961" s="7">
        <f>INSTOCK!$I1961*INSTOCK!$K1961</f>
        <v>225</v>
      </c>
      <c r="O1961" s="2"/>
      <c r="P1961" s="2"/>
    </row>
    <row r="1962" ht="18.0" hidden="1" customHeight="1">
      <c r="A1962" s="1"/>
      <c r="B1962" s="3"/>
      <c r="C1962" s="4">
        <v>43766.0</v>
      </c>
      <c r="D1962" s="2" t="s">
        <v>2509</v>
      </c>
      <c r="E1962" s="2">
        <v>6.210001611E9</v>
      </c>
      <c r="F1962" s="3" t="s">
        <v>2510</v>
      </c>
      <c r="G1962" s="2" t="s">
        <v>733</v>
      </c>
      <c r="H1962" s="2" t="s">
        <v>2511</v>
      </c>
      <c r="I1962" s="3">
        <v>3.0</v>
      </c>
      <c r="J1962" s="3"/>
      <c r="K1962" s="5">
        <v>38.0</v>
      </c>
      <c r="L1962" s="6"/>
      <c r="M1962" s="6" t="str">
        <f>IF(D1962&lt;&gt;"",VLOOKUP(H1962,TABLEITEM,3,FALSE),"")</f>
        <v>กระจกใส 244x314 หนา 3.0มิล</v>
      </c>
      <c r="N1962" s="7">
        <f>INSTOCK!$I1962*INSTOCK!$K1962</f>
        <v>114</v>
      </c>
      <c r="O1962" s="2"/>
      <c r="P1962" s="2"/>
    </row>
    <row r="1963" ht="18.0" hidden="1" customHeight="1">
      <c r="A1963" s="1"/>
      <c r="B1963" s="3"/>
      <c r="C1963" s="4">
        <v>43767.0</v>
      </c>
      <c r="D1963" s="2" t="s">
        <v>2512</v>
      </c>
      <c r="E1963" s="2">
        <v>6.210001611E9</v>
      </c>
      <c r="F1963" s="3" t="s">
        <v>2495</v>
      </c>
      <c r="G1963" s="2" t="s">
        <v>733</v>
      </c>
      <c r="H1963" s="2" t="s">
        <v>2513</v>
      </c>
      <c r="I1963" s="3">
        <v>1.0</v>
      </c>
      <c r="J1963" s="3"/>
      <c r="K1963" s="5">
        <v>25.0</v>
      </c>
      <c r="L1963" s="6"/>
      <c r="M1963" s="6" t="str">
        <f>IF(D1963&lt;&gt;"",VLOOKUP(H1963,TABLEITEM,3,FALSE),"")</f>
        <v>กระจกใส 191.5x289 หนา 5.0มิล</v>
      </c>
      <c r="N1963" s="7">
        <f>INSTOCK!$I1963*INSTOCK!$K1963</f>
        <v>25</v>
      </c>
      <c r="O1963" s="2"/>
      <c r="P1963" s="2"/>
    </row>
    <row r="1964" ht="18.0" hidden="1" customHeight="1">
      <c r="A1964" s="1"/>
      <c r="B1964" s="3"/>
      <c r="C1964" s="4">
        <v>43760.0</v>
      </c>
      <c r="D1964" s="2" t="s">
        <v>2514</v>
      </c>
      <c r="E1964" s="2">
        <v>6.210001611E9</v>
      </c>
      <c r="F1964" s="3" t="s">
        <v>2515</v>
      </c>
      <c r="G1964" s="2" t="s">
        <v>733</v>
      </c>
      <c r="H1964" s="2" t="s">
        <v>2516</v>
      </c>
      <c r="I1964" s="3">
        <v>1.0</v>
      </c>
      <c r="J1964" s="3"/>
      <c r="K1964" s="5">
        <v>150.0</v>
      </c>
      <c r="L1964" s="6"/>
      <c r="M1964" s="6" t="str">
        <f>IF(D1964&lt;&gt;"",VLOOKUP(H1964,TABLEITEM,3,FALSE),"")</f>
        <v>กระจกใส 463x614 หนา 5.0มิล</v>
      </c>
      <c r="N1964" s="7">
        <f>INSTOCK!$I1964*INSTOCK!$K1964</f>
        <v>150</v>
      </c>
      <c r="O1964" s="2"/>
      <c r="P1964" s="2"/>
    </row>
    <row r="1965" ht="18.0" hidden="1" customHeight="1">
      <c r="A1965" s="1"/>
      <c r="B1965" s="3"/>
      <c r="C1965" s="4">
        <v>43760.0</v>
      </c>
      <c r="D1965" s="2" t="s">
        <v>2517</v>
      </c>
      <c r="E1965" s="2">
        <v>6.210001611E9</v>
      </c>
      <c r="F1965" s="3" t="s">
        <v>2490</v>
      </c>
      <c r="G1965" s="2" t="s">
        <v>733</v>
      </c>
      <c r="H1965" s="2" t="s">
        <v>2518</v>
      </c>
      <c r="I1965" s="3">
        <v>2.0</v>
      </c>
      <c r="J1965" s="3"/>
      <c r="K1965" s="5">
        <v>263.0</v>
      </c>
      <c r="L1965" s="6"/>
      <c r="M1965" s="6" t="str">
        <f>IF(D1965&lt;&gt;"",VLOOKUP(H1965,TABLEITEM,3,FALSE),"")</f>
        <v>กระจกใส 636x936 หนา 5.0มิล</v>
      </c>
      <c r="N1965" s="7">
        <f>INSTOCK!$I1965*INSTOCK!$K1965</f>
        <v>526</v>
      </c>
      <c r="O1965" s="2"/>
      <c r="P1965" s="2"/>
    </row>
    <row r="1966" ht="18.0" hidden="1" customHeight="1">
      <c r="A1966" s="1"/>
      <c r="B1966" s="3"/>
      <c r="C1966" s="4">
        <v>43760.0</v>
      </c>
      <c r="D1966" s="2" t="s">
        <v>2519</v>
      </c>
      <c r="E1966" s="2">
        <v>6.210001611E9</v>
      </c>
      <c r="F1966" s="3" t="s">
        <v>2520</v>
      </c>
      <c r="G1966" s="2" t="s">
        <v>733</v>
      </c>
      <c r="H1966" s="2" t="s">
        <v>2521</v>
      </c>
      <c r="I1966" s="3">
        <v>1.0</v>
      </c>
      <c r="J1966" s="3"/>
      <c r="K1966" s="5">
        <v>210.0</v>
      </c>
      <c r="L1966" s="6"/>
      <c r="M1966" s="6" t="str">
        <f>IF(D1966&lt;&gt;"",VLOOKUP(H1966,TABLEITEM,3,FALSE),"")</f>
        <v>กระจกใส 486x986 หนา 5.0มิล</v>
      </c>
      <c r="N1966" s="7">
        <f>INSTOCK!$I1966*INSTOCK!$K1966</f>
        <v>210</v>
      </c>
      <c r="O1966" s="2"/>
      <c r="P1966" s="2"/>
    </row>
    <row r="1967" ht="18.0" hidden="1" customHeight="1">
      <c r="A1967" s="1"/>
      <c r="B1967" s="3"/>
      <c r="C1967" s="4">
        <v>43767.0</v>
      </c>
      <c r="D1967" s="2" t="s">
        <v>2522</v>
      </c>
      <c r="E1967" s="2">
        <v>6.210001611E9</v>
      </c>
      <c r="F1967" s="3" t="s">
        <v>2523</v>
      </c>
      <c r="G1967" s="2" t="s">
        <v>733</v>
      </c>
      <c r="H1967" s="2" t="s">
        <v>2524</v>
      </c>
      <c r="I1967" s="3">
        <v>1.0</v>
      </c>
      <c r="J1967" s="3"/>
      <c r="K1967" s="5">
        <v>240.0</v>
      </c>
      <c r="L1967" s="6"/>
      <c r="M1967" s="6" t="str">
        <f>IF(D1967&lt;&gt;"",VLOOKUP(H1967,TABLEITEM,3,FALSE),"")</f>
        <v>กระจกใส 487x1077 หนา 5.0มิล</v>
      </c>
      <c r="N1967" s="7">
        <f>INSTOCK!$I1967*INSTOCK!$K1967</f>
        <v>240</v>
      </c>
      <c r="O1967" s="2"/>
      <c r="P1967" s="2"/>
    </row>
    <row r="1968" ht="18.0" hidden="1" customHeight="1">
      <c r="A1968" s="1"/>
      <c r="B1968" s="3"/>
      <c r="C1968" s="4">
        <v>43769.0</v>
      </c>
      <c r="D1968" s="2" t="s">
        <v>2525</v>
      </c>
      <c r="E1968" s="2"/>
      <c r="F1968" s="3" t="s">
        <v>2526</v>
      </c>
      <c r="G1968" s="2" t="s">
        <v>1511</v>
      </c>
      <c r="H1968" s="2" t="s">
        <v>1773</v>
      </c>
      <c r="I1968" s="3">
        <v>3.0</v>
      </c>
      <c r="J1968" s="3"/>
      <c r="K1968" s="5">
        <v>850.0</v>
      </c>
      <c r="L1968" s="6"/>
      <c r="M1968" s="6" t="str">
        <f>IF(D1968&lt;&gt;"",VLOOKUP(H1968,TABLEITEM,3,FALSE),"")</f>
        <v>กระจกลวด 250x600 หนา 6.0มิล</v>
      </c>
      <c r="N1968" s="7">
        <f>INSTOCK!$I1968*INSTOCK!$K1968</f>
        <v>2550</v>
      </c>
      <c r="O1968" s="2"/>
      <c r="P1968" s="2"/>
    </row>
    <row r="1969" ht="18.0" hidden="1" customHeight="1">
      <c r="A1969" s="1"/>
      <c r="B1969" s="3"/>
      <c r="C1969" s="4">
        <v>43768.0</v>
      </c>
      <c r="D1969" s="2">
        <v>409.0</v>
      </c>
      <c r="E1969" s="2"/>
      <c r="F1969" s="3" t="s">
        <v>2527</v>
      </c>
      <c r="G1969" s="2" t="s">
        <v>953</v>
      </c>
      <c r="H1969" s="2" t="s">
        <v>961</v>
      </c>
      <c r="I1969" s="3">
        <v>2.0</v>
      </c>
      <c r="J1969" s="3"/>
      <c r="K1969" s="5">
        <v>300.0</v>
      </c>
      <c r="L1969" s="6"/>
      <c r="M1969" s="6" t="str">
        <f>IF(D1969&lt;&gt;"",VLOOKUP(H1969,TABLEITEM,3,FALSE),"")</f>
        <v>กระจกลวด150X230T6.0</v>
      </c>
      <c r="N1969" s="7">
        <f>INSTOCK!$I1969*INSTOCK!$K1969</f>
        <v>600</v>
      </c>
      <c r="O1969" s="2" t="s">
        <v>2528</v>
      </c>
      <c r="P1969" s="2"/>
    </row>
    <row r="1970" ht="18.0" hidden="1" customHeight="1">
      <c r="A1970" s="1"/>
      <c r="B1970" s="3"/>
      <c r="C1970" s="4">
        <v>43774.0</v>
      </c>
      <c r="D1970" s="2" t="s">
        <v>2453</v>
      </c>
      <c r="E1970" s="2"/>
      <c r="F1970" s="3" t="s">
        <v>161</v>
      </c>
      <c r="G1970" s="2" t="s">
        <v>456</v>
      </c>
      <c r="H1970" s="2" t="s">
        <v>468</v>
      </c>
      <c r="I1970" s="3">
        <v>25.0</v>
      </c>
      <c r="J1970" s="3"/>
      <c r="K1970" s="5"/>
      <c r="L1970" s="6"/>
      <c r="M1970" s="6" t="str">
        <f>IF(D1970&lt;&gt;"",VLOOKUP(H1970,TABLEITEM,3,FALSE),"")</f>
        <v>คานเจยึดเสาใน754x50x35T2.0</v>
      </c>
      <c r="N1970" s="7">
        <f>INSTOCK!$I1970*INSTOCK!$K1970</f>
        <v>0</v>
      </c>
      <c r="O1970" s="2"/>
      <c r="P1970" s="2"/>
    </row>
    <row r="1971" ht="18.0" hidden="1" customHeight="1">
      <c r="A1971" s="1"/>
      <c r="B1971" s="3"/>
      <c r="C1971" s="4">
        <v>43774.0</v>
      </c>
      <c r="D1971" s="2" t="s">
        <v>2503</v>
      </c>
      <c r="E1971" s="2"/>
      <c r="F1971" s="3" t="s">
        <v>161</v>
      </c>
      <c r="G1971" s="2" t="s">
        <v>456</v>
      </c>
      <c r="H1971" s="2" t="s">
        <v>2504</v>
      </c>
      <c r="I1971" s="3">
        <v>30.0</v>
      </c>
      <c r="J1971" s="3"/>
      <c r="K1971" s="5"/>
      <c r="L1971" s="6"/>
      <c r="M1971" s="6" t="str">
        <f>IF(D1971&lt;&gt;"",VLOOKUP(H1971,TABLEITEM,3,FALSE),"")</f>
        <v>คานเจ 45x32x454</v>
      </c>
      <c r="N1971" s="7">
        <f>INSTOCK!$I1971*INSTOCK!$K1971</f>
        <v>0</v>
      </c>
      <c r="O1971" s="2"/>
      <c r="P1971" s="2"/>
    </row>
    <row r="1972" ht="18.0" hidden="1" customHeight="1">
      <c r="A1972" s="1"/>
      <c r="B1972" s="3"/>
      <c r="C1972" s="4">
        <v>43774.0</v>
      </c>
      <c r="D1972" s="2" t="s">
        <v>2503</v>
      </c>
      <c r="E1972" s="2"/>
      <c r="F1972" s="3" t="s">
        <v>161</v>
      </c>
      <c r="G1972" s="2" t="s">
        <v>456</v>
      </c>
      <c r="H1972" s="2" t="s">
        <v>626</v>
      </c>
      <c r="I1972" s="3">
        <v>17.0</v>
      </c>
      <c r="J1972" s="3"/>
      <c r="K1972" s="5"/>
      <c r="L1972" s="6"/>
      <c r="M1972" s="6" t="str">
        <f>IF(D1972&lt;&gt;"",VLOOKUP(H1972,TABLEITEM,3,FALSE),"")</f>
        <v>คานเจ 2รู 65x32x454</v>
      </c>
      <c r="N1972" s="7">
        <f>INSTOCK!$I1972*INSTOCK!$K1972</f>
        <v>0</v>
      </c>
      <c r="O1972" s="2"/>
      <c r="P1972" s="2"/>
    </row>
    <row r="1973" ht="18.0" hidden="1" customHeight="1">
      <c r="A1973" s="1"/>
      <c r="B1973" s="3"/>
      <c r="C1973" s="4">
        <v>43774.0</v>
      </c>
      <c r="D1973" s="2" t="s">
        <v>2499</v>
      </c>
      <c r="E1973" s="2"/>
      <c r="F1973" s="3" t="s">
        <v>161</v>
      </c>
      <c r="G1973" s="2" t="s">
        <v>456</v>
      </c>
      <c r="H1973" s="2" t="s">
        <v>586</v>
      </c>
      <c r="I1973" s="3">
        <v>49.0</v>
      </c>
      <c r="J1973" s="3"/>
      <c r="K1973" s="5"/>
      <c r="L1973" s="6"/>
      <c r="M1973" s="6" t="str">
        <f>IF(D1973&lt;&gt;"",VLOOKUP(H1973,TABLEITEM,3,FALSE),"")</f>
        <v>หมวกตู้ 40x775</v>
      </c>
      <c r="N1973" s="7">
        <f>INSTOCK!$I1973*INSTOCK!$K1973</f>
        <v>0</v>
      </c>
      <c r="O1973" s="2"/>
      <c r="P1973" s="2"/>
    </row>
    <row r="1974" ht="18.0" hidden="1" customHeight="1">
      <c r="A1974" s="1"/>
      <c r="B1974" s="3"/>
      <c r="C1974" s="4">
        <v>43774.0</v>
      </c>
      <c r="D1974" s="2" t="s">
        <v>2238</v>
      </c>
      <c r="E1974" s="2"/>
      <c r="F1974" s="3" t="s">
        <v>161</v>
      </c>
      <c r="G1974" s="2" t="s">
        <v>456</v>
      </c>
      <c r="H1974" s="2" t="s">
        <v>534</v>
      </c>
      <c r="I1974" s="3">
        <v>81.0</v>
      </c>
      <c r="J1974" s="3"/>
      <c r="K1974" s="5"/>
      <c r="L1974" s="6"/>
      <c r="M1974" s="6" t="str">
        <f>IF(D1974&lt;&gt;"",VLOOKUP(H1974,TABLEITEM,3,FALSE),"")</f>
        <v>ตัวแซดยึดแผ่นพื้น 60x695</v>
      </c>
      <c r="N1974" s="7">
        <f>INSTOCK!$I1974*INSTOCK!$K1974</f>
        <v>0</v>
      </c>
      <c r="O1974" s="2"/>
      <c r="P1974" s="2"/>
    </row>
    <row r="1975" ht="18.0" hidden="1" customHeight="1">
      <c r="A1975" s="1"/>
      <c r="B1975" s="3"/>
      <c r="C1975" s="4">
        <v>43774.0</v>
      </c>
      <c r="D1975" s="2" t="s">
        <v>2347</v>
      </c>
      <c r="E1975" s="2"/>
      <c r="F1975" s="3" t="s">
        <v>161</v>
      </c>
      <c r="G1975" s="2" t="s">
        <v>456</v>
      </c>
      <c r="H1975" s="2" t="s">
        <v>537</v>
      </c>
      <c r="I1975" s="3">
        <v>3.0</v>
      </c>
      <c r="J1975" s="3"/>
      <c r="K1975" s="5"/>
      <c r="L1975" s="6"/>
      <c r="M1975" s="6" t="str">
        <f>IF(D1975&lt;&gt;"",VLOOKUP(H1975,TABLEITEM,3,FALSE),"")</f>
        <v>หมวกตู้ 60x975</v>
      </c>
      <c r="N1975" s="7">
        <f>INSTOCK!$I1975*INSTOCK!$K1975</f>
        <v>0</v>
      </c>
      <c r="O1975" s="2"/>
      <c r="P1975" s="2"/>
    </row>
    <row r="1976" ht="18.0" hidden="1" customHeight="1">
      <c r="A1976" s="1"/>
      <c r="B1976" s="3"/>
      <c r="C1976" s="4">
        <v>43774.0</v>
      </c>
      <c r="D1976" s="2" t="s">
        <v>2529</v>
      </c>
      <c r="E1976" s="2"/>
      <c r="F1976" s="3" t="s">
        <v>161</v>
      </c>
      <c r="G1976" s="2" t="s">
        <v>456</v>
      </c>
      <c r="H1976" s="2" t="s">
        <v>474</v>
      </c>
      <c r="I1976" s="3">
        <v>21.0</v>
      </c>
      <c r="J1976" s="3"/>
      <c r="K1976" s="5"/>
      <c r="L1976" s="6"/>
      <c r="M1976" s="6" t="str">
        <f>IF(D1976&lt;&gt;"",VLOOKUP(H1976,TABLEITEM,3,FALSE),"")</f>
        <v>เพลทเบกเกอร์ 625x280</v>
      </c>
      <c r="N1976" s="7">
        <f>INSTOCK!$I1976*INSTOCK!$K1976</f>
        <v>0</v>
      </c>
      <c r="O1976" s="2"/>
      <c r="P1976" s="2"/>
    </row>
    <row r="1977" ht="18.0" hidden="1" customHeight="1">
      <c r="A1977" s="1"/>
      <c r="B1977" s="3"/>
      <c r="C1977" s="4">
        <v>43774.0</v>
      </c>
      <c r="D1977" s="2" t="s">
        <v>2530</v>
      </c>
      <c r="E1977" s="2"/>
      <c r="F1977" s="3" t="s">
        <v>161</v>
      </c>
      <c r="G1977" s="2" t="s">
        <v>456</v>
      </c>
      <c r="H1977" s="2" t="s">
        <v>1328</v>
      </c>
      <c r="I1977" s="3">
        <v>21.0</v>
      </c>
      <c r="J1977" s="3"/>
      <c r="K1977" s="5"/>
      <c r="L1977" s="6"/>
      <c r="M1977" s="6" t="str">
        <f>IF(D1977&lt;&gt;"",VLOOKUP(H1977,TABLEITEM,3,FALSE),"")</f>
        <v>เพลทเบกเกอร์ 725x280</v>
      </c>
      <c r="N1977" s="7">
        <f>INSTOCK!$I1977*INSTOCK!$K1977</f>
        <v>0</v>
      </c>
      <c r="O1977" s="2"/>
      <c r="P1977" s="2"/>
    </row>
    <row r="1978" ht="18.0" hidden="1" customHeight="1">
      <c r="A1978" s="1"/>
      <c r="B1978" s="3"/>
      <c r="C1978" s="4">
        <v>43774.0</v>
      </c>
      <c r="D1978" s="2" t="s">
        <v>2531</v>
      </c>
      <c r="E1978" s="2"/>
      <c r="F1978" s="3" t="s">
        <v>161</v>
      </c>
      <c r="G1978" s="2" t="s">
        <v>456</v>
      </c>
      <c r="H1978" s="2" t="s">
        <v>2532</v>
      </c>
      <c r="I1978" s="3">
        <v>31.0</v>
      </c>
      <c r="J1978" s="3"/>
      <c r="K1978" s="5"/>
      <c r="L1978" s="6"/>
      <c r="M1978" s="6" t="str">
        <f>IF(D1978&lt;&gt;"",VLOOKUP(H1978,TABLEITEM,3,FALSE),"")</f>
        <v>คานฝาหน้า50X22X1220</v>
      </c>
      <c r="N1978" s="7">
        <f>INSTOCK!$I1978*INSTOCK!$K1978</f>
        <v>0</v>
      </c>
      <c r="O1978" s="2"/>
      <c r="P1978" s="2"/>
    </row>
    <row r="1979" ht="18.0" hidden="1" customHeight="1">
      <c r="A1979" s="1"/>
      <c r="B1979" s="3"/>
      <c r="C1979" s="4">
        <v>43774.0</v>
      </c>
      <c r="D1979" s="2" t="s">
        <v>2533</v>
      </c>
      <c r="E1979" s="2"/>
      <c r="F1979" s="3" t="s">
        <v>161</v>
      </c>
      <c r="G1979" s="2" t="s">
        <v>456</v>
      </c>
      <c r="H1979" s="2" t="s">
        <v>2534</v>
      </c>
      <c r="I1979" s="3">
        <v>20.0</v>
      </c>
      <c r="J1979" s="3"/>
      <c r="K1979" s="5"/>
      <c r="L1979" s="6"/>
      <c r="M1979" s="6" t="str">
        <f>IF(D1979&lt;&gt;"",VLOOKUP(H1979,TABLEITEM,3,FALSE),"")</f>
        <v>หมวกตู้40x1275</v>
      </c>
      <c r="N1979" s="7">
        <f>INSTOCK!$I1979*INSTOCK!$K1979</f>
        <v>0</v>
      </c>
      <c r="O1979" s="2"/>
      <c r="P1979" s="2"/>
    </row>
    <row r="1980" ht="18.0" hidden="1" customHeight="1">
      <c r="A1980" s="1"/>
      <c r="B1980" s="3"/>
      <c r="C1980" s="4">
        <v>43770.0</v>
      </c>
      <c r="D1980" s="2" t="s">
        <v>2535</v>
      </c>
      <c r="E1980" s="2">
        <v>6.210001601E9</v>
      </c>
      <c r="F1980" s="3" t="s">
        <v>161</v>
      </c>
      <c r="G1980" s="2" t="s">
        <v>171</v>
      </c>
      <c r="H1980" s="2" t="s">
        <v>42</v>
      </c>
      <c r="I1980" s="3">
        <v>50.0</v>
      </c>
      <c r="J1980" s="3"/>
      <c r="K1980" s="5">
        <v>1147.5</v>
      </c>
      <c r="L1980" s="6"/>
      <c r="M1980" s="6" t="str">
        <f>IF(D1980&lt;&gt;"",VLOOKUP(H1980,TABLEITEM,3,FALSE),"")</f>
        <v>เหล็กแผ่นEG4'x8'T2.0</v>
      </c>
      <c r="N1980" s="7">
        <f>INSTOCK!$I1980*INSTOCK!$K1980</f>
        <v>57375</v>
      </c>
      <c r="O1980" s="2" t="s">
        <v>2536</v>
      </c>
      <c r="P1980" s="2"/>
    </row>
    <row r="1981" ht="18.0" hidden="1" customHeight="1">
      <c r="A1981" s="1"/>
      <c r="B1981" s="3"/>
      <c r="C1981" s="4">
        <v>43770.0</v>
      </c>
      <c r="D1981" s="2" t="s">
        <v>2535</v>
      </c>
      <c r="E1981" s="2">
        <v>6.210001601E9</v>
      </c>
      <c r="F1981" s="3" t="s">
        <v>161</v>
      </c>
      <c r="G1981" s="2" t="s">
        <v>171</v>
      </c>
      <c r="H1981" s="2" t="s">
        <v>25</v>
      </c>
      <c r="I1981" s="3">
        <v>68.0</v>
      </c>
      <c r="J1981" s="3"/>
      <c r="K1981" s="5">
        <v>1588.2883</v>
      </c>
      <c r="L1981" s="6"/>
      <c r="M1981" s="6" t="str">
        <f>IF(D1981&lt;&gt;"",VLOOKUP(H1981,TABLEITEM,3,FALSE),"")</f>
        <v>เหล็กแผ่นขาว4'x8'T3.0</v>
      </c>
      <c r="N1981" s="7">
        <f>INSTOCK!$I1981*INSTOCK!$K1981</f>
        <v>108003.6044</v>
      </c>
      <c r="O1981" s="2" t="s">
        <v>2537</v>
      </c>
      <c r="P1981" s="2"/>
    </row>
    <row r="1982" ht="18.0" hidden="1" customHeight="1">
      <c r="A1982" s="1"/>
      <c r="B1982" s="3"/>
      <c r="C1982" s="4">
        <v>43770.0</v>
      </c>
      <c r="D1982" s="2" t="s">
        <v>2538</v>
      </c>
      <c r="E1982" s="2">
        <v>6.210001601E9</v>
      </c>
      <c r="F1982" s="3" t="s">
        <v>161</v>
      </c>
      <c r="G1982" s="2" t="s">
        <v>171</v>
      </c>
      <c r="H1982" s="2" t="s">
        <v>23</v>
      </c>
      <c r="I1982" s="3">
        <v>100.0</v>
      </c>
      <c r="J1982" s="3"/>
      <c r="K1982" s="5">
        <v>1202.625</v>
      </c>
      <c r="L1982" s="6"/>
      <c r="M1982" s="6" t="str">
        <f>IF(D1982&lt;&gt;"",VLOOKUP(H1982,TABLEITEM,3,FALSE),"")</f>
        <v>เหล็กแผ่นขาว4'x8'T2.3</v>
      </c>
      <c r="N1982" s="7">
        <f>INSTOCK!$I1982*INSTOCK!$K1982</f>
        <v>120262.5</v>
      </c>
      <c r="O1982" s="2" t="s">
        <v>2539</v>
      </c>
      <c r="P1982" s="2"/>
    </row>
    <row r="1983" ht="18.0" hidden="1" customHeight="1">
      <c r="A1983" s="1"/>
      <c r="B1983" s="3"/>
      <c r="C1983" s="4">
        <v>43770.0</v>
      </c>
      <c r="D1983" s="2" t="s">
        <v>2538</v>
      </c>
      <c r="E1983" s="2">
        <v>6.210001601E9</v>
      </c>
      <c r="F1983" s="3" t="s">
        <v>161</v>
      </c>
      <c r="G1983" s="2" t="s">
        <v>171</v>
      </c>
      <c r="H1983" s="2" t="s">
        <v>42</v>
      </c>
      <c r="I1983" s="3">
        <v>150.0</v>
      </c>
      <c r="J1983" s="3"/>
      <c r="K1983" s="5">
        <v>1148.3334</v>
      </c>
      <c r="L1983" s="6"/>
      <c r="M1983" s="6" t="str">
        <f>IF(D1983&lt;&gt;"",VLOOKUP(H1983,TABLEITEM,3,FALSE),"")</f>
        <v>เหล็กแผ่นEG4'x8'T2.0</v>
      </c>
      <c r="N1983" s="7">
        <f>INSTOCK!$I1983*INSTOCK!$K1983</f>
        <v>172250.01</v>
      </c>
      <c r="O1983" s="2" t="s">
        <v>2540</v>
      </c>
      <c r="P1983" s="2"/>
    </row>
    <row r="1984" ht="18.0" hidden="1" customHeight="1">
      <c r="A1984" s="1"/>
      <c r="B1984" s="3"/>
      <c r="C1984" s="4">
        <v>43770.0</v>
      </c>
      <c r="D1984" s="2" t="s">
        <v>2541</v>
      </c>
      <c r="E1984" s="2">
        <v>6.210001601E9</v>
      </c>
      <c r="F1984" s="3" t="s">
        <v>161</v>
      </c>
      <c r="G1984" s="2" t="s">
        <v>171</v>
      </c>
      <c r="H1984" s="2" t="s">
        <v>25</v>
      </c>
      <c r="I1984" s="3">
        <v>132.0</v>
      </c>
      <c r="J1984" s="3"/>
      <c r="K1984" s="5">
        <v>1588.2273</v>
      </c>
      <c r="L1984" s="6"/>
      <c r="M1984" s="6" t="str">
        <f>IF(D1984&lt;&gt;"",VLOOKUP(H1984,TABLEITEM,3,FALSE),"")</f>
        <v>เหล็กแผ่นขาว4'x8'T3.0</v>
      </c>
      <c r="N1984" s="7">
        <f>INSTOCK!$I1984*INSTOCK!$K1984</f>
        <v>209646.0036</v>
      </c>
      <c r="O1984" s="2" t="s">
        <v>2542</v>
      </c>
      <c r="P1984" s="2"/>
    </row>
    <row r="1985" ht="18.0" hidden="1" customHeight="1">
      <c r="A1985" s="1"/>
      <c r="B1985" s="3"/>
      <c r="C1985" s="4">
        <v>43770.0</v>
      </c>
      <c r="D1985" s="2" t="s">
        <v>2543</v>
      </c>
      <c r="E1985" s="2">
        <v>6.210001601E9</v>
      </c>
      <c r="F1985" s="3" t="s">
        <v>161</v>
      </c>
      <c r="G1985" s="2" t="s">
        <v>171</v>
      </c>
      <c r="H1985" s="2" t="s">
        <v>40</v>
      </c>
      <c r="I1985" s="3">
        <v>100.0</v>
      </c>
      <c r="J1985" s="3"/>
      <c r="K1985" s="5">
        <v>911.25</v>
      </c>
      <c r="L1985" s="6"/>
      <c r="M1985" s="6" t="str">
        <f>IF(D1985&lt;&gt;"",VLOOKUP(H1985,TABLEITEM,3,FALSE),"")</f>
        <v>เหล็กแผ่นEG4'x8'T1.6</v>
      </c>
      <c r="N1985" s="7">
        <f>INSTOCK!$I1985*INSTOCK!$K1985</f>
        <v>91125</v>
      </c>
      <c r="O1985" s="2" t="s">
        <v>2544</v>
      </c>
      <c r="P1985" s="2"/>
    </row>
    <row r="1986" ht="18.0" hidden="1" customHeight="1">
      <c r="A1986" s="1"/>
      <c r="B1986" s="3"/>
      <c r="C1986" s="4">
        <v>43770.0</v>
      </c>
      <c r="D1986" s="2" t="s">
        <v>2543</v>
      </c>
      <c r="E1986" s="2">
        <v>6.210001601E9</v>
      </c>
      <c r="F1986" s="3" t="s">
        <v>161</v>
      </c>
      <c r="G1986" s="2" t="s">
        <v>171</v>
      </c>
      <c r="H1986" s="2" t="s">
        <v>35</v>
      </c>
      <c r="I1986" s="3">
        <v>95.0</v>
      </c>
      <c r="J1986" s="3"/>
      <c r="K1986" s="5">
        <v>487.4737</v>
      </c>
      <c r="L1986" s="6"/>
      <c r="M1986" s="6" t="str">
        <f>IF(D1986&lt;&gt;"",VLOOKUP(H1986,TABLEITEM,3,FALSE),"")</f>
        <v>เหล็กแผ่นขาว829x2142T1.6</v>
      </c>
      <c r="N1986" s="7">
        <f>INSTOCK!$I1986*INSTOCK!$K1986</f>
        <v>46310.0015</v>
      </c>
      <c r="O1986" s="2" t="s">
        <v>2545</v>
      </c>
      <c r="P1986" s="2"/>
    </row>
    <row r="1987" ht="18.0" hidden="1" customHeight="1">
      <c r="A1987" s="1"/>
      <c r="B1987" s="3"/>
      <c r="C1987" s="4">
        <v>43770.0</v>
      </c>
      <c r="D1987" s="2" t="s">
        <v>2543</v>
      </c>
      <c r="E1987" s="2">
        <v>6.210001601E9</v>
      </c>
      <c r="F1987" s="3" t="s">
        <v>161</v>
      </c>
      <c r="G1987" s="2" t="s">
        <v>171</v>
      </c>
      <c r="H1987" s="2" t="s">
        <v>27</v>
      </c>
      <c r="I1987" s="3">
        <v>91.0</v>
      </c>
      <c r="J1987" s="3"/>
      <c r="K1987" s="5">
        <v>262.3077</v>
      </c>
      <c r="L1987" s="6"/>
      <c r="M1987" s="6" t="str">
        <f>IF(D1987&lt;&gt;"",VLOOKUP(H1987,TABLEITEM,3,FALSE),"")</f>
        <v>เหล็กแผ่นขาว390x2440T1.6</v>
      </c>
      <c r="N1987" s="7">
        <f>INSTOCK!$I1987*INSTOCK!$K1987</f>
        <v>23870.0007</v>
      </c>
      <c r="O1987" s="2" t="s">
        <v>2546</v>
      </c>
      <c r="P1987" s="2"/>
    </row>
    <row r="1988" ht="18.0" hidden="1" customHeight="1">
      <c r="A1988" s="1"/>
      <c r="B1988" s="3"/>
      <c r="C1988" s="4">
        <v>43770.0</v>
      </c>
      <c r="D1988" s="2" t="s">
        <v>2543</v>
      </c>
      <c r="E1988" s="2">
        <v>6.210001601E9</v>
      </c>
      <c r="F1988" s="3" t="s">
        <v>161</v>
      </c>
      <c r="G1988" s="2" t="s">
        <v>171</v>
      </c>
      <c r="H1988" s="2" t="s">
        <v>301</v>
      </c>
      <c r="I1988" s="3">
        <v>20.0</v>
      </c>
      <c r="J1988" s="3"/>
      <c r="K1988" s="5">
        <v>22.0</v>
      </c>
      <c r="L1988" s="6"/>
      <c r="M1988" s="6" t="str">
        <f>IF(D1988&lt;&gt;"",VLOOKUP(H1988,TABLEITEM,3,FALSE),"")</f>
        <v>เหล็กแผ่นขาวT1.6(เศษ)</v>
      </c>
      <c r="N1988" s="7">
        <f>INSTOCK!$I1988*INSTOCK!$K1988</f>
        <v>440</v>
      </c>
      <c r="O1988" s="2"/>
      <c r="P1988" s="2"/>
    </row>
    <row r="1989" ht="18.0" hidden="1" customHeight="1">
      <c r="A1989" s="1"/>
      <c r="B1989" s="3"/>
      <c r="C1989" s="4">
        <v>43770.0</v>
      </c>
      <c r="D1989" s="2" t="s">
        <v>2547</v>
      </c>
      <c r="E1989" s="2">
        <v>6.210001596E9</v>
      </c>
      <c r="F1989" s="3" t="s">
        <v>161</v>
      </c>
      <c r="G1989" s="2" t="s">
        <v>153</v>
      </c>
      <c r="H1989" s="2" t="s">
        <v>72</v>
      </c>
      <c r="I1989" s="3">
        <v>10.0</v>
      </c>
      <c r="J1989" s="3"/>
      <c r="K1989" s="5">
        <v>4500.0</v>
      </c>
      <c r="L1989" s="6"/>
      <c r="M1989" s="6" t="str">
        <f>IF(D1989&lt;&gt;"",VLOOKUP(H1989,TABLEITEM,3,FALSE),"")</f>
        <v>แผ่นอลูมิเนียม4'x8'T6.0</v>
      </c>
      <c r="N1989" s="7">
        <f>INSTOCK!$I1989*INSTOCK!$K1989</f>
        <v>45000</v>
      </c>
      <c r="O1989" s="2"/>
      <c r="P1989" s="2"/>
    </row>
    <row r="1990" ht="18.0" hidden="1" customHeight="1">
      <c r="A1990" s="1"/>
      <c r="B1990" s="3"/>
      <c r="C1990" s="4">
        <v>43770.0</v>
      </c>
      <c r="D1990" s="2" t="s">
        <v>2548</v>
      </c>
      <c r="E1990" s="2">
        <v>6.210001595E9</v>
      </c>
      <c r="F1990" s="3" t="s">
        <v>161</v>
      </c>
      <c r="G1990" s="2" t="s">
        <v>165</v>
      </c>
      <c r="H1990" s="2" t="s">
        <v>75</v>
      </c>
      <c r="I1990" s="3">
        <v>10.0</v>
      </c>
      <c r="J1990" s="3"/>
      <c r="K1990" s="5">
        <v>3450.0</v>
      </c>
      <c r="L1990" s="6"/>
      <c r="M1990" s="6" t="str">
        <f>IF(D1990&lt;&gt;"",VLOOKUP(H1990,TABLEITEM,3,FALSE),"")</f>
        <v>แผ่นเบกไลท์ 1220x2440T5.0</v>
      </c>
      <c r="N1990" s="7">
        <f>INSTOCK!$I1990*INSTOCK!$K1990</f>
        <v>34500</v>
      </c>
      <c r="O1990" s="2"/>
      <c r="P1990" s="2"/>
    </row>
    <row r="1991" ht="18.0" hidden="1" customHeight="1">
      <c r="A1991" s="1"/>
      <c r="B1991" s="3"/>
      <c r="C1991" s="4">
        <v>43770.0</v>
      </c>
      <c r="D1991" s="2" t="s">
        <v>2548</v>
      </c>
      <c r="E1991" s="2">
        <v>6.210001595E9</v>
      </c>
      <c r="F1991" s="3" t="s">
        <v>161</v>
      </c>
      <c r="G1991" s="2" t="s">
        <v>165</v>
      </c>
      <c r="H1991" s="2" t="s">
        <v>1943</v>
      </c>
      <c r="I1991" s="3">
        <v>5.0</v>
      </c>
      <c r="J1991" s="3"/>
      <c r="K1991" s="5">
        <v>1500.0</v>
      </c>
      <c r="L1991" s="6"/>
      <c r="M1991" s="6" t="str">
        <f>IF(D1991&lt;&gt;"",VLOOKUP(H1991,TABLEITEM,3,FALSE),"")</f>
        <v>แผ่น PVC ใส 4x8 หนา 3.0 มิล</v>
      </c>
      <c r="N1991" s="7">
        <f>INSTOCK!$I1991*INSTOCK!$K1991</f>
        <v>7500</v>
      </c>
      <c r="O1991" s="2"/>
      <c r="P1991" s="2"/>
    </row>
    <row r="1992" ht="18.0" hidden="1" customHeight="1">
      <c r="A1992" s="1"/>
      <c r="B1992" s="3"/>
      <c r="C1992" s="4">
        <v>43773.0</v>
      </c>
      <c r="D1992" s="2" t="s">
        <v>2549</v>
      </c>
      <c r="E1992" s="2">
        <v>6.210001597E9</v>
      </c>
      <c r="F1992" s="3" t="s">
        <v>161</v>
      </c>
      <c r="G1992" s="2" t="s">
        <v>202</v>
      </c>
      <c r="H1992" s="2" t="s">
        <v>79</v>
      </c>
      <c r="I1992" s="3">
        <v>300.0</v>
      </c>
      <c r="J1992" s="3" t="s">
        <v>78</v>
      </c>
      <c r="K1992" s="5">
        <v>131.6667</v>
      </c>
      <c r="L1992" s="6"/>
      <c r="M1992" s="6" t="str">
        <f>IF(D1992&lt;&gt;"",VLOOKUP(H1992,TABLEITEM,3,FALSE),"")</f>
        <v>เหล็กรางน้ำ U' 3</v>
      </c>
      <c r="N1992" s="7">
        <f>INSTOCK!$I1992*INSTOCK!$K1992</f>
        <v>39500.01</v>
      </c>
      <c r="O1992" s="2"/>
      <c r="P1992" s="2"/>
    </row>
    <row r="1993" ht="18.0" hidden="1" customHeight="1">
      <c r="A1993" s="1"/>
      <c r="B1993" s="3"/>
      <c r="C1993" s="4">
        <v>43773.0</v>
      </c>
      <c r="D1993" s="2" t="s">
        <v>2549</v>
      </c>
      <c r="E1993" s="2">
        <v>6.210001597E9</v>
      </c>
      <c r="F1993" s="3" t="s">
        <v>161</v>
      </c>
      <c r="G1993" s="2" t="s">
        <v>202</v>
      </c>
      <c r="H1993" s="2" t="s">
        <v>80</v>
      </c>
      <c r="I1993" s="3">
        <v>180.0</v>
      </c>
      <c r="J1993" s="3" t="s">
        <v>78</v>
      </c>
      <c r="K1993" s="5">
        <v>171.6667</v>
      </c>
      <c r="L1993" s="6"/>
      <c r="M1993" s="6" t="str">
        <f>IF(D1993&lt;&gt;"",VLOOKUP(H1993,TABLEITEM,3,FALSE),"")</f>
        <v>เหล็กรางน้ำ U' 4</v>
      </c>
      <c r="N1993" s="7">
        <f>INSTOCK!$I1993*INSTOCK!$K1993</f>
        <v>30900.006</v>
      </c>
      <c r="O1993" s="2"/>
      <c r="P1993" s="2"/>
    </row>
    <row r="1994" ht="18.0" hidden="1" customHeight="1">
      <c r="A1994" s="1"/>
      <c r="B1994" s="3"/>
      <c r="C1994" s="4">
        <v>43773.0</v>
      </c>
      <c r="D1994" s="2" t="s">
        <v>2550</v>
      </c>
      <c r="E1994" s="2">
        <v>6.211001615E9</v>
      </c>
      <c r="F1994" s="3" t="s">
        <v>161</v>
      </c>
      <c r="G1994" s="2" t="s">
        <v>202</v>
      </c>
      <c r="H1994" s="2" t="s">
        <v>85</v>
      </c>
      <c r="I1994" s="3">
        <v>300.0</v>
      </c>
      <c r="J1994" s="3" t="s">
        <v>78</v>
      </c>
      <c r="K1994" s="5">
        <v>36.6667</v>
      </c>
      <c r="L1994" s="6"/>
      <c r="M1994" s="6" t="str">
        <f>IF(D1994&lt;&gt;"",VLOOKUP(H1994,TABLEITEM,3,FALSE),"")</f>
        <v>เหล็กฉาก 1''1/2'หนา3 มิล</v>
      </c>
      <c r="N1994" s="7">
        <f>INSTOCK!$I1994*INSTOCK!$K1994</f>
        <v>11000.01</v>
      </c>
      <c r="O1994" s="2"/>
      <c r="P1994" s="2"/>
    </row>
    <row r="1995" ht="18.0" hidden="1" customHeight="1">
      <c r="A1995" s="1"/>
      <c r="B1995" s="3"/>
      <c r="C1995" s="4">
        <v>43762.0</v>
      </c>
      <c r="D1995" s="2" t="s">
        <v>2551</v>
      </c>
      <c r="E1995" s="2">
        <v>6.211001638E9</v>
      </c>
      <c r="F1995" s="3" t="s">
        <v>2523</v>
      </c>
      <c r="G1995" s="2" t="s">
        <v>733</v>
      </c>
      <c r="H1995" s="2" t="s">
        <v>2524</v>
      </c>
      <c r="I1995" s="3">
        <v>3.0</v>
      </c>
      <c r="J1995" s="3"/>
      <c r="K1995" s="5">
        <v>240.0</v>
      </c>
      <c r="L1995" s="6"/>
      <c r="M1995" s="6" t="str">
        <f>IF(D1995&lt;&gt;"",VLOOKUP(H1995,TABLEITEM,3,FALSE),"")</f>
        <v>กระจกใส 487x1077 หนา 5.0มิล</v>
      </c>
      <c r="N1995" s="7">
        <f>INSTOCK!$I1995*INSTOCK!$K1995</f>
        <v>720</v>
      </c>
      <c r="O1995" s="2"/>
      <c r="P1995" s="2"/>
    </row>
    <row r="1996" ht="18.0" hidden="1" customHeight="1">
      <c r="A1996" s="1"/>
      <c r="B1996" s="3"/>
      <c r="C1996" s="4">
        <v>43762.0</v>
      </c>
      <c r="D1996" s="2" t="s">
        <v>2551</v>
      </c>
      <c r="E1996" s="2">
        <v>6.211001638E9</v>
      </c>
      <c r="F1996" s="3" t="s">
        <v>2552</v>
      </c>
      <c r="G1996" s="2" t="s">
        <v>733</v>
      </c>
      <c r="H1996" s="2" t="s">
        <v>2553</v>
      </c>
      <c r="I1996" s="3">
        <v>4.0</v>
      </c>
      <c r="J1996" s="3"/>
      <c r="K1996" s="5">
        <v>30.0</v>
      </c>
      <c r="L1996" s="6"/>
      <c r="M1996" s="6" t="str">
        <f>IF(D1996&lt;&gt;"",VLOOKUP(H1996,TABLEITEM,3,FALSE),"")</f>
        <v>กระจกใส 229x284 หนา 5.0มิล</v>
      </c>
      <c r="N1996" s="7">
        <f>INSTOCK!$I1996*INSTOCK!$K1996</f>
        <v>120</v>
      </c>
      <c r="O1996" s="2"/>
      <c r="P1996" s="2"/>
    </row>
    <row r="1997" ht="18.0" hidden="1" customHeight="1">
      <c r="A1997" s="1"/>
      <c r="B1997" s="3"/>
      <c r="C1997" s="4">
        <v>43771.0</v>
      </c>
      <c r="D1997" s="2" t="s">
        <v>2554</v>
      </c>
      <c r="E1997" s="2">
        <v>6.211001638E9</v>
      </c>
      <c r="F1997" s="3" t="s">
        <v>2555</v>
      </c>
      <c r="G1997" s="2" t="s">
        <v>733</v>
      </c>
      <c r="H1997" s="2" t="s">
        <v>2556</v>
      </c>
      <c r="I1997" s="3">
        <v>1.0</v>
      </c>
      <c r="J1997" s="3"/>
      <c r="K1997" s="5">
        <v>90.0</v>
      </c>
      <c r="L1997" s="6"/>
      <c r="M1997" s="6" t="str">
        <f>IF(D1997&lt;&gt;"",VLOOKUP(H1997,TABLEITEM,3,FALSE),"")</f>
        <v>กระจกใส 452x522 หนา 5.0มิล</v>
      </c>
      <c r="N1997" s="7">
        <f>INSTOCK!$I1997*INSTOCK!$K1997</f>
        <v>90</v>
      </c>
      <c r="O1997" s="2"/>
      <c r="P1997" s="2"/>
    </row>
    <row r="1998" ht="18.0" hidden="1" customHeight="1">
      <c r="A1998" s="1"/>
      <c r="B1998" s="3"/>
      <c r="C1998" s="4">
        <v>43773.0</v>
      </c>
      <c r="D1998" s="2" t="s">
        <v>2557</v>
      </c>
      <c r="E1998" s="2">
        <v>6.211001638E9</v>
      </c>
      <c r="F1998" s="3" t="s">
        <v>2558</v>
      </c>
      <c r="G1998" s="2" t="s">
        <v>733</v>
      </c>
      <c r="H1998" s="2" t="s">
        <v>2406</v>
      </c>
      <c r="I1998" s="3">
        <v>12.0</v>
      </c>
      <c r="J1998" s="3"/>
      <c r="K1998" s="5">
        <v>45.0</v>
      </c>
      <c r="L1998" s="6"/>
      <c r="M1998" s="6" t="str">
        <f>IF(D1998&lt;&gt;"",VLOOKUP(H1998,TABLEITEM,3,FALSE),"")</f>
        <v>กระจกใส 262x426 หนา 5.0มิล</v>
      </c>
      <c r="N1998" s="7">
        <f>INSTOCK!$I1998*INSTOCK!$K1998</f>
        <v>540</v>
      </c>
      <c r="O1998" s="2"/>
      <c r="P1998" s="2"/>
    </row>
    <row r="1999" ht="18.0" hidden="1" customHeight="1">
      <c r="A1999" s="1"/>
      <c r="B1999" s="3"/>
      <c r="C1999" s="4">
        <v>43764.0</v>
      </c>
      <c r="D1999" s="2" t="s">
        <v>2559</v>
      </c>
      <c r="E1999" s="2">
        <v>6.211001638E9</v>
      </c>
      <c r="F1999" s="3" t="s">
        <v>2560</v>
      </c>
      <c r="G1999" s="2" t="s">
        <v>733</v>
      </c>
      <c r="H1999" s="2" t="s">
        <v>2561</v>
      </c>
      <c r="I1999" s="3">
        <v>4.0</v>
      </c>
      <c r="J1999" s="3"/>
      <c r="K1999" s="5">
        <v>25.0</v>
      </c>
      <c r="L1999" s="6"/>
      <c r="M1999" s="6" t="str">
        <f>IF(D1999&lt;&gt;"",VLOOKUP(H1999,TABLEITEM,3,FALSE),"")</f>
        <v>กระจกใส 274x284 หนา 3.0มิล</v>
      </c>
      <c r="N1999" s="7">
        <f>INSTOCK!$I1999*INSTOCK!$K1999</f>
        <v>100</v>
      </c>
      <c r="O1999" s="2"/>
      <c r="P1999" s="2"/>
    </row>
    <row r="2000" ht="18.0" hidden="1" customHeight="1">
      <c r="A2000" s="1"/>
      <c r="B2000" s="3"/>
      <c r="C2000" s="4">
        <v>43755.0</v>
      </c>
      <c r="D2000" s="2" t="s">
        <v>2562</v>
      </c>
      <c r="E2000" s="2">
        <v>6.211001638E9</v>
      </c>
      <c r="F2000" s="3" t="s">
        <v>2563</v>
      </c>
      <c r="G2000" s="2" t="s">
        <v>733</v>
      </c>
      <c r="H2000" s="2" t="s">
        <v>2176</v>
      </c>
      <c r="I2000" s="3">
        <v>1.0</v>
      </c>
      <c r="J2000" s="3"/>
      <c r="K2000" s="5">
        <v>25.0</v>
      </c>
      <c r="L2000" s="6"/>
      <c r="M2000" s="6" t="str">
        <f>IF(D2000&lt;&gt;"",VLOOKUP(H2000,TABLEITEM,3,FALSE),"")</f>
        <v>กระจกใส 264x284 หนา 3.0มิล</v>
      </c>
      <c r="N2000" s="7">
        <f>INSTOCK!$I2000*INSTOCK!$K2000</f>
        <v>25</v>
      </c>
      <c r="O2000" s="2"/>
      <c r="P2000" s="2"/>
    </row>
    <row r="2001" ht="18.0" hidden="1" customHeight="1">
      <c r="A2001" s="1"/>
      <c r="B2001" s="3"/>
      <c r="C2001" s="4">
        <v>43776.0</v>
      </c>
      <c r="D2001" s="2" t="s">
        <v>2060</v>
      </c>
      <c r="E2001" s="2"/>
      <c r="F2001" s="3" t="s">
        <v>161</v>
      </c>
      <c r="G2001" s="2" t="s">
        <v>456</v>
      </c>
      <c r="H2001" s="2" t="s">
        <v>515</v>
      </c>
      <c r="I2001" s="3">
        <v>34.0</v>
      </c>
      <c r="J2001" s="3"/>
      <c r="K2001" s="5"/>
      <c r="L2001" s="6"/>
      <c r="M2001" s="6" t="str">
        <f>IF(D2001&lt;&gt;"",VLOOKUP(H2001,TABLEITEM,3,FALSE),"")</f>
        <v>ชุดฝากันระเบิด 600x500</v>
      </c>
      <c r="N2001" s="7">
        <f>INSTOCK!$I2001*INSTOCK!$K2001</f>
        <v>0</v>
      </c>
      <c r="O2001" s="2"/>
      <c r="P2001" s="2"/>
    </row>
    <row r="2002" ht="18.0" hidden="1" customHeight="1">
      <c r="A2002" s="1"/>
      <c r="B2002" s="3"/>
      <c r="C2002" s="4">
        <v>43776.0</v>
      </c>
      <c r="D2002" s="2" t="s">
        <v>2060</v>
      </c>
      <c r="E2002" s="2"/>
      <c r="F2002" s="3" t="s">
        <v>161</v>
      </c>
      <c r="G2002" s="2" t="s">
        <v>456</v>
      </c>
      <c r="H2002" s="2" t="s">
        <v>556</v>
      </c>
      <c r="I2002" s="3">
        <v>25.0</v>
      </c>
      <c r="J2002" s="3"/>
      <c r="K2002" s="5"/>
      <c r="L2002" s="6"/>
      <c r="M2002" s="6" t="str">
        <f>IF(D2002&lt;&gt;"",VLOOKUP(H2002,TABLEITEM,3,FALSE),"")</f>
        <v>ชุดฝากันระเบิด 600x330</v>
      </c>
      <c r="N2002" s="7">
        <f>INSTOCK!$I2002*INSTOCK!$K2002</f>
        <v>0</v>
      </c>
      <c r="O2002" s="2"/>
      <c r="P2002" s="2"/>
    </row>
    <row r="2003" ht="18.0" hidden="1" customHeight="1">
      <c r="A2003" s="1"/>
      <c r="B2003" s="3"/>
      <c r="C2003" s="4">
        <v>43778.0</v>
      </c>
      <c r="D2003" s="2" t="s">
        <v>2564</v>
      </c>
      <c r="E2003" s="2"/>
      <c r="F2003" s="3" t="s">
        <v>161</v>
      </c>
      <c r="G2003" s="2" t="s">
        <v>456</v>
      </c>
      <c r="H2003" s="2" t="s">
        <v>525</v>
      </c>
      <c r="I2003" s="3">
        <v>90.0</v>
      </c>
      <c r="J2003" s="3"/>
      <c r="K2003" s="5"/>
      <c r="L2003" s="6"/>
      <c r="M2003" s="6" t="str">
        <f>IF(D2003&lt;&gt;"",VLOOKUP(H2003,TABLEITEM,3,FALSE),"")</f>
        <v>เสาเชื่อม2275x40x50</v>
      </c>
      <c r="N2003" s="7">
        <f>INSTOCK!$I2003*INSTOCK!$K2003</f>
        <v>0</v>
      </c>
      <c r="O2003" s="2"/>
      <c r="P2003" s="2"/>
    </row>
    <row r="2004" ht="18.0" hidden="1" customHeight="1">
      <c r="A2004" s="1"/>
      <c r="B2004" s="3"/>
      <c r="C2004" s="4">
        <v>43778.0</v>
      </c>
      <c r="D2004" s="2" t="s">
        <v>2565</v>
      </c>
      <c r="E2004" s="2"/>
      <c r="F2004" s="3" t="s">
        <v>161</v>
      </c>
      <c r="G2004" s="2" t="s">
        <v>456</v>
      </c>
      <c r="H2004" s="2" t="s">
        <v>486</v>
      </c>
      <c r="I2004" s="3">
        <v>40.0</v>
      </c>
      <c r="J2004" s="3"/>
      <c r="K2004" s="5"/>
      <c r="L2004" s="6"/>
      <c r="M2004" s="6" t="str">
        <f>IF(D2004&lt;&gt;"",VLOOKUP(H2004,TABLEITEM,3,FALSE),"")</f>
        <v>กระเป๋าเอกสารรุ่น 316x45</v>
      </c>
      <c r="N2004" s="7">
        <f>INSTOCK!$I2004*INSTOCK!$K2004</f>
        <v>0</v>
      </c>
      <c r="O2004" s="2"/>
      <c r="P2004" s="2"/>
    </row>
    <row r="2005" ht="18.0" hidden="1" customHeight="1">
      <c r="A2005" s="1"/>
      <c r="B2005" s="3"/>
      <c r="C2005" s="4">
        <v>43778.0</v>
      </c>
      <c r="D2005" s="2" t="s">
        <v>2565</v>
      </c>
      <c r="E2005" s="2"/>
      <c r="F2005" s="3" t="s">
        <v>161</v>
      </c>
      <c r="G2005" s="2" t="s">
        <v>456</v>
      </c>
      <c r="H2005" s="2" t="s">
        <v>487</v>
      </c>
      <c r="I2005" s="3">
        <v>31.0</v>
      </c>
      <c r="J2005" s="3"/>
      <c r="K2005" s="5"/>
      <c r="L2005" s="6"/>
      <c r="M2005" s="6" t="str">
        <f>IF(D2005&lt;&gt;"",VLOOKUP(H2005,TABLEITEM,3,FALSE),"")</f>
        <v>กระเป๋าเอกสารรุ่น 316x224</v>
      </c>
      <c r="N2005" s="7">
        <f>INSTOCK!$I2005*INSTOCK!$K2005</f>
        <v>0</v>
      </c>
      <c r="O2005" s="2"/>
      <c r="P2005" s="2"/>
    </row>
    <row r="2006" ht="18.0" hidden="1" customHeight="1">
      <c r="A2006" s="1"/>
      <c r="B2006" s="3"/>
      <c r="C2006" s="4">
        <v>43778.0</v>
      </c>
      <c r="D2006" s="2" t="s">
        <v>1795</v>
      </c>
      <c r="E2006" s="2"/>
      <c r="F2006" s="3" t="s">
        <v>161</v>
      </c>
      <c r="G2006" s="2" t="s">
        <v>456</v>
      </c>
      <c r="H2006" s="2" t="s">
        <v>505</v>
      </c>
      <c r="I2006" s="3">
        <v>18.0</v>
      </c>
      <c r="J2006" s="3"/>
      <c r="K2006" s="5"/>
      <c r="L2006" s="6"/>
      <c r="M2006" s="6" t="str">
        <f>IF(D2006&lt;&gt;"",VLOOKUP(H2006,TABLEITEM,3,FALSE),"")</f>
        <v>แพลทยึดอุปกรณ์695x450</v>
      </c>
      <c r="N2006" s="7">
        <f>INSTOCK!$I2006*INSTOCK!$K2006</f>
        <v>0</v>
      </c>
      <c r="O2006" s="2"/>
      <c r="P2006" s="2"/>
    </row>
    <row r="2007" ht="18.0" hidden="1" customHeight="1">
      <c r="A2007" s="1"/>
      <c r="B2007" s="3"/>
      <c r="C2007" s="4">
        <v>43777.0</v>
      </c>
      <c r="D2007" s="2" t="s">
        <v>2566</v>
      </c>
      <c r="E2007" s="2">
        <v>6.211001634E9</v>
      </c>
      <c r="F2007" s="3" t="s">
        <v>2115</v>
      </c>
      <c r="G2007" s="2" t="s">
        <v>240</v>
      </c>
      <c r="H2007" s="2" t="s">
        <v>107</v>
      </c>
      <c r="I2007" s="3">
        <v>1200.0</v>
      </c>
      <c r="J2007" s="3" t="s">
        <v>78</v>
      </c>
      <c r="K2007" s="5">
        <v>12.25</v>
      </c>
      <c r="L2007" s="6"/>
      <c r="M2007" s="6" t="str">
        <f>IF(D2007&lt;&gt;"",VLOOKUP(H2007,TABLEITEM,3,FALSE),"")</f>
        <v>เหล็กเพลากลม 8มิล</v>
      </c>
      <c r="N2007" s="7">
        <f>INSTOCK!$I2007*INSTOCK!$K2007</f>
        <v>14700</v>
      </c>
      <c r="O2007" s="2" t="s">
        <v>2567</v>
      </c>
      <c r="P2007" s="2"/>
    </row>
    <row r="2008" ht="18.0" hidden="1" customHeight="1">
      <c r="A2008" s="1"/>
      <c r="B2008" s="3"/>
      <c r="C2008" s="4">
        <v>43780.0</v>
      </c>
      <c r="D2008" s="2" t="s">
        <v>2568</v>
      </c>
      <c r="E2008" s="2"/>
      <c r="F2008" s="3" t="s">
        <v>2569</v>
      </c>
      <c r="G2008" s="2" t="s">
        <v>953</v>
      </c>
      <c r="H2008" s="2" t="s">
        <v>961</v>
      </c>
      <c r="I2008" s="3">
        <v>14.0</v>
      </c>
      <c r="J2008" s="3"/>
      <c r="K2008" s="5">
        <v>300.0</v>
      </c>
      <c r="L2008" s="6"/>
      <c r="M2008" s="6" t="str">
        <f>IF(D2008&lt;&gt;"",VLOOKUP(H2008,TABLEITEM,3,FALSE),"")</f>
        <v>กระจกลวด150X230T6.0</v>
      </c>
      <c r="N2008" s="7">
        <f>INSTOCK!$I2008*INSTOCK!$K2008</f>
        <v>4200</v>
      </c>
      <c r="O2008" s="2"/>
      <c r="P2008" s="2"/>
    </row>
    <row r="2009" ht="18.0" hidden="1" customHeight="1">
      <c r="A2009" s="1"/>
      <c r="B2009" s="3"/>
      <c r="C2009" s="4">
        <v>43781.0</v>
      </c>
      <c r="D2009" s="2" t="s">
        <v>2570</v>
      </c>
      <c r="E2009" s="2"/>
      <c r="F2009" s="3" t="s">
        <v>161</v>
      </c>
      <c r="G2009" s="2" t="s">
        <v>456</v>
      </c>
      <c r="H2009" s="2" t="s">
        <v>547</v>
      </c>
      <c r="I2009" s="3">
        <v>110.0</v>
      </c>
      <c r="J2009" s="3"/>
      <c r="K2009" s="5"/>
      <c r="L2009" s="6"/>
      <c r="M2009" s="6" t="str">
        <f>IF(D2009&lt;&gt;"",VLOOKUP(H2009,TABLEITEM,3,FALSE),"")</f>
        <v>คานต่อโครง3mm 68x45x270</v>
      </c>
      <c r="N2009" s="7">
        <f>INSTOCK!$I2009*INSTOCK!$K2009</f>
        <v>0</v>
      </c>
      <c r="O2009" s="2"/>
      <c r="P2009" s="2"/>
    </row>
    <row r="2010" ht="18.0" hidden="1" customHeight="1">
      <c r="A2010" s="1"/>
      <c r="B2010" s="3"/>
      <c r="C2010" s="4">
        <v>43781.0</v>
      </c>
      <c r="D2010" s="2" t="s">
        <v>2571</v>
      </c>
      <c r="E2010" s="2"/>
      <c r="F2010" s="3" t="s">
        <v>161</v>
      </c>
      <c r="G2010" s="2" t="s">
        <v>456</v>
      </c>
      <c r="H2010" s="2" t="s">
        <v>556</v>
      </c>
      <c r="I2010" s="3">
        <v>22.0</v>
      </c>
      <c r="J2010" s="3"/>
      <c r="K2010" s="5"/>
      <c r="L2010" s="6"/>
      <c r="M2010" s="6" t="str">
        <f>IF(D2010&lt;&gt;"",VLOOKUP(H2010,TABLEITEM,3,FALSE),"")</f>
        <v>ชุดฝากันระเบิด 600x330</v>
      </c>
      <c r="N2010" s="7">
        <f>INSTOCK!$I2010*INSTOCK!$K2010</f>
        <v>0</v>
      </c>
      <c r="O2010" s="2"/>
      <c r="P2010" s="2"/>
    </row>
    <row r="2011" ht="18.0" hidden="1" customHeight="1">
      <c r="A2011" s="1"/>
      <c r="B2011" s="3"/>
      <c r="C2011" s="4">
        <v>43781.0</v>
      </c>
      <c r="D2011" s="2" t="s">
        <v>2572</v>
      </c>
      <c r="E2011" s="2"/>
      <c r="F2011" s="3" t="s">
        <v>161</v>
      </c>
      <c r="G2011" s="2" t="s">
        <v>456</v>
      </c>
      <c r="H2011" s="2" t="s">
        <v>515</v>
      </c>
      <c r="I2011" s="3">
        <v>30.0</v>
      </c>
      <c r="J2011" s="3"/>
      <c r="K2011" s="5"/>
      <c r="L2011" s="6"/>
      <c r="M2011" s="6" t="str">
        <f>IF(D2011&lt;&gt;"",VLOOKUP(H2011,TABLEITEM,3,FALSE),"")</f>
        <v>ชุดฝากันระเบิด 600x500</v>
      </c>
      <c r="N2011" s="7">
        <f>INSTOCK!$I2011*INSTOCK!$K2011</f>
        <v>0</v>
      </c>
      <c r="O2011" s="2"/>
      <c r="P2011" s="2"/>
    </row>
    <row r="2012" ht="18.0" hidden="1" customHeight="1">
      <c r="A2012" s="1"/>
      <c r="B2012" s="3"/>
      <c r="C2012" s="4">
        <v>43781.0</v>
      </c>
      <c r="D2012" s="2" t="s">
        <v>2573</v>
      </c>
      <c r="E2012" s="2"/>
      <c r="F2012" s="3" t="s">
        <v>161</v>
      </c>
      <c r="G2012" s="2" t="s">
        <v>456</v>
      </c>
      <c r="H2012" s="2" t="s">
        <v>511</v>
      </c>
      <c r="I2012" s="3">
        <v>90.0</v>
      </c>
      <c r="J2012" s="3"/>
      <c r="K2012" s="5"/>
      <c r="L2012" s="6"/>
      <c r="M2012" s="6" t="str">
        <f>IF(D2012&lt;&gt;"",VLOOKUP(H2012,TABLEITEM,3,FALSE),"")</f>
        <v>เสาเสริม 40x50x1788</v>
      </c>
      <c r="N2012" s="7">
        <f>INSTOCK!$I2012*INSTOCK!$K2012</f>
        <v>0</v>
      </c>
      <c r="O2012" s="2"/>
      <c r="P2012" s="2"/>
    </row>
    <row r="2013" ht="18.0" hidden="1" customHeight="1">
      <c r="A2013" s="1"/>
      <c r="B2013" s="3"/>
      <c r="C2013" s="4">
        <v>43781.0</v>
      </c>
      <c r="D2013" s="2" t="s">
        <v>2574</v>
      </c>
      <c r="E2013" s="2"/>
      <c r="F2013" s="3" t="s">
        <v>161</v>
      </c>
      <c r="G2013" s="2" t="s">
        <v>456</v>
      </c>
      <c r="H2013" s="2" t="s">
        <v>574</v>
      </c>
      <c r="I2013" s="3">
        <v>46.0</v>
      </c>
      <c r="J2013" s="3"/>
      <c r="K2013" s="5"/>
      <c r="L2013" s="6"/>
      <c r="M2013" s="6" t="str">
        <f>IF(D2013&lt;&gt;"",VLOOKUP(H2013,TABLEITEM,3,FALSE),"")</f>
        <v>คานตัวC 70x25T.2.0x695</v>
      </c>
      <c r="N2013" s="7">
        <f>INSTOCK!$I2013*INSTOCK!$K2013</f>
        <v>0</v>
      </c>
      <c r="O2013" s="2"/>
      <c r="P2013" s="2"/>
    </row>
    <row r="2014" ht="18.0" hidden="1" customHeight="1">
      <c r="A2014" s="1"/>
      <c r="B2014" s="3"/>
      <c r="C2014" s="4">
        <v>43777.0</v>
      </c>
      <c r="D2014" s="2" t="s">
        <v>2575</v>
      </c>
      <c r="E2014" s="2">
        <v>6.211001637E9</v>
      </c>
      <c r="F2014" s="3" t="s">
        <v>2576</v>
      </c>
      <c r="G2014" s="2" t="s">
        <v>240</v>
      </c>
      <c r="H2014" s="2" t="s">
        <v>2577</v>
      </c>
      <c r="I2014" s="3">
        <v>16.0</v>
      </c>
      <c r="J2014" s="3"/>
      <c r="K2014" s="5">
        <v>4100.0</v>
      </c>
      <c r="L2014" s="6"/>
      <c r="M2014" s="6" t="str">
        <f>IF(D2014&lt;&gt;"",VLOOKUP(H2014,TABLEITEM,3,FALSE),"")</f>
        <v>สเตนเลสแผ่น 4'x8' T 2.5มิล</v>
      </c>
      <c r="N2014" s="7">
        <f>INSTOCK!$I2014*INSTOCK!$K2014</f>
        <v>65600</v>
      </c>
      <c r="O2014" s="2"/>
      <c r="P2014" s="2"/>
    </row>
    <row r="2015" ht="18.0" hidden="1" customHeight="1">
      <c r="A2015" s="1"/>
      <c r="B2015" s="3"/>
      <c r="C2015" s="4">
        <v>43777.0</v>
      </c>
      <c r="D2015" s="2" t="s">
        <v>2575</v>
      </c>
      <c r="E2015" s="2">
        <v>6.211001637E9</v>
      </c>
      <c r="F2015" s="3" t="s">
        <v>2576</v>
      </c>
      <c r="G2015" s="2" t="s">
        <v>240</v>
      </c>
      <c r="H2015" s="2" t="s">
        <v>66</v>
      </c>
      <c r="I2015" s="3">
        <v>9.0</v>
      </c>
      <c r="J2015" s="3"/>
      <c r="K2015" s="5">
        <v>4800.0</v>
      </c>
      <c r="L2015" s="6"/>
      <c r="M2015" s="6" t="str">
        <f>IF(D2015&lt;&gt;"",VLOOKUP(H2015,TABLEITEM,3,FALSE),"")</f>
        <v>สแตนเลสแผ่น4'x8'T3.0</v>
      </c>
      <c r="N2015" s="7">
        <f>INSTOCK!$I2015*INSTOCK!$K2015</f>
        <v>43200</v>
      </c>
      <c r="O2015" s="2"/>
      <c r="P2015" s="2"/>
    </row>
    <row r="2016" ht="18.0" hidden="1" customHeight="1">
      <c r="A2016" s="1"/>
      <c r="B2016" s="3"/>
      <c r="C2016" s="4">
        <v>43777.0</v>
      </c>
      <c r="D2016" s="2" t="s">
        <v>2575</v>
      </c>
      <c r="E2016" s="2">
        <v>6.211001637E9</v>
      </c>
      <c r="F2016" s="3" t="s">
        <v>2576</v>
      </c>
      <c r="G2016" s="2" t="s">
        <v>240</v>
      </c>
      <c r="H2016" s="2" t="s">
        <v>2578</v>
      </c>
      <c r="I2016" s="3">
        <v>24.0</v>
      </c>
      <c r="J2016" s="3" t="s">
        <v>78</v>
      </c>
      <c r="K2016" s="5">
        <v>91.6667</v>
      </c>
      <c r="L2016" s="6"/>
      <c r="M2016" s="6" t="str">
        <f>IF(D2016&lt;&gt;"",VLOOKUP(H2016,TABLEITEM,3,FALSE),"")</f>
        <v>เพลาสเตนเล 12มิล</v>
      </c>
      <c r="N2016" s="7">
        <f>INSTOCK!$I2016*INSTOCK!$K2016</f>
        <v>2200.0008</v>
      </c>
      <c r="O2016" s="2" t="s">
        <v>2054</v>
      </c>
      <c r="P2016" s="2"/>
    </row>
    <row r="2017" ht="18.0" hidden="1" customHeight="1">
      <c r="A2017" s="1"/>
      <c r="B2017" s="3"/>
      <c r="C2017" s="4">
        <v>43777.0</v>
      </c>
      <c r="D2017" s="2" t="s">
        <v>2575</v>
      </c>
      <c r="E2017" s="2">
        <v>6.211001637E9</v>
      </c>
      <c r="F2017" s="3" t="s">
        <v>2576</v>
      </c>
      <c r="G2017" s="2" t="s">
        <v>240</v>
      </c>
      <c r="H2017" s="2" t="s">
        <v>2579</v>
      </c>
      <c r="I2017" s="3">
        <v>6.0</v>
      </c>
      <c r="J2017" s="3" t="s">
        <v>78</v>
      </c>
      <c r="K2017" s="5">
        <v>1183.3334</v>
      </c>
      <c r="L2017" s="6"/>
      <c r="M2017" s="6" t="str">
        <f>IF(D2017&lt;&gt;"",VLOOKUP(H2017,TABLEITEM,3,FALSE),"")</f>
        <v>เพลาสเตนเลส 40มิล </v>
      </c>
      <c r="N2017" s="7">
        <f>INSTOCK!$I2017*INSTOCK!$K2017</f>
        <v>7100.0004</v>
      </c>
      <c r="O2017" s="2" t="s">
        <v>2580</v>
      </c>
      <c r="P2017" s="2"/>
    </row>
    <row r="2018" ht="18.0" hidden="1" customHeight="1">
      <c r="A2018" s="1"/>
      <c r="B2018" s="3"/>
      <c r="C2018" s="4">
        <v>43777.0</v>
      </c>
      <c r="D2018" s="2" t="s">
        <v>2575</v>
      </c>
      <c r="E2018" s="2">
        <v>6.211001637E9</v>
      </c>
      <c r="F2018" s="3" t="s">
        <v>2576</v>
      </c>
      <c r="G2018" s="2" t="s">
        <v>240</v>
      </c>
      <c r="H2018" s="2" t="s">
        <v>2581</v>
      </c>
      <c r="I2018" s="3">
        <v>30.0</v>
      </c>
      <c r="J2018" s="3" t="s">
        <v>78</v>
      </c>
      <c r="K2018" s="5">
        <v>1233.3334</v>
      </c>
      <c r="L2018" s="6"/>
      <c r="M2018" s="6" t="str">
        <f>IF(D2018&lt;&gt;"",VLOOKUP(H2018,TABLEITEM,3,FALSE),"")</f>
        <v>รางสเตนเลส 10x50x5.0mmx6M รีด</v>
      </c>
      <c r="N2018" s="7">
        <f>INSTOCK!$I2018*INSTOCK!$K2018</f>
        <v>37000.002</v>
      </c>
      <c r="O2018" s="2" t="s">
        <v>2582</v>
      </c>
      <c r="P2018" s="2"/>
    </row>
    <row r="2019" ht="18.0" hidden="1" customHeight="1">
      <c r="A2019" s="1"/>
      <c r="B2019" s="3"/>
      <c r="C2019" s="4">
        <v>43784.0</v>
      </c>
      <c r="D2019" s="2" t="s">
        <v>2533</v>
      </c>
      <c r="E2019" s="2"/>
      <c r="F2019" s="3" t="s">
        <v>161</v>
      </c>
      <c r="G2019" s="2" t="s">
        <v>456</v>
      </c>
      <c r="H2019" s="2" t="s">
        <v>493</v>
      </c>
      <c r="I2019" s="3">
        <v>198.0</v>
      </c>
      <c r="J2019" s="3"/>
      <c r="K2019" s="5"/>
      <c r="L2019" s="6"/>
      <c r="M2019" s="6" t="str">
        <f>IF(D2019&lt;&gt;"",VLOOKUP(H2019,TABLEITEM,3,FALSE),"")</f>
        <v>เสาเชื่อม2125x40x50</v>
      </c>
      <c r="N2019" s="7">
        <f>INSTOCK!$I2019*INSTOCK!$K2019</f>
        <v>0</v>
      </c>
      <c r="O2019" s="2"/>
      <c r="P2019" s="2"/>
    </row>
    <row r="2020" ht="18.0" hidden="1" customHeight="1">
      <c r="A2020" s="1"/>
      <c r="B2020" s="3"/>
      <c r="C2020" s="4">
        <v>43784.0</v>
      </c>
      <c r="D2020" s="2" t="s">
        <v>2583</v>
      </c>
      <c r="E2020" s="2"/>
      <c r="F2020" s="3" t="s">
        <v>161</v>
      </c>
      <c r="G2020" s="2" t="s">
        <v>456</v>
      </c>
      <c r="H2020" s="2" t="s">
        <v>466</v>
      </c>
      <c r="I2020" s="3">
        <v>150.0</v>
      </c>
      <c r="J2020" s="3"/>
      <c r="K2020" s="5"/>
      <c r="L2020" s="6"/>
      <c r="M2020" s="6" t="str">
        <f>IF(D2020&lt;&gt;"",VLOOKUP(H2020,TABLEITEM,3,FALSE),"")</f>
        <v>คานเจปรับระดับ754x68x35T3.0</v>
      </c>
      <c r="N2020" s="7">
        <f>INSTOCK!$I2020*INSTOCK!$K2020</f>
        <v>0</v>
      </c>
      <c r="O2020" s="2"/>
      <c r="P2020" s="2"/>
    </row>
    <row r="2021" ht="18.0" hidden="1" customHeight="1">
      <c r="A2021" s="1"/>
      <c r="B2021" s="3"/>
      <c r="C2021" s="4">
        <v>43784.0</v>
      </c>
      <c r="D2021" s="2" t="s">
        <v>2570</v>
      </c>
      <c r="E2021" s="2"/>
      <c r="F2021" s="3" t="s">
        <v>161</v>
      </c>
      <c r="G2021" s="2" t="s">
        <v>456</v>
      </c>
      <c r="H2021" s="2" t="s">
        <v>547</v>
      </c>
      <c r="I2021" s="3">
        <v>97.0</v>
      </c>
      <c r="J2021" s="3"/>
      <c r="K2021" s="5"/>
      <c r="L2021" s="6"/>
      <c r="M2021" s="6" t="str">
        <f>IF(D2021&lt;&gt;"",VLOOKUP(H2021,TABLEITEM,3,FALSE),"")</f>
        <v>คานต่อโครง3mm 68x45x270</v>
      </c>
      <c r="N2021" s="7">
        <f>INSTOCK!$I2021*INSTOCK!$K2021</f>
        <v>0</v>
      </c>
      <c r="O2021" s="2"/>
      <c r="P2021" s="2"/>
    </row>
    <row r="2022" ht="18.0" hidden="1" customHeight="1">
      <c r="A2022" s="1"/>
      <c r="B2022" s="3"/>
      <c r="C2022" s="4"/>
      <c r="D2022" s="2"/>
      <c r="E2022" s="2"/>
      <c r="F2022" s="3"/>
      <c r="G2022" s="2"/>
      <c r="H2022" s="2"/>
      <c r="I2022" s="3"/>
      <c r="J2022" s="3"/>
      <c r="K2022" s="5"/>
      <c r="L2022" s="6"/>
      <c r="M2022" s="6" t="str">
        <f>IF(D2022&lt;&gt;"",VLOOKUP(H2022,TABLEITEM,3,FALSE),"")</f>
        <v/>
      </c>
      <c r="N2022" s="7">
        <f>INSTOCK!$I2022*INSTOCK!$K2022</f>
        <v>0</v>
      </c>
      <c r="O2022" s="2"/>
      <c r="P2022" s="2"/>
    </row>
    <row r="2023" ht="18.0" hidden="1" customHeight="1">
      <c r="A2023" s="1"/>
      <c r="B2023" s="3"/>
      <c r="C2023" s="4"/>
      <c r="D2023" s="2"/>
      <c r="E2023" s="2"/>
      <c r="F2023" s="3"/>
      <c r="G2023" s="2"/>
      <c r="H2023" s="2"/>
      <c r="I2023" s="3"/>
      <c r="J2023" s="3"/>
      <c r="K2023" s="5"/>
      <c r="L2023" s="6"/>
      <c r="M2023" s="6" t="str">
        <f>IF(D2023&lt;&gt;"",VLOOKUP(H2023,TABLEITEM,3,FALSE),"")</f>
        <v/>
      </c>
      <c r="N2023" s="7">
        <f>INSTOCK!$I2023*INSTOCK!$K2023</f>
        <v>0</v>
      </c>
      <c r="O2023" s="2"/>
      <c r="P2023" s="2"/>
    </row>
    <row r="2024" ht="18.0" hidden="1" customHeight="1">
      <c r="A2024" s="1"/>
      <c r="B2024" s="3"/>
      <c r="C2024" s="4"/>
      <c r="D2024" s="2"/>
      <c r="E2024" s="2"/>
      <c r="F2024" s="3"/>
      <c r="G2024" s="2"/>
      <c r="H2024" s="2"/>
      <c r="I2024" s="3"/>
      <c r="J2024" s="3"/>
      <c r="K2024" s="5"/>
      <c r="L2024" s="6"/>
      <c r="M2024" s="6"/>
      <c r="N2024" s="7">
        <f>INSTOCK!$I2024*INSTOCK!$K2024</f>
        <v>0</v>
      </c>
      <c r="O2024" s="2"/>
      <c r="P2024" s="2"/>
    </row>
    <row r="2025" ht="18.0" hidden="1" customHeight="1">
      <c r="A2025" s="1"/>
      <c r="B2025" s="3"/>
      <c r="C2025" s="4"/>
      <c r="D2025" s="2"/>
      <c r="E2025" s="2"/>
      <c r="F2025" s="3"/>
      <c r="G2025" s="2"/>
      <c r="H2025" s="2"/>
      <c r="I2025" s="3"/>
      <c r="J2025" s="3"/>
      <c r="K2025" s="5"/>
      <c r="L2025" s="6"/>
      <c r="M2025" s="6"/>
      <c r="N2025" s="7">
        <f>INSTOCK!$I2025*INSTOCK!$K2025</f>
        <v>0</v>
      </c>
      <c r="O2025" s="2"/>
      <c r="P2025" s="2"/>
    </row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5.89"/>
    <col customWidth="1" min="2" max="2" width="14.33"/>
    <col customWidth="1" min="3" max="3" width="9.44"/>
    <col customWidth="1" min="4" max="4" width="30.22"/>
    <col customWidth="1" min="5" max="5" width="15.11"/>
    <col customWidth="1" min="6" max="6" width="12.44"/>
    <col customWidth="1" min="7" max="26" width="8.89"/>
  </cols>
  <sheetData>
    <row r="1" ht="18.0" customHeight="1">
      <c r="A1" s="44" t="s">
        <v>2584</v>
      </c>
      <c r="B1" s="45"/>
      <c r="C1" s="1"/>
      <c r="D1" s="1"/>
      <c r="E1" s="1"/>
      <c r="F1" s="1"/>
      <c r="G1" s="4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47" t="s">
        <v>0</v>
      </c>
      <c r="B2" s="47" t="s">
        <v>2585</v>
      </c>
      <c r="C2" s="47" t="s">
        <v>2586</v>
      </c>
      <c r="D2" s="47" t="s">
        <v>2587</v>
      </c>
      <c r="E2" s="47" t="s">
        <v>8</v>
      </c>
      <c r="F2" s="47" t="s">
        <v>2588</v>
      </c>
      <c r="G2" s="48" t="s">
        <v>2589</v>
      </c>
      <c r="H2" s="47" t="s">
        <v>2590</v>
      </c>
      <c r="I2" s="47" t="s">
        <v>2591</v>
      </c>
      <c r="J2" s="47" t="s">
        <v>2592</v>
      </c>
      <c r="K2" s="1"/>
      <c r="L2" s="49" t="s">
        <v>2586</v>
      </c>
      <c r="M2" s="1" t="s">
        <v>2593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47">
        <v>1.0</v>
      </c>
      <c r="B3" s="2" t="s">
        <v>2594</v>
      </c>
      <c r="C3" s="50" t="s">
        <v>2595</v>
      </c>
      <c r="D3" s="2" t="s">
        <v>2596</v>
      </c>
      <c r="E3" s="51"/>
      <c r="F3" s="47"/>
      <c r="G3" s="52">
        <f t="array" ref="G3">MAX(IF(INSTOCK!$H$2:$H$2025=B3,INSTOCK!$K$2:$K$2025))</f>
        <v>0</v>
      </c>
      <c r="H3" s="53">
        <f>SUM(IF(INSTOCK!$H$2:$H$2025=B3,INSTOCK!$I$2:$I$2025))</f>
        <v>0</v>
      </c>
      <c r="I3" s="53" t="str">
        <f>SUM(IF([1]!Table13[ID]=B3,[1]!Table13[QTY]))</f>
        <v>#ERROR!</v>
      </c>
      <c r="J3" s="53" t="str">
        <f>TABLEITEM!$H$3:$H$1138-TABLEITEM!$I$3:$I$1138</f>
        <v>#ERROR!</v>
      </c>
      <c r="K3" s="1"/>
      <c r="L3" s="54" t="s">
        <v>1056</v>
      </c>
      <c r="M3" s="1" t="s">
        <v>2597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8.0" customHeight="1">
      <c r="A4" s="47">
        <v>2.0</v>
      </c>
      <c r="B4" s="2" t="s">
        <v>315</v>
      </c>
      <c r="C4" s="2" t="s">
        <v>2595</v>
      </c>
      <c r="D4" s="2" t="s">
        <v>2598</v>
      </c>
      <c r="E4" s="51"/>
      <c r="F4" s="47"/>
      <c r="G4" s="52">
        <f t="array" ref="G4">MAX(IF(INSTOCK!$H$2:$H$2025=B4,INSTOCK!$K$2:$K$2025))</f>
        <v>37.5</v>
      </c>
      <c r="H4" s="53">
        <f>SUM(IF(INSTOCK!$H$2:$H$2025=B4,INSTOCK!$I$2:$I$2025))</f>
        <v>0</v>
      </c>
      <c r="I4" s="53" t="str">
        <f>SUM(IF([1]!Table13[ID]=B4,[1]!Table13[QTY]))</f>
        <v>#ERROR!</v>
      </c>
      <c r="J4" s="53" t="str">
        <f>TABLEITEM!$H$3:$H$1138-TABLEITEM!$I$3:$I$1138</f>
        <v>#ERROR!</v>
      </c>
      <c r="K4" s="1"/>
      <c r="L4" s="54" t="s">
        <v>2599</v>
      </c>
      <c r="M4" s="1" t="s">
        <v>2600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8.0" customHeight="1">
      <c r="A5" s="47">
        <v>3.0</v>
      </c>
      <c r="B5" s="2" t="s">
        <v>2601</v>
      </c>
      <c r="C5" s="2" t="s">
        <v>2595</v>
      </c>
      <c r="D5" s="2" t="s">
        <v>2602</v>
      </c>
      <c r="E5" s="51"/>
      <c r="F5" s="47"/>
      <c r="G5" s="52">
        <f t="array" ref="G5">MAX(IF(INSTOCK!$H$2:$H$2025=B5,INSTOCK!$K$2:$K$2025))</f>
        <v>0</v>
      </c>
      <c r="H5" s="53">
        <f>SUM(IF(INSTOCK!$H$2:$H$2025=B5,INSTOCK!$I$2:$I$2025))</f>
        <v>0</v>
      </c>
      <c r="I5" s="53" t="str">
        <f>SUM(IF([1]!Table13[ID]=B5,[1]!Table13[QTY]))</f>
        <v>#ERROR!</v>
      </c>
      <c r="J5" s="53" t="str">
        <f>TABLEITEM!$H$3:$H$1138-TABLEITEM!$I$3:$I$1138</f>
        <v>#ERROR!</v>
      </c>
      <c r="K5" s="1"/>
      <c r="L5" s="54" t="s">
        <v>2595</v>
      </c>
      <c r="M5" s="1" t="s">
        <v>2603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8.0" customHeight="1">
      <c r="A6" s="47">
        <v>4.0</v>
      </c>
      <c r="B6" s="2" t="s">
        <v>601</v>
      </c>
      <c r="C6" s="2" t="s">
        <v>2595</v>
      </c>
      <c r="D6" s="2" t="s">
        <v>2604</v>
      </c>
      <c r="E6" s="51"/>
      <c r="F6" s="47"/>
      <c r="G6" s="52">
        <f t="array" ref="G6">MAX(IF(INSTOCK!$H$2:$H$2025=B6,INSTOCK!$K$2:$K$2025))</f>
        <v>0</v>
      </c>
      <c r="H6" s="53">
        <f>SUM(IF(INSTOCK!$H$2:$H$2025=B6,INSTOCK!$I$2:$I$2025))</f>
        <v>0</v>
      </c>
      <c r="I6" s="53" t="str">
        <f>SUM(IF([1]!Table13[ID]=B6,[1]!Table13[QTY]))</f>
        <v>#ERROR!</v>
      </c>
      <c r="J6" s="53" t="str">
        <f>TABLEITEM!$H$3:$H$1138-TABLEITEM!$I$3:$I$1138</f>
        <v>#ERROR!</v>
      </c>
      <c r="K6" s="1"/>
      <c r="L6" s="5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8.0" customHeight="1">
      <c r="A7" s="47">
        <v>5.0</v>
      </c>
      <c r="B7" s="2" t="s">
        <v>2605</v>
      </c>
      <c r="C7" s="2" t="s">
        <v>2595</v>
      </c>
      <c r="D7" s="2" t="s">
        <v>2606</v>
      </c>
      <c r="E7" s="51"/>
      <c r="F7" s="47"/>
      <c r="G7" s="52">
        <f t="array" ref="G7">MAX(IF(INSTOCK!$H$2:$H$2025=B7,INSTOCK!$K$2:$K$2025))</f>
        <v>0</v>
      </c>
      <c r="H7" s="53">
        <f>SUM(IF(INSTOCK!$H$2:$H$2025=B7,INSTOCK!$I$2:$I$2025))</f>
        <v>0</v>
      </c>
      <c r="I7" s="53" t="str">
        <f>SUM(IF([1]!Table13[ID]=B7,[1]!Table13[QTY]))</f>
        <v>#ERROR!</v>
      </c>
      <c r="J7" s="53" t="str">
        <f>TABLEITEM!$H$3:$H$1138-TABLEITEM!$I$3:$I$1138</f>
        <v>#ERROR!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8.0" customHeight="1">
      <c r="A8" s="47">
        <v>6.0</v>
      </c>
      <c r="B8" s="2" t="s">
        <v>489</v>
      </c>
      <c r="C8" s="2" t="s">
        <v>2595</v>
      </c>
      <c r="D8" s="2" t="s">
        <v>2607</v>
      </c>
      <c r="E8" s="51"/>
      <c r="F8" s="47"/>
      <c r="G8" s="52">
        <f t="array" ref="G8">MAX(IF(INSTOCK!$H$2:$H$2025=B8,INSTOCK!$K$2:$K$2025))</f>
        <v>0</v>
      </c>
      <c r="H8" s="53">
        <f>SUM(IF(INSTOCK!$H$2:$H$2025=B8,INSTOCK!$I$2:$I$2025))</f>
        <v>0</v>
      </c>
      <c r="I8" s="53" t="str">
        <f>SUM(IF([1]!Table13[ID]=B8,[1]!Table13[QTY]))</f>
        <v>#ERROR!</v>
      </c>
      <c r="J8" s="53" t="str">
        <f>TABLEITEM!$H$3:$H$1138-TABLEITEM!$I$3:$I$1138</f>
        <v>#ERROR!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47">
        <v>7.0</v>
      </c>
      <c r="B9" s="2" t="s">
        <v>1266</v>
      </c>
      <c r="C9" s="2" t="s">
        <v>2595</v>
      </c>
      <c r="D9" s="2" t="s">
        <v>2608</v>
      </c>
      <c r="E9" s="51"/>
      <c r="F9" s="47"/>
      <c r="G9" s="52">
        <f t="array" ref="G9">MAX(IF(INSTOCK!$H$2:$H$2025=B9,INSTOCK!$K$2:$K$2025))</f>
        <v>0</v>
      </c>
      <c r="H9" s="53">
        <f>SUM(IF(INSTOCK!$H$2:$H$2025=B9,INSTOCK!$I$2:$I$2025))</f>
        <v>0</v>
      </c>
      <c r="I9" s="53" t="str">
        <f>SUM(IF([1]!Table13[ID]=B9,[1]!Table13[QTY]))</f>
        <v>#ERROR!</v>
      </c>
      <c r="J9" s="53" t="str">
        <f>TABLEITEM!$H$3:$H$1138-TABLEITEM!$I$3:$I$1138</f>
        <v>#ERROR!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8.0" customHeight="1">
      <c r="A10" s="47">
        <v>8.0</v>
      </c>
      <c r="B10" s="2" t="s">
        <v>1223</v>
      </c>
      <c r="C10" s="2" t="s">
        <v>2595</v>
      </c>
      <c r="D10" s="2" t="s">
        <v>2609</v>
      </c>
      <c r="E10" s="51"/>
      <c r="F10" s="47"/>
      <c r="G10" s="52">
        <f t="array" ref="G10">MAX(IF(INSTOCK!$H$2:$H$2025=B10,INSTOCK!$K$2:$K$2025))</f>
        <v>0</v>
      </c>
      <c r="H10" s="53">
        <f>SUM(IF(INSTOCK!$H$2:$H$2025=B10,INSTOCK!$I$2:$I$2025))</f>
        <v>0</v>
      </c>
      <c r="I10" s="53" t="str">
        <f>SUM(IF([1]!Table13[ID]=B10,[1]!Table13[QTY]))</f>
        <v>#ERROR!</v>
      </c>
      <c r="J10" s="53" t="str">
        <f>TABLEITEM!$H$3:$H$1138-TABLEITEM!$I$3:$I$1138</f>
        <v>#ERROR!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47">
        <v>9.0</v>
      </c>
      <c r="B11" s="2" t="s">
        <v>2610</v>
      </c>
      <c r="C11" s="2" t="s">
        <v>2595</v>
      </c>
      <c r="D11" s="2" t="s">
        <v>2611</v>
      </c>
      <c r="E11" s="51"/>
      <c r="F11" s="47"/>
      <c r="G11" s="52">
        <f t="array" ref="G11">MAX(IF(INSTOCK!$H$2:$H$2025=B11,INSTOCK!$K$2:$K$2025))</f>
        <v>0</v>
      </c>
      <c r="H11" s="53">
        <f>SUM(IF(INSTOCK!$H$2:$H$2025=B11,INSTOCK!$I$2:$I$2025))</f>
        <v>0</v>
      </c>
      <c r="I11" s="53" t="str">
        <f>SUM(IF([1]!Table13[ID]=B11,[1]!Table13[QTY]))</f>
        <v>#ERROR!</v>
      </c>
      <c r="J11" s="53" t="str">
        <f>TABLEITEM!$H$3:$H$1138-TABLEITEM!$I$3:$I$1138</f>
        <v>#ERROR!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47">
        <v>10.0</v>
      </c>
      <c r="B12" s="2" t="s">
        <v>2612</v>
      </c>
      <c r="C12" s="2" t="s">
        <v>2595</v>
      </c>
      <c r="D12" s="2" t="s">
        <v>2613</v>
      </c>
      <c r="E12" s="51"/>
      <c r="F12" s="47"/>
      <c r="G12" s="52">
        <f t="array" ref="G12">MAX(IF(INSTOCK!$H$2:$H$2025=B12,INSTOCK!$K$2:$K$2025))</f>
        <v>0</v>
      </c>
      <c r="H12" s="53">
        <f>SUM(IF(INSTOCK!$H$2:$H$2025=B12,INSTOCK!$I$2:$I$2025))</f>
        <v>0</v>
      </c>
      <c r="I12" s="53" t="str">
        <f>SUM(IF([1]!Table13[ID]=B12,[1]!Table13[QTY]))</f>
        <v>#ERROR!</v>
      </c>
      <c r="J12" s="53" t="str">
        <f>TABLEITEM!$H$3:$H$1138-TABLEITEM!$I$3:$I$1138</f>
        <v>#ERROR!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47">
        <v>11.0</v>
      </c>
      <c r="B13" s="2" t="s">
        <v>2614</v>
      </c>
      <c r="C13" s="2" t="s">
        <v>2595</v>
      </c>
      <c r="D13" s="2" t="s">
        <v>2615</v>
      </c>
      <c r="E13" s="51"/>
      <c r="F13" s="47"/>
      <c r="G13" s="52">
        <f t="array" ref="G13">MAX(IF(INSTOCK!$H$2:$H$2025=B13,INSTOCK!$K$2:$K$2025))</f>
        <v>0</v>
      </c>
      <c r="H13" s="53">
        <f>SUM(IF(INSTOCK!$H$2:$H$2025=B13,INSTOCK!$I$2:$I$2025))</f>
        <v>0</v>
      </c>
      <c r="I13" s="53" t="str">
        <f>SUM(IF([1]!Table13[ID]=B13,[1]!Table13[QTY]))</f>
        <v>#ERROR!</v>
      </c>
      <c r="J13" s="53" t="str">
        <f>TABLEITEM!$H$3:$H$1138-TABLEITEM!$I$3:$I$1138</f>
        <v>#ERROR!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47">
        <v>12.0</v>
      </c>
      <c r="B14" s="2" t="s">
        <v>2616</v>
      </c>
      <c r="C14" s="2" t="s">
        <v>2595</v>
      </c>
      <c r="D14" s="2" t="s">
        <v>2617</v>
      </c>
      <c r="E14" s="51"/>
      <c r="F14" s="47"/>
      <c r="G14" s="52">
        <f t="array" ref="G14">MAX(IF(INSTOCK!$H$2:$H$2025=B14,INSTOCK!$K$2:$K$2025))</f>
        <v>0</v>
      </c>
      <c r="H14" s="53">
        <f>SUM(IF(INSTOCK!$H$2:$H$2025=B14,INSTOCK!$I$2:$I$2025))</f>
        <v>0</v>
      </c>
      <c r="I14" s="53" t="str">
        <f>SUM(IF([1]!Table13[ID]=B14,[1]!Table13[QTY]))</f>
        <v>#ERROR!</v>
      </c>
      <c r="J14" s="53" t="str">
        <f>TABLEITEM!$H$3:$H$1138-TABLEITEM!$I$3:$I$1138</f>
        <v>#ERROR!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47">
        <v>13.0</v>
      </c>
      <c r="B15" s="2" t="s">
        <v>1267</v>
      </c>
      <c r="C15" s="2" t="s">
        <v>2595</v>
      </c>
      <c r="D15" s="2" t="s">
        <v>2618</v>
      </c>
      <c r="E15" s="51"/>
      <c r="F15" s="47"/>
      <c r="G15" s="52">
        <f t="array" ref="G15">MAX(IF(INSTOCK!$H$2:$H$2025=B15,INSTOCK!$K$2:$K$2025))</f>
        <v>0</v>
      </c>
      <c r="H15" s="53">
        <f>SUM(IF(INSTOCK!$H$2:$H$2025=B15,INSTOCK!$I$2:$I$2025))</f>
        <v>0</v>
      </c>
      <c r="I15" s="53" t="str">
        <f>SUM(IF([1]!Table13[ID]=B15,[1]!Table13[QTY]))</f>
        <v>#ERROR!</v>
      </c>
      <c r="J15" s="53" t="str">
        <f>TABLEITEM!$H$3:$H$1138-TABLEITEM!$I$3:$I$1138</f>
        <v>#ERROR!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47">
        <v>14.0</v>
      </c>
      <c r="B16" s="2" t="s">
        <v>2619</v>
      </c>
      <c r="C16" s="2" t="s">
        <v>2595</v>
      </c>
      <c r="D16" s="2" t="s">
        <v>2620</v>
      </c>
      <c r="E16" s="51"/>
      <c r="F16" s="47"/>
      <c r="G16" s="52">
        <f t="array" ref="G16">MAX(IF(INSTOCK!$H$2:$H$2025=B16,INSTOCK!$K$2:$K$2025))</f>
        <v>0</v>
      </c>
      <c r="H16" s="53">
        <f>SUM(IF(INSTOCK!$H$2:$H$2025=B16,INSTOCK!$I$2:$I$2025))</f>
        <v>0</v>
      </c>
      <c r="I16" s="53" t="str">
        <f>SUM(IF([1]!Table13[ID]=B16,[1]!Table13[QTY]))</f>
        <v>#ERROR!</v>
      </c>
      <c r="J16" s="53" t="str">
        <f>TABLEITEM!$H$3:$H$1138-TABLEITEM!$I$3:$I$1138</f>
        <v>#ERROR!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47">
        <v>15.0</v>
      </c>
      <c r="B17" s="2" t="s">
        <v>2621</v>
      </c>
      <c r="C17" s="2" t="s">
        <v>2595</v>
      </c>
      <c r="D17" s="2" t="s">
        <v>2622</v>
      </c>
      <c r="E17" s="51"/>
      <c r="F17" s="47"/>
      <c r="G17" s="52">
        <f t="array" ref="G17">MAX(IF(INSTOCK!$H$2:$H$2025=B17,INSTOCK!$K$2:$K$2025))</f>
        <v>0</v>
      </c>
      <c r="H17" s="53">
        <f>SUM(IF(INSTOCK!$H$2:$H$2025=B17,INSTOCK!$I$2:$I$2025))</f>
        <v>0</v>
      </c>
      <c r="I17" s="53" t="str">
        <f>SUM(IF([1]!Table13[ID]=B17,[1]!Table13[QTY]))</f>
        <v>#ERROR!</v>
      </c>
      <c r="J17" s="53" t="str">
        <f>TABLEITEM!$H$3:$H$1138-TABLEITEM!$I$3:$I$1138</f>
        <v>#ERROR!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47">
        <v>16.0</v>
      </c>
      <c r="B18" s="2" t="s">
        <v>2623</v>
      </c>
      <c r="C18" s="2" t="s">
        <v>2595</v>
      </c>
      <c r="D18" s="2" t="s">
        <v>2624</v>
      </c>
      <c r="E18" s="51"/>
      <c r="F18" s="47"/>
      <c r="G18" s="52">
        <f t="array" ref="G18">MAX(IF(INSTOCK!$H$2:$H$2025=B18,INSTOCK!$K$2:$K$2025))</f>
        <v>0</v>
      </c>
      <c r="H18" s="53">
        <f>SUM(IF(INSTOCK!$H$2:$H$2025=B18,INSTOCK!$I$2:$I$2025))</f>
        <v>0</v>
      </c>
      <c r="I18" s="53" t="str">
        <f>SUM(IF([1]!Table13[ID]=B18,[1]!Table13[QTY]))</f>
        <v>#ERROR!</v>
      </c>
      <c r="J18" s="53" t="str">
        <f>TABLEITEM!$H$3:$H$1138-TABLEITEM!$I$3:$I$1138</f>
        <v>#ERROR!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47">
        <v>17.0</v>
      </c>
      <c r="B19" s="2" t="s">
        <v>2625</v>
      </c>
      <c r="C19" s="2" t="s">
        <v>2595</v>
      </c>
      <c r="D19" s="2" t="s">
        <v>2626</v>
      </c>
      <c r="E19" s="51"/>
      <c r="F19" s="47"/>
      <c r="G19" s="52">
        <f t="array" ref="G19">MAX(IF(INSTOCK!$H$2:$H$2025=B19,INSTOCK!$K$2:$K$2025))</f>
        <v>0</v>
      </c>
      <c r="H19" s="53">
        <f>SUM(IF(INSTOCK!$H$2:$H$2025=B19,INSTOCK!$I$2:$I$2025))</f>
        <v>0</v>
      </c>
      <c r="I19" s="53" t="str">
        <f>SUM(IF([1]!Table13[ID]=B19,[1]!Table13[QTY]))</f>
        <v>#ERROR!</v>
      </c>
      <c r="J19" s="53" t="str">
        <f>TABLEITEM!$H$3:$H$1138-TABLEITEM!$I$3:$I$1138</f>
        <v>#ERROR!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47">
        <v>18.0</v>
      </c>
      <c r="B20" s="2" t="s">
        <v>686</v>
      </c>
      <c r="C20" s="2" t="s">
        <v>2595</v>
      </c>
      <c r="D20" s="2" t="s">
        <v>2627</v>
      </c>
      <c r="E20" s="51"/>
      <c r="F20" s="47"/>
      <c r="G20" s="52">
        <f t="array" ref="G20">MAX(IF(INSTOCK!$H$2:$H$2025=B20,INSTOCK!$K$2:$K$2025))</f>
        <v>0</v>
      </c>
      <c r="H20" s="53">
        <f>SUM(IF(INSTOCK!$H$2:$H$2025=B20,INSTOCK!$I$2:$I$2025))</f>
        <v>0</v>
      </c>
      <c r="I20" s="53" t="str">
        <f>SUM(IF([1]!Table13[ID]=B20,[1]!Table13[QTY]))</f>
        <v>#ERROR!</v>
      </c>
      <c r="J20" s="53" t="str">
        <f>TABLEITEM!$H$3:$H$1138-TABLEITEM!$I$3:$I$1138</f>
        <v>#ERROR!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47">
        <v>19.0</v>
      </c>
      <c r="B21" s="2" t="s">
        <v>2628</v>
      </c>
      <c r="C21" s="2" t="s">
        <v>2595</v>
      </c>
      <c r="D21" s="2" t="s">
        <v>2629</v>
      </c>
      <c r="E21" s="51"/>
      <c r="F21" s="47"/>
      <c r="G21" s="52">
        <f t="array" ref="G21">MAX(IF(INSTOCK!$H$2:$H$2025=B21,INSTOCK!$K$2:$K$2025))</f>
        <v>0</v>
      </c>
      <c r="H21" s="53">
        <f>SUM(IF(INSTOCK!$H$2:$H$2025=B21,INSTOCK!$I$2:$I$2025))</f>
        <v>0</v>
      </c>
      <c r="I21" s="53" t="str">
        <f>SUM(IF([1]!Table13[ID]=B21,[1]!Table13[QTY]))</f>
        <v>#ERROR!</v>
      </c>
      <c r="J21" s="53" t="str">
        <f>TABLEITEM!$H$3:$H$1138-TABLEITEM!$I$3:$I$1138</f>
        <v>#ERROR!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47">
        <v>20.0</v>
      </c>
      <c r="B22" s="2" t="s">
        <v>550</v>
      </c>
      <c r="C22" s="2" t="s">
        <v>2595</v>
      </c>
      <c r="D22" s="2" t="s">
        <v>2630</v>
      </c>
      <c r="E22" s="51"/>
      <c r="F22" s="47"/>
      <c r="G22" s="52">
        <f t="array" ref="G22">MAX(IF(INSTOCK!$H$2:$H$2025=B22,INSTOCK!$K$2:$K$2025))</f>
        <v>0</v>
      </c>
      <c r="H22" s="53">
        <f>SUM(IF(INSTOCK!$H$2:$H$2025=B22,INSTOCK!$I$2:$I$2025))</f>
        <v>0</v>
      </c>
      <c r="I22" s="53" t="str">
        <f>SUM(IF([1]!Table13[ID]=B22,[1]!Table13[QTY]))</f>
        <v>#ERROR!</v>
      </c>
      <c r="J22" s="53" t="str">
        <f>TABLEITEM!$H$3:$H$1138-TABLEITEM!$I$3:$I$1138</f>
        <v>#ERROR!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8.0" customHeight="1">
      <c r="A23" s="47">
        <v>21.0</v>
      </c>
      <c r="B23" s="2" t="s">
        <v>556</v>
      </c>
      <c r="C23" s="2" t="s">
        <v>2595</v>
      </c>
      <c r="D23" s="2" t="s">
        <v>2631</v>
      </c>
      <c r="E23" s="51"/>
      <c r="F23" s="47"/>
      <c r="G23" s="52">
        <f t="array" ref="G23">MAX(IF(INSTOCK!$H$2:$H$2025=B23,INSTOCK!$K$2:$K$2025))</f>
        <v>0</v>
      </c>
      <c r="H23" s="53">
        <f>SUM(IF(INSTOCK!$H$2:$H$2025=B23,INSTOCK!$I$2:$I$2025))</f>
        <v>0</v>
      </c>
      <c r="I23" s="53" t="str">
        <f>SUM(IF([1]!Table13[ID]=B23,[1]!Table13[QTY]))</f>
        <v>#ERROR!</v>
      </c>
      <c r="J23" s="53" t="str">
        <f>TABLEITEM!$H$3:$H$1138-TABLEITEM!$I$3:$I$1138</f>
        <v>#ERROR!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47">
        <v>22.0</v>
      </c>
      <c r="B24" s="2" t="s">
        <v>515</v>
      </c>
      <c r="C24" s="2" t="s">
        <v>2595</v>
      </c>
      <c r="D24" s="2" t="s">
        <v>2632</v>
      </c>
      <c r="E24" s="51"/>
      <c r="F24" s="47"/>
      <c r="G24" s="52">
        <f t="array" ref="G24">MAX(IF(INSTOCK!$H$2:$H$2025=B24,INSTOCK!$K$2:$K$2025))</f>
        <v>0</v>
      </c>
      <c r="H24" s="53">
        <f>SUM(IF(INSTOCK!$H$2:$H$2025=B24,INSTOCK!$I$2:$I$2025))</f>
        <v>0</v>
      </c>
      <c r="I24" s="53" t="str">
        <f>SUM(IF([1]!Table13[ID]=B24,[1]!Table13[QTY]))</f>
        <v>#ERROR!</v>
      </c>
      <c r="J24" s="53" t="str">
        <f>TABLEITEM!$H$3:$H$1138-TABLEITEM!$I$3:$I$1138</f>
        <v>#ERROR!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47">
        <v>23.0</v>
      </c>
      <c r="B25" s="2" t="s">
        <v>530</v>
      </c>
      <c r="C25" s="2" t="s">
        <v>2595</v>
      </c>
      <c r="D25" s="2" t="s">
        <v>2633</v>
      </c>
      <c r="E25" s="51"/>
      <c r="F25" s="47"/>
      <c r="G25" s="52">
        <f t="array" ref="G25">MAX(IF(INSTOCK!$H$2:$H$2025=B25,INSTOCK!$K$2:$K$2025))</f>
        <v>0</v>
      </c>
      <c r="H25" s="53">
        <f>SUM(IF(INSTOCK!$H$2:$H$2025=B25,INSTOCK!$I$2:$I$2025))</f>
        <v>0</v>
      </c>
      <c r="I25" s="53" t="str">
        <f>SUM(IF([1]!Table13[ID]=B25,[1]!Table13[QTY]))</f>
        <v>#ERROR!</v>
      </c>
      <c r="J25" s="53" t="str">
        <f>TABLEITEM!$H$3:$H$1138-TABLEITEM!$I$3:$I$1138</f>
        <v>#ERROR!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47">
        <v>24.0</v>
      </c>
      <c r="B26" s="2" t="s">
        <v>2634</v>
      </c>
      <c r="C26" s="2" t="s">
        <v>2595</v>
      </c>
      <c r="D26" s="2" t="s">
        <v>2635</v>
      </c>
      <c r="E26" s="51"/>
      <c r="F26" s="47"/>
      <c r="G26" s="52">
        <f t="array" ref="G26">MAX(IF(INSTOCK!$H$2:$H$2025=B26,INSTOCK!$K$2:$K$2025))</f>
        <v>0</v>
      </c>
      <c r="H26" s="53">
        <f>SUM(IF(INSTOCK!$H$2:$H$2025=B26,INSTOCK!$I$2:$I$2025))</f>
        <v>0</v>
      </c>
      <c r="I26" s="53" t="str">
        <f>SUM(IF([1]!Table13[ID]=B26,[1]!Table13[QTY]))</f>
        <v>#ERROR!</v>
      </c>
      <c r="J26" s="53" t="str">
        <f>TABLEITEM!$H$3:$H$1138-TABLEITEM!$I$3:$I$1138</f>
        <v>#ERROR!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47">
        <v>25.0</v>
      </c>
      <c r="B27" s="2" t="s">
        <v>2636</v>
      </c>
      <c r="C27" s="2" t="s">
        <v>2595</v>
      </c>
      <c r="D27" s="2" t="s">
        <v>2637</v>
      </c>
      <c r="E27" s="51"/>
      <c r="F27" s="47"/>
      <c r="G27" s="52">
        <f t="array" ref="G27">MAX(IF(INSTOCK!$H$2:$H$2025=B27,INSTOCK!$K$2:$K$2025))</f>
        <v>0</v>
      </c>
      <c r="H27" s="53">
        <f>SUM(IF(INSTOCK!$H$2:$H$2025=B27,INSTOCK!$I$2:$I$2025))</f>
        <v>0</v>
      </c>
      <c r="I27" s="53" t="str">
        <f>SUM(IF([1]!Table13[ID]=B27,[1]!Table13[QTY]))</f>
        <v>#ERROR!</v>
      </c>
      <c r="J27" s="53" t="str">
        <f>TABLEITEM!$H$3:$H$1138-TABLEITEM!$I$3:$I$1138</f>
        <v>#ERROR!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47">
        <v>26.0</v>
      </c>
      <c r="B28" s="2" t="s">
        <v>74</v>
      </c>
      <c r="C28" s="2" t="s">
        <v>2595</v>
      </c>
      <c r="D28" s="2" t="s">
        <v>2638</v>
      </c>
      <c r="E28" s="51"/>
      <c r="F28" s="47"/>
      <c r="G28" s="52">
        <f t="array" ref="G28">MAX(IF(INSTOCK!$H$2:$H$2025=B28,INSTOCK!$K$2:$K$2025))</f>
        <v>1500</v>
      </c>
      <c r="H28" s="53">
        <f>SUM(IF(INSTOCK!$H$2:$H$2025=B28,INSTOCK!$I$2:$I$2025))</f>
        <v>0</v>
      </c>
      <c r="I28" s="53" t="str">
        <f>SUM(IF([1]!Table13[ID]=B28,[1]!Table13[QTY]))</f>
        <v>#ERROR!</v>
      </c>
      <c r="J28" s="53" t="str">
        <f>TABLEITEM!$H$3:$H$1138-TABLEITEM!$I$3:$I$1138</f>
        <v>#ERROR!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47">
        <v>27.0</v>
      </c>
      <c r="B29" s="2" t="s">
        <v>2639</v>
      </c>
      <c r="C29" s="2" t="s">
        <v>2595</v>
      </c>
      <c r="D29" s="2" t="s">
        <v>2640</v>
      </c>
      <c r="E29" s="51"/>
      <c r="F29" s="47"/>
      <c r="G29" s="52">
        <f t="array" ref="G29">MAX(IF(INSTOCK!$H$2:$H$2025=B29,INSTOCK!$K$2:$K$2025))</f>
        <v>0</v>
      </c>
      <c r="H29" s="53">
        <f>SUM(IF(INSTOCK!$H$2:$H$2025=B29,INSTOCK!$I$2:$I$2025))</f>
        <v>0</v>
      </c>
      <c r="I29" s="53" t="str">
        <f>SUM(IF([1]!Table13[ID]=B29,[1]!Table13[QTY]))</f>
        <v>#ERROR!</v>
      </c>
      <c r="J29" s="53" t="str">
        <f>TABLEITEM!$H$3:$H$1138-TABLEITEM!$I$3:$I$1138</f>
        <v>#ERROR!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47">
        <v>28.0</v>
      </c>
      <c r="B30" s="2" t="s">
        <v>2641</v>
      </c>
      <c r="C30" s="2" t="s">
        <v>2595</v>
      </c>
      <c r="D30" s="2" t="s">
        <v>2642</v>
      </c>
      <c r="E30" s="51"/>
      <c r="F30" s="47"/>
      <c r="G30" s="52">
        <f t="array" ref="G30">MAX(IF(INSTOCK!$H$2:$H$2025=B30,INSTOCK!$K$2:$K$2025))</f>
        <v>0</v>
      </c>
      <c r="H30" s="53">
        <f>SUM(IF(INSTOCK!$H$2:$H$2025=B30,INSTOCK!$I$2:$I$2025))</f>
        <v>0</v>
      </c>
      <c r="I30" s="53" t="str">
        <f>SUM(IF([1]!Table13[ID]=B30,[1]!Table13[QTY]))</f>
        <v>#ERROR!</v>
      </c>
      <c r="J30" s="53" t="str">
        <f>TABLEITEM!$H$3:$H$1138-TABLEITEM!$I$3:$I$1138</f>
        <v>#ERROR!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47">
        <v>29.0</v>
      </c>
      <c r="B31" s="2" t="s">
        <v>2643</v>
      </c>
      <c r="C31" s="2" t="s">
        <v>2595</v>
      </c>
      <c r="D31" s="2" t="s">
        <v>2644</v>
      </c>
      <c r="E31" s="51"/>
      <c r="F31" s="47"/>
      <c r="G31" s="52">
        <f t="array" ref="G31">MAX(IF(INSTOCK!$H$2:$H$2025=B31,INSTOCK!$K$2:$K$2025))</f>
        <v>0</v>
      </c>
      <c r="H31" s="53">
        <f>SUM(IF(INSTOCK!$H$2:$H$2025=B31,INSTOCK!$I$2:$I$2025))</f>
        <v>0</v>
      </c>
      <c r="I31" s="53" t="str">
        <f>SUM(IF([1]!Table13[ID]=B31,[1]!Table13[QTY]))</f>
        <v>#ERROR!</v>
      </c>
      <c r="J31" s="53" t="str">
        <f>TABLEITEM!$H$3:$H$1138-TABLEITEM!$I$3:$I$1138</f>
        <v>#ERROR!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47">
        <v>30.0</v>
      </c>
      <c r="B32" s="2" t="s">
        <v>694</v>
      </c>
      <c r="C32" s="2" t="s">
        <v>2595</v>
      </c>
      <c r="D32" s="2" t="s">
        <v>2645</v>
      </c>
      <c r="E32" s="51"/>
      <c r="F32" s="47"/>
      <c r="G32" s="52">
        <f t="array" ref="G32">MAX(IF(INSTOCK!$H$2:$H$2025=B32,INSTOCK!$K$2:$K$2025))</f>
        <v>2480</v>
      </c>
      <c r="H32" s="53">
        <f>SUM(IF(INSTOCK!$H$2:$H$2025=B32,INSTOCK!$I$2:$I$2025))</f>
        <v>0</v>
      </c>
      <c r="I32" s="53" t="str">
        <f>SUM(IF([1]!Table13[ID]=B32,[1]!Table13[QTY]))</f>
        <v>#ERROR!</v>
      </c>
      <c r="J32" s="53" t="str">
        <f>TABLEITEM!$H$3:$H$1138-TABLEITEM!$I$3:$I$1138</f>
        <v>#ERROR!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47">
        <v>31.0</v>
      </c>
      <c r="B33" s="2" t="s">
        <v>2646</v>
      </c>
      <c r="C33" s="2" t="s">
        <v>2595</v>
      </c>
      <c r="D33" s="2" t="s">
        <v>2647</v>
      </c>
      <c r="E33" s="51"/>
      <c r="F33" s="47"/>
      <c r="G33" s="52">
        <f t="array" ref="G33">MAX(IF(INSTOCK!$H$2:$H$2025=B33,INSTOCK!$K$2:$K$2025))</f>
        <v>0</v>
      </c>
      <c r="H33" s="53">
        <f>SUM(IF(INSTOCK!$H$2:$H$2025=B33,INSTOCK!$I$2:$I$2025))</f>
        <v>0</v>
      </c>
      <c r="I33" s="53" t="str">
        <f>SUM(IF([1]!Table13[ID]=B33,[1]!Table13[QTY]))</f>
        <v>#ERROR!</v>
      </c>
      <c r="J33" s="53" t="str">
        <f>TABLEITEM!$H$3:$H$1138-TABLEITEM!$I$3:$I$1138</f>
        <v>#ERROR!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47">
        <v>32.0</v>
      </c>
      <c r="B34" s="2" t="s">
        <v>2648</v>
      </c>
      <c r="C34" s="2" t="s">
        <v>2595</v>
      </c>
      <c r="D34" s="2" t="s">
        <v>2649</v>
      </c>
      <c r="E34" s="51"/>
      <c r="F34" s="47"/>
      <c r="G34" s="52">
        <f t="array" ref="G34">MAX(IF(INSTOCK!$H$2:$H$2025=B34,INSTOCK!$K$2:$K$2025))</f>
        <v>0</v>
      </c>
      <c r="H34" s="53">
        <f>SUM(IF(INSTOCK!$H$2:$H$2025=B34,INSTOCK!$I$2:$I$2025))</f>
        <v>0</v>
      </c>
      <c r="I34" s="53" t="str">
        <f>SUM(IF([1]!Table13[ID]=B34,[1]!Table13[QTY]))</f>
        <v>#ERROR!</v>
      </c>
      <c r="J34" s="53" t="str">
        <f>TABLEITEM!$H$3:$H$1138-TABLEITEM!$I$3:$I$1138</f>
        <v>#ERROR!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7.25" customHeight="1">
      <c r="A35" s="47"/>
      <c r="B35" s="2"/>
      <c r="C35" s="2"/>
      <c r="D35" s="2"/>
      <c r="E35" s="51"/>
      <c r="F35" s="47"/>
      <c r="G35" s="52"/>
      <c r="H35" s="53"/>
      <c r="I35" s="53"/>
      <c r="J35" s="5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hidden="1" customHeight="1">
      <c r="A36" s="47">
        <v>34.0</v>
      </c>
      <c r="B36" s="2" t="s">
        <v>2195</v>
      </c>
      <c r="C36" s="2" t="s">
        <v>2595</v>
      </c>
      <c r="D36" s="2" t="s">
        <v>2650</v>
      </c>
      <c r="E36" s="51"/>
      <c r="F36" s="47"/>
      <c r="G36" s="52">
        <f t="array" ref="G36">MAX(IF(INSTOCK!$H$2:$H$2025=B36,INSTOCK!$K$2:$K$2025))</f>
        <v>0</v>
      </c>
      <c r="H36" s="53">
        <f>SUM(IF(INSTOCK!$H$2:$H$2025=B36,INSTOCK!$I$2:$I$2025))</f>
        <v>0</v>
      </c>
      <c r="I36" s="53" t="str">
        <f>SUM(IF([1]!Table13[ID]=B36,[1]!Table13[QTY]))</f>
        <v>#ERROR!</v>
      </c>
      <c r="J36" s="53" t="str">
        <f>TABLEITEM!$H$3:$H$1138-TABLEITEM!$I$3:$I$1138</f>
        <v>#ERROR!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hidden="1" customHeight="1">
      <c r="A37" s="47">
        <v>35.0</v>
      </c>
      <c r="B37" s="2" t="s">
        <v>2651</v>
      </c>
      <c r="C37" s="2" t="s">
        <v>2595</v>
      </c>
      <c r="D37" s="2" t="s">
        <v>2652</v>
      </c>
      <c r="E37" s="51"/>
      <c r="F37" s="47"/>
      <c r="G37" s="52">
        <f t="array" ref="G37">MAX(IF(INSTOCK!$H$2:$H$2025=B37,INSTOCK!$K$2:$K$2025))</f>
        <v>0</v>
      </c>
      <c r="H37" s="53">
        <f>SUM(IF(INSTOCK!$H$2:$H$2025=B37,INSTOCK!$I$2:$I$2025))</f>
        <v>0</v>
      </c>
      <c r="I37" s="53" t="str">
        <f>SUM(IF([1]!Table13[ID]=B37,[1]!Table13[QTY]))</f>
        <v>#ERROR!</v>
      </c>
      <c r="J37" s="53" t="str">
        <f>TABLEITEM!$H$3:$H$1138-TABLEITEM!$I$3:$I$1138</f>
        <v>#ERROR!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hidden="1" customHeight="1">
      <c r="A38" s="47">
        <v>36.0</v>
      </c>
      <c r="B38" s="2" t="s">
        <v>2653</v>
      </c>
      <c r="C38" s="2" t="s">
        <v>2595</v>
      </c>
      <c r="D38" s="2" t="s">
        <v>2654</v>
      </c>
      <c r="E38" s="51"/>
      <c r="F38" s="47"/>
      <c r="G38" s="52">
        <f t="array" ref="G38">MAX(IF(INSTOCK!$H$2:$H$2025=B38,INSTOCK!$K$2:$K$2025))</f>
        <v>0</v>
      </c>
      <c r="H38" s="53">
        <f>SUM(IF(INSTOCK!$H$2:$H$2025=B38,INSTOCK!$I$2:$I$2025))</f>
        <v>0</v>
      </c>
      <c r="I38" s="53" t="str">
        <f>SUM(IF([1]!Table13[ID]=B38,[1]!Table13[QTY]))</f>
        <v>#ERROR!</v>
      </c>
      <c r="J38" s="53" t="str">
        <f>TABLEITEM!$H$3:$H$1138-TABLEITEM!$I$3:$I$1138</f>
        <v>#ERROR!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hidden="1" customHeight="1">
      <c r="A39" s="47">
        <v>37.0</v>
      </c>
      <c r="B39" s="2" t="s">
        <v>2655</v>
      </c>
      <c r="C39" s="2" t="s">
        <v>2595</v>
      </c>
      <c r="D39" s="2" t="s">
        <v>2656</v>
      </c>
      <c r="E39" s="51"/>
      <c r="F39" s="47"/>
      <c r="G39" s="52">
        <f t="array" ref="G39">MAX(IF(INSTOCK!$H$2:$H$2025=B39,INSTOCK!$K$2:$K$2025))</f>
        <v>0</v>
      </c>
      <c r="H39" s="53">
        <f>SUM(IF(INSTOCK!$H$2:$H$2025=B39,INSTOCK!$I$2:$I$2025))</f>
        <v>0</v>
      </c>
      <c r="I39" s="53" t="str">
        <f>SUM(IF([1]!Table13[ID]=B39,[1]!Table13[QTY]))</f>
        <v>#ERROR!</v>
      </c>
      <c r="J39" s="53" t="str">
        <f>TABLEITEM!$H$3:$H$1138-TABLEITEM!$I$3:$I$1138</f>
        <v>#ERROR!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hidden="1" customHeight="1">
      <c r="A40" s="47">
        <v>38.0</v>
      </c>
      <c r="B40" s="2" t="s">
        <v>360</v>
      </c>
      <c r="C40" s="2" t="s">
        <v>2595</v>
      </c>
      <c r="D40" s="2" t="s">
        <v>2657</v>
      </c>
      <c r="E40" s="51"/>
      <c r="F40" s="47"/>
      <c r="G40" s="52">
        <f t="array" ref="G40">MAX(IF(INSTOCK!$H$2:$H$2025=B40,INSTOCK!$K$2:$K$2025))</f>
        <v>440</v>
      </c>
      <c r="H40" s="53">
        <f>SUM(IF(INSTOCK!$H$2:$H$2025=B40,INSTOCK!$I$2:$I$2025))</f>
        <v>0</v>
      </c>
      <c r="I40" s="53" t="str">
        <f>SUM(IF([1]!Table13[ID]=B40,[1]!Table13[QTY]))</f>
        <v>#ERROR!</v>
      </c>
      <c r="J40" s="53" t="str">
        <f>TABLEITEM!$H$3:$H$1138-TABLEITEM!$I$3:$I$1138</f>
        <v>#ERROR!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hidden="1" customHeight="1">
      <c r="A41" s="47">
        <v>39.0</v>
      </c>
      <c r="B41" s="2" t="s">
        <v>75</v>
      </c>
      <c r="C41" s="2" t="s">
        <v>2595</v>
      </c>
      <c r="D41" s="2" t="s">
        <v>2658</v>
      </c>
      <c r="E41" s="51" t="s">
        <v>2659</v>
      </c>
      <c r="F41" s="47"/>
      <c r="G41" s="52">
        <f t="array" ref="G41">MAX(IF(INSTOCK!$H$2:$H$2025=B41,INSTOCK!$K$2:$K$2025))</f>
        <v>3500</v>
      </c>
      <c r="H41" s="53">
        <f>SUM(IF(INSTOCK!$H$2:$H$2025=B41,INSTOCK!$I$2:$I$2025))</f>
        <v>0</v>
      </c>
      <c r="I41" s="53" t="str">
        <f>SUM(IF([1]!Table13[ID]=B41,[1]!Table13[QTY]))</f>
        <v>#ERROR!</v>
      </c>
      <c r="J41" s="53" t="str">
        <f>TABLEITEM!$H$3:$H$1138-TABLEITEM!$I$3:$I$1138</f>
        <v>#ERROR!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hidden="1" customHeight="1">
      <c r="A42" s="47">
        <v>40.0</v>
      </c>
      <c r="B42" s="2" t="s">
        <v>1489</v>
      </c>
      <c r="C42" s="2" t="s">
        <v>2595</v>
      </c>
      <c r="D42" s="2" t="s">
        <v>2660</v>
      </c>
      <c r="E42" s="51"/>
      <c r="F42" s="47"/>
      <c r="G42" s="52">
        <f t="array" ref="G42">MAX(IF(INSTOCK!$H$2:$H$2025=B42,INSTOCK!$K$2:$K$2025))</f>
        <v>0</v>
      </c>
      <c r="H42" s="53">
        <f>SUM(IF(INSTOCK!$H$2:$H$2025=B42,INSTOCK!$I$2:$I$2025))</f>
        <v>0</v>
      </c>
      <c r="I42" s="53" t="str">
        <f>SUM(IF([1]!Table13[ID]=B42,[1]!Table13[QTY]))</f>
        <v>#ERROR!</v>
      </c>
      <c r="J42" s="53" t="str">
        <f>TABLEITEM!$H$3:$H$1138-TABLEITEM!$I$3:$I$1138</f>
        <v>#ERROR!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hidden="1" customHeight="1">
      <c r="A43" s="47">
        <v>41.0</v>
      </c>
      <c r="B43" s="2" t="s">
        <v>2661</v>
      </c>
      <c r="C43" s="2" t="s">
        <v>2595</v>
      </c>
      <c r="D43" s="2" t="s">
        <v>2662</v>
      </c>
      <c r="E43" s="51"/>
      <c r="F43" s="47"/>
      <c r="G43" s="52">
        <f t="array" ref="G43">MAX(IF(INSTOCK!$H$2:$H$2025=B43,INSTOCK!$K$2:$K$2025))</f>
        <v>0</v>
      </c>
      <c r="H43" s="53">
        <f>SUM(IF(INSTOCK!$H$2:$H$2025=B43,INSTOCK!$I$2:$I$2025))</f>
        <v>0</v>
      </c>
      <c r="I43" s="53" t="str">
        <f>SUM(IF([1]!Table13[ID]=B43,[1]!Table13[QTY]))</f>
        <v>#ERROR!</v>
      </c>
      <c r="J43" s="53" t="str">
        <f>TABLEITEM!$H$3:$H$1138-TABLEITEM!$I$3:$I$1138</f>
        <v>#ERROR!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hidden="1" customHeight="1">
      <c r="A44" s="47">
        <v>42.0</v>
      </c>
      <c r="B44" s="2" t="s">
        <v>2663</v>
      </c>
      <c r="C44" s="2" t="s">
        <v>2595</v>
      </c>
      <c r="D44" s="2" t="s">
        <v>2664</v>
      </c>
      <c r="E44" s="51"/>
      <c r="F44" s="47"/>
      <c r="G44" s="52">
        <f t="array" ref="G44">MAX(IF(INSTOCK!$H$2:$H$2025=B44,INSTOCK!$K$2:$K$2025))</f>
        <v>0</v>
      </c>
      <c r="H44" s="53">
        <f>SUM(IF(INSTOCK!$H$2:$H$2025=B44,INSTOCK!$I$2:$I$2025))</f>
        <v>0</v>
      </c>
      <c r="I44" s="53" t="str">
        <f>SUM(IF([1]!Table13[ID]=B44,[1]!Table13[QTY]))</f>
        <v>#ERROR!</v>
      </c>
      <c r="J44" s="53" t="str">
        <f>TABLEITEM!$H$3:$H$1138-TABLEITEM!$I$3:$I$1138</f>
        <v>#ERROR!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hidden="1" customHeight="1">
      <c r="A45" s="47">
        <v>43.0</v>
      </c>
      <c r="B45" s="2" t="s">
        <v>498</v>
      </c>
      <c r="C45" s="2" t="s">
        <v>2595</v>
      </c>
      <c r="D45" s="2" t="s">
        <v>2665</v>
      </c>
      <c r="E45" s="51"/>
      <c r="F45" s="47"/>
      <c r="G45" s="52">
        <f t="array" ref="G45">MAX(IF(INSTOCK!$H$2:$H$2025=B45,INSTOCK!$K$2:$K$2025))</f>
        <v>0</v>
      </c>
      <c r="H45" s="53">
        <f>SUM(IF(INSTOCK!$H$2:$H$2025=B45,INSTOCK!$I$2:$I$2025))</f>
        <v>0</v>
      </c>
      <c r="I45" s="53" t="str">
        <f>SUM(IF([1]!Table13[ID]=B45,[1]!Table13[QTY]))</f>
        <v>#ERROR!</v>
      </c>
      <c r="J45" s="53" t="str">
        <f>TABLEITEM!$H$3:$H$1138-TABLEITEM!$I$3:$I$1138</f>
        <v>#ERROR!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hidden="1" customHeight="1">
      <c r="A46" s="47">
        <v>44.0</v>
      </c>
      <c r="B46" s="2" t="s">
        <v>2666</v>
      </c>
      <c r="C46" s="2" t="s">
        <v>2595</v>
      </c>
      <c r="D46" s="2" t="s">
        <v>2667</v>
      </c>
      <c r="E46" s="51"/>
      <c r="F46" s="47"/>
      <c r="G46" s="52">
        <f t="array" ref="G46">MAX(IF(INSTOCK!$H$2:$H$2025=B46,INSTOCK!$K$2:$K$2025))</f>
        <v>0</v>
      </c>
      <c r="H46" s="53">
        <f>SUM(IF(INSTOCK!$H$2:$H$2025=B46,INSTOCK!$I$2:$I$2025))</f>
        <v>0</v>
      </c>
      <c r="I46" s="53" t="str">
        <f>SUM(IF([1]!Table13[ID]=B46,[1]!Table13[QTY]))</f>
        <v>#ERROR!</v>
      </c>
      <c r="J46" s="53" t="str">
        <f>TABLEITEM!$H$3:$H$1138-TABLEITEM!$I$3:$I$1138</f>
        <v>#ERROR!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hidden="1" customHeight="1">
      <c r="A47" s="47">
        <v>45.0</v>
      </c>
      <c r="B47" s="2" t="s">
        <v>2502</v>
      </c>
      <c r="C47" s="2" t="s">
        <v>2595</v>
      </c>
      <c r="D47" s="2" t="s">
        <v>2668</v>
      </c>
      <c r="E47" s="51"/>
      <c r="F47" s="47"/>
      <c r="G47" s="52">
        <f t="array" ref="G47">MAX(IF(INSTOCK!$H$2:$H$2025=B47,INSTOCK!$K$2:$K$2025))</f>
        <v>0</v>
      </c>
      <c r="H47" s="53">
        <f>SUM(IF(INSTOCK!$H$2:$H$2025=B47,INSTOCK!$I$2:$I$2025))</f>
        <v>0</v>
      </c>
      <c r="I47" s="53" t="str">
        <f>SUM(IF([1]!Table13[ID]=B47,[1]!Table13[QTY]))</f>
        <v>#ERROR!</v>
      </c>
      <c r="J47" s="53" t="str">
        <f>TABLEITEM!$H$3:$H$1138-TABLEITEM!$I$3:$I$1138</f>
        <v>#ERROR!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hidden="1" customHeight="1">
      <c r="A48" s="47">
        <v>46.0</v>
      </c>
      <c r="B48" s="2" t="s">
        <v>1488</v>
      </c>
      <c r="C48" s="2" t="s">
        <v>2595</v>
      </c>
      <c r="D48" s="2" t="s">
        <v>2669</v>
      </c>
      <c r="E48" s="51"/>
      <c r="F48" s="47"/>
      <c r="G48" s="52">
        <f t="array" ref="G48">MAX(IF(INSTOCK!$H$2:$H$2025=B48,INSTOCK!$K$2:$K$2025))</f>
        <v>0</v>
      </c>
      <c r="H48" s="53">
        <f>SUM(IF(INSTOCK!$H$2:$H$2025=B48,INSTOCK!$I$2:$I$2025))</f>
        <v>0</v>
      </c>
      <c r="I48" s="53" t="str">
        <f>SUM(IF([1]!Table13[ID]=B48,[1]!Table13[QTY]))</f>
        <v>#ERROR!</v>
      </c>
      <c r="J48" s="53" t="str">
        <f>TABLEITEM!$H$3:$H$1138-TABLEITEM!$I$3:$I$1138</f>
        <v>#ERROR!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hidden="1" customHeight="1">
      <c r="A49" s="47">
        <v>47.0</v>
      </c>
      <c r="B49" s="2" t="s">
        <v>499</v>
      </c>
      <c r="C49" s="2" t="s">
        <v>2595</v>
      </c>
      <c r="D49" s="2" t="s">
        <v>2670</v>
      </c>
      <c r="E49" s="51"/>
      <c r="F49" s="47"/>
      <c r="G49" s="52">
        <f t="array" ref="G49">MAX(IF(INSTOCK!$H$2:$H$2025=B49,INSTOCK!$K$2:$K$2025))</f>
        <v>0</v>
      </c>
      <c r="H49" s="53">
        <f>SUM(IF(INSTOCK!$H$2:$H$2025=B49,INSTOCK!$I$2:$I$2025))</f>
        <v>0</v>
      </c>
      <c r="I49" s="53" t="str">
        <f>SUM(IF([1]!Table13[ID]=B49,[1]!Table13[QTY]))</f>
        <v>#ERROR!</v>
      </c>
      <c r="J49" s="53" t="str">
        <f>TABLEITEM!$H$3:$H$1138-TABLEITEM!$I$3:$I$1138</f>
        <v>#ERROR!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8.0" hidden="1" customHeight="1">
      <c r="A50" s="47">
        <v>48.0</v>
      </c>
      <c r="B50" s="2" t="s">
        <v>586</v>
      </c>
      <c r="C50" s="2" t="s">
        <v>2595</v>
      </c>
      <c r="D50" s="2" t="s">
        <v>2671</v>
      </c>
      <c r="E50" s="51"/>
      <c r="F50" s="47"/>
      <c r="G50" s="52">
        <f t="array" ref="G50">MAX(IF(INSTOCK!$H$2:$H$2025=B50,INSTOCK!$K$2:$K$2025))</f>
        <v>0</v>
      </c>
      <c r="H50" s="53">
        <f>SUM(IF(INSTOCK!$H$2:$H$2025=B50,INSTOCK!$I$2:$I$2025))</f>
        <v>0</v>
      </c>
      <c r="I50" s="53" t="str">
        <f>SUM(IF([1]!Table13[ID]=B50,[1]!Table13[QTY]))</f>
        <v>#ERROR!</v>
      </c>
      <c r="J50" s="53" t="str">
        <f>TABLEITEM!$H$3:$H$1138-TABLEITEM!$I$3:$I$1138</f>
        <v>#ERROR!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hidden="1" customHeight="1">
      <c r="A51" s="47">
        <v>49.0</v>
      </c>
      <c r="B51" s="2" t="s">
        <v>1761</v>
      </c>
      <c r="C51" s="2" t="s">
        <v>2595</v>
      </c>
      <c r="D51" s="2" t="s">
        <v>2672</v>
      </c>
      <c r="E51" s="51"/>
      <c r="F51" s="47"/>
      <c r="G51" s="52">
        <f t="array" ref="G51">MAX(IF(INSTOCK!$H$2:$H$2025=B51,INSTOCK!$K$2:$K$2025))</f>
        <v>0</v>
      </c>
      <c r="H51" s="53">
        <f>SUM(IF(INSTOCK!$H$2:$H$2025=B51,INSTOCK!$I$2:$I$2025))</f>
        <v>0</v>
      </c>
      <c r="I51" s="53" t="str">
        <f>SUM(IF([1]!Table13[ID]=B51,[1]!Table13[QTY]))</f>
        <v>#ERROR!</v>
      </c>
      <c r="J51" s="53" t="str">
        <f>TABLEITEM!$H$3:$H$1138-TABLEITEM!$I$3:$I$1138</f>
        <v>#ERROR!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hidden="1" customHeight="1">
      <c r="A52" s="47">
        <v>50.0</v>
      </c>
      <c r="B52" s="2" t="s">
        <v>698</v>
      </c>
      <c r="C52" s="2" t="s">
        <v>2595</v>
      </c>
      <c r="D52" s="2" t="s">
        <v>2673</v>
      </c>
      <c r="E52" s="51"/>
      <c r="F52" s="47"/>
      <c r="G52" s="52">
        <f t="array" ref="G52">MAX(IF(INSTOCK!$H$2:$H$2025=B52,INSTOCK!$K$2:$K$2025))</f>
        <v>0</v>
      </c>
      <c r="H52" s="53">
        <f>SUM(IF(INSTOCK!$H$2:$H$2025=B52,INSTOCK!$I$2:$I$2025))</f>
        <v>0</v>
      </c>
      <c r="I52" s="53" t="str">
        <f>SUM(IF([1]!Table13[ID]=B52,[1]!Table13[QTY]))</f>
        <v>#ERROR!</v>
      </c>
      <c r="J52" s="53" t="str">
        <f>TABLEITEM!$H$3:$H$1138-TABLEITEM!$I$3:$I$1138</f>
        <v>#ERROR!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hidden="1" customHeight="1">
      <c r="A53" s="47">
        <v>51.0</v>
      </c>
      <c r="B53" s="2" t="s">
        <v>2674</v>
      </c>
      <c r="C53" s="2" t="s">
        <v>2595</v>
      </c>
      <c r="D53" s="2" t="s">
        <v>2675</v>
      </c>
      <c r="E53" s="51"/>
      <c r="F53" s="47"/>
      <c r="G53" s="52">
        <f t="array" ref="G53">MAX(IF(INSTOCK!$H$2:$H$2025=B53,INSTOCK!$K$2:$K$2025))</f>
        <v>0</v>
      </c>
      <c r="H53" s="53">
        <f>SUM(IF(INSTOCK!$H$2:$H$2025=B53,INSTOCK!$I$2:$I$2025))</f>
        <v>0</v>
      </c>
      <c r="I53" s="53" t="str">
        <f>SUM(IF([1]!Table13[ID]=B53,[1]!Table13[QTY]))</f>
        <v>#ERROR!</v>
      </c>
      <c r="J53" s="53" t="str">
        <f>TABLEITEM!$H$3:$H$1138-TABLEITEM!$I$3:$I$1138</f>
        <v>#ERROR!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hidden="1" customHeight="1">
      <c r="A54" s="47">
        <v>52.0</v>
      </c>
      <c r="B54" s="2" t="s">
        <v>1087</v>
      </c>
      <c r="C54" s="2" t="s">
        <v>2595</v>
      </c>
      <c r="D54" s="2" t="s">
        <v>2676</v>
      </c>
      <c r="E54" s="51"/>
      <c r="F54" s="47"/>
      <c r="G54" s="52">
        <f t="array" ref="G54">MAX(IF(INSTOCK!$H$2:$H$2025=B54,INSTOCK!$K$2:$K$2025))</f>
        <v>0</v>
      </c>
      <c r="H54" s="53">
        <f>SUM(IF(INSTOCK!$H$2:$H$2025=B54,INSTOCK!$I$2:$I$2025))</f>
        <v>0</v>
      </c>
      <c r="I54" s="53" t="str">
        <f>SUM(IF([1]!Table13[ID]=B54,[1]!Table13[QTY]))</f>
        <v>#ERROR!</v>
      </c>
      <c r="J54" s="53" t="str">
        <f>TABLEITEM!$H$3:$H$1138-TABLEITEM!$I$3:$I$1138</f>
        <v>#ERROR!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hidden="1" customHeight="1">
      <c r="A55" s="47">
        <v>53.0</v>
      </c>
      <c r="B55" s="2" t="s">
        <v>1225</v>
      </c>
      <c r="C55" s="2" t="s">
        <v>2595</v>
      </c>
      <c r="D55" s="2" t="s">
        <v>2677</v>
      </c>
      <c r="E55" s="51"/>
      <c r="F55" s="47"/>
      <c r="G55" s="52">
        <f t="array" ref="G55">MAX(IF(INSTOCK!$H$2:$H$2025=B55,INSTOCK!$K$2:$K$2025))</f>
        <v>0</v>
      </c>
      <c r="H55" s="53">
        <f>SUM(IF(INSTOCK!$H$2:$H$2025=B55,INSTOCK!$I$2:$I$2025))</f>
        <v>0</v>
      </c>
      <c r="I55" s="53" t="str">
        <f>SUM(IF([1]!Table13[ID]=B55,[1]!Table13[QTY]))</f>
        <v>#ERROR!</v>
      </c>
      <c r="J55" s="53" t="str">
        <f>TABLEITEM!$H$3:$H$1138-TABLEITEM!$I$3:$I$1138</f>
        <v>#ERROR!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hidden="1" customHeight="1">
      <c r="A56" s="47">
        <v>54.0</v>
      </c>
      <c r="B56" s="2" t="s">
        <v>699</v>
      </c>
      <c r="C56" s="2" t="s">
        <v>2595</v>
      </c>
      <c r="D56" s="2" t="s">
        <v>2678</v>
      </c>
      <c r="E56" s="51"/>
      <c r="F56" s="47"/>
      <c r="G56" s="52">
        <f t="array" ref="G56">MAX(IF(INSTOCK!$H$2:$H$2025=B56,INSTOCK!$K$2:$K$2025))</f>
        <v>0</v>
      </c>
      <c r="H56" s="53">
        <f>SUM(IF(INSTOCK!$H$2:$H$2025=B56,INSTOCK!$I$2:$I$2025))</f>
        <v>0</v>
      </c>
      <c r="I56" s="53" t="str">
        <f>SUM(IF([1]!Table13[ID]=B56,[1]!Table13[QTY]))</f>
        <v>#ERROR!</v>
      </c>
      <c r="J56" s="53" t="str">
        <f>TABLEITEM!$H$3:$H$1138-TABLEITEM!$I$3:$I$1138</f>
        <v>#ERROR!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hidden="1" customHeight="1">
      <c r="A57" s="47">
        <v>55.0</v>
      </c>
      <c r="B57" s="2" t="s">
        <v>588</v>
      </c>
      <c r="C57" s="2" t="s">
        <v>2595</v>
      </c>
      <c r="D57" s="2" t="s">
        <v>2679</v>
      </c>
      <c r="E57" s="51"/>
      <c r="F57" s="47"/>
      <c r="G57" s="52">
        <f t="array" ref="G57">MAX(IF(INSTOCK!$H$2:$H$2025=B57,INSTOCK!$K$2:$K$2025))</f>
        <v>0</v>
      </c>
      <c r="H57" s="53">
        <f>SUM(IF(INSTOCK!$H$2:$H$2025=B57,INSTOCK!$I$2:$I$2025))</f>
        <v>0</v>
      </c>
      <c r="I57" s="53" t="str">
        <f>SUM(IF([1]!Table13[ID]=B57,[1]!Table13[QTY]))</f>
        <v>#ERROR!</v>
      </c>
      <c r="J57" s="53" t="str">
        <f>TABLEITEM!$H$3:$H$1138-TABLEITEM!$I$3:$I$1138</f>
        <v>#ERROR!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hidden="1" customHeight="1">
      <c r="A58" s="47">
        <v>56.0</v>
      </c>
      <c r="B58" s="2" t="s">
        <v>2680</v>
      </c>
      <c r="C58" s="2" t="s">
        <v>2595</v>
      </c>
      <c r="D58" s="2" t="s">
        <v>2681</v>
      </c>
      <c r="E58" s="51"/>
      <c r="F58" s="47"/>
      <c r="G58" s="52">
        <f t="array" ref="G58">MAX(IF(INSTOCK!$H$2:$H$2025=B58,INSTOCK!$K$2:$K$2025))</f>
        <v>0</v>
      </c>
      <c r="H58" s="53">
        <f>SUM(IF(INSTOCK!$H$2:$H$2025=B58,INSTOCK!$I$2:$I$2025))</f>
        <v>0</v>
      </c>
      <c r="I58" s="53" t="str">
        <f>SUM(IF([1]!Table13[ID]=B58,[1]!Table13[QTY]))</f>
        <v>#ERROR!</v>
      </c>
      <c r="J58" s="53" t="str">
        <f>TABLEITEM!$H$3:$H$1138-TABLEITEM!$I$3:$I$1138</f>
        <v>#ERROR!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hidden="1" customHeight="1">
      <c r="A59" s="47">
        <v>57.0</v>
      </c>
      <c r="B59" s="2" t="s">
        <v>497</v>
      </c>
      <c r="C59" s="2" t="s">
        <v>2595</v>
      </c>
      <c r="D59" s="2" t="s">
        <v>2682</v>
      </c>
      <c r="E59" s="51"/>
      <c r="F59" s="47"/>
      <c r="G59" s="52">
        <f t="array" ref="G59">MAX(IF(INSTOCK!$H$2:$H$2025=B59,INSTOCK!$K$2:$K$2025))</f>
        <v>0</v>
      </c>
      <c r="H59" s="53">
        <f>SUM(IF(INSTOCK!$H$2:$H$2025=B59,INSTOCK!$I$2:$I$2025))</f>
        <v>0</v>
      </c>
      <c r="I59" s="53" t="str">
        <f>SUM(IF([1]!Table13[ID]=B59,[1]!Table13[QTY]))</f>
        <v>#ERROR!</v>
      </c>
      <c r="J59" s="53" t="str">
        <f>TABLEITEM!$H$3:$H$1138-TABLEITEM!$I$3:$I$1138</f>
        <v>#ERROR!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hidden="1" customHeight="1">
      <c r="A60" s="47">
        <v>58.0</v>
      </c>
      <c r="B60" s="2" t="s">
        <v>589</v>
      </c>
      <c r="C60" s="2" t="s">
        <v>2595</v>
      </c>
      <c r="D60" s="2" t="s">
        <v>2683</v>
      </c>
      <c r="E60" s="51"/>
      <c r="F60" s="47"/>
      <c r="G60" s="52">
        <f t="array" ref="G60">MAX(IF(INSTOCK!$H$2:$H$2025=B60,INSTOCK!$K$2:$K$2025))</f>
        <v>0</v>
      </c>
      <c r="H60" s="53">
        <f>SUM(IF(INSTOCK!$H$2:$H$2025=B60,INSTOCK!$I$2:$I$2025))</f>
        <v>0</v>
      </c>
      <c r="I60" s="53" t="str">
        <f>SUM(IF([1]!Table13[ID]=B60,[1]!Table13[QTY]))</f>
        <v>#ERROR!</v>
      </c>
      <c r="J60" s="53" t="str">
        <f>TABLEITEM!$H$3:$H$1138-TABLEITEM!$I$3:$I$1138</f>
        <v>#ERROR!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hidden="1" customHeight="1">
      <c r="A61" s="47">
        <v>59.0</v>
      </c>
      <c r="B61" s="2" t="s">
        <v>537</v>
      </c>
      <c r="C61" s="2" t="s">
        <v>2595</v>
      </c>
      <c r="D61" s="2" t="s">
        <v>2684</v>
      </c>
      <c r="E61" s="51"/>
      <c r="F61" s="47"/>
      <c r="G61" s="52">
        <f t="array" ref="G61">MAX(IF(INSTOCK!$H$2:$H$2025=B61,INSTOCK!$K$2:$K$2025))</f>
        <v>0</v>
      </c>
      <c r="H61" s="53">
        <f>SUM(IF(INSTOCK!$H$2:$H$2025=B61,INSTOCK!$I$2:$I$2025))</f>
        <v>0</v>
      </c>
      <c r="I61" s="53" t="str">
        <f>SUM(IF([1]!Table13[ID]=B61,[1]!Table13[QTY]))</f>
        <v>#ERROR!</v>
      </c>
      <c r="J61" s="53" t="str">
        <f>TABLEITEM!$H$3:$H$1138-TABLEITEM!$I$3:$I$1138</f>
        <v>#ERROR!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hidden="1" customHeight="1">
      <c r="A62" s="47">
        <v>60.0</v>
      </c>
      <c r="B62" s="2" t="s">
        <v>2685</v>
      </c>
      <c r="C62" s="2" t="s">
        <v>2595</v>
      </c>
      <c r="D62" s="2" t="s">
        <v>2686</v>
      </c>
      <c r="E62" s="51"/>
      <c r="F62" s="47"/>
      <c r="G62" s="52">
        <f t="array" ref="G62">MAX(IF(INSTOCK!$H$2:$H$2025=B62,INSTOCK!$K$2:$K$2025))</f>
        <v>0</v>
      </c>
      <c r="H62" s="53">
        <f>SUM(IF(INSTOCK!$H$2:$H$2025=B62,INSTOCK!$I$2:$I$2025))</f>
        <v>0</v>
      </c>
      <c r="I62" s="53" t="str">
        <f>SUM(IF([1]!Table13[ID]=B62,[1]!Table13[QTY]))</f>
        <v>#ERROR!</v>
      </c>
      <c r="J62" s="53" t="str">
        <f>TABLEITEM!$H$3:$H$1138-TABLEITEM!$I$3:$I$1138</f>
        <v>#ERROR!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hidden="1" customHeight="1">
      <c r="A63" s="47">
        <v>61.0</v>
      </c>
      <c r="B63" s="2" t="s">
        <v>2687</v>
      </c>
      <c r="C63" s="2" t="s">
        <v>2595</v>
      </c>
      <c r="D63" s="2" t="s">
        <v>2688</v>
      </c>
      <c r="E63" s="51"/>
      <c r="F63" s="47"/>
      <c r="G63" s="52">
        <f t="array" ref="G63">MAX(IF(INSTOCK!$H$2:$H$2025=B63,INSTOCK!$K$2:$K$2025))</f>
        <v>0</v>
      </c>
      <c r="H63" s="53">
        <f>SUM(IF(INSTOCK!$H$2:$H$2025=B63,INSTOCK!$I$2:$I$2025))</f>
        <v>0</v>
      </c>
      <c r="I63" s="53" t="str">
        <f>SUM(IF([1]!Table13[ID]=B63,[1]!Table13[QTY]))</f>
        <v>#ERROR!</v>
      </c>
      <c r="J63" s="53" t="str">
        <f>TABLEITEM!$H$3:$H$1138-TABLEITEM!$I$3:$I$1138</f>
        <v>#ERROR!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hidden="1" customHeight="1">
      <c r="A64" s="47">
        <v>62.0</v>
      </c>
      <c r="B64" s="2" t="s">
        <v>2689</v>
      </c>
      <c r="C64" s="2" t="s">
        <v>2595</v>
      </c>
      <c r="D64" s="2" t="s">
        <v>2690</v>
      </c>
      <c r="E64" s="51"/>
      <c r="F64" s="47"/>
      <c r="G64" s="52">
        <f t="array" ref="G64">MAX(IF(INSTOCK!$H$2:$H$2025=B64,INSTOCK!$K$2:$K$2025))</f>
        <v>0</v>
      </c>
      <c r="H64" s="53">
        <f>SUM(IF(INSTOCK!$H$2:$H$2025=B64,INSTOCK!$I$2:$I$2025))</f>
        <v>0</v>
      </c>
      <c r="I64" s="53" t="str">
        <f>SUM(IF([1]!Table13[ID]=B64,[1]!Table13[QTY]))</f>
        <v>#ERROR!</v>
      </c>
      <c r="J64" s="53" t="str">
        <f>TABLEITEM!$H$3:$H$1138-TABLEITEM!$I$3:$I$1138</f>
        <v>#ERROR!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hidden="1" customHeight="1">
      <c r="A65" s="47">
        <v>63.0</v>
      </c>
      <c r="B65" s="2" t="s">
        <v>2691</v>
      </c>
      <c r="C65" s="2" t="s">
        <v>2595</v>
      </c>
      <c r="D65" s="2" t="s">
        <v>2692</v>
      </c>
      <c r="E65" s="51"/>
      <c r="F65" s="47"/>
      <c r="G65" s="52">
        <f t="array" ref="G65">MAX(IF(INSTOCK!$H$2:$H$2025=B65,INSTOCK!$K$2:$K$2025))</f>
        <v>0</v>
      </c>
      <c r="H65" s="53">
        <f>SUM(IF(INSTOCK!$H$2:$H$2025=B65,INSTOCK!$I$2:$I$2025))</f>
        <v>0</v>
      </c>
      <c r="I65" s="53" t="str">
        <f>SUM(IF([1]!Table13[ID]=B65,[1]!Table13[QTY]))</f>
        <v>#ERROR!</v>
      </c>
      <c r="J65" s="53" t="str">
        <f>TABLEITEM!$H$3:$H$1138-TABLEITEM!$I$3:$I$1138</f>
        <v>#ERROR!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hidden="1" customHeight="1">
      <c r="A66" s="47">
        <v>64.0</v>
      </c>
      <c r="B66" s="2" t="s">
        <v>2693</v>
      </c>
      <c r="C66" s="2" t="s">
        <v>2595</v>
      </c>
      <c r="D66" s="2" t="s">
        <v>2694</v>
      </c>
      <c r="E66" s="51"/>
      <c r="F66" s="47"/>
      <c r="G66" s="52">
        <f t="array" ref="G66">MAX(IF(INSTOCK!$H$2:$H$2025=B66,INSTOCK!$K$2:$K$2025))</f>
        <v>0</v>
      </c>
      <c r="H66" s="53">
        <f>SUM(IF(INSTOCK!$H$2:$H$2025=B66,INSTOCK!$I$2:$I$2025))</f>
        <v>0</v>
      </c>
      <c r="I66" s="53" t="str">
        <f>SUM(IF([1]!Table13[ID]=B66,[1]!Table13[QTY]))</f>
        <v>#ERROR!</v>
      </c>
      <c r="J66" s="53" t="str">
        <f>TABLEITEM!$H$3:$H$1138-TABLEITEM!$I$3:$I$1138</f>
        <v>#ERROR!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hidden="1" customHeight="1">
      <c r="A67" s="47">
        <v>65.0</v>
      </c>
      <c r="B67" s="2" t="s">
        <v>2695</v>
      </c>
      <c r="C67" s="2" t="s">
        <v>2595</v>
      </c>
      <c r="D67" s="2" t="s">
        <v>2696</v>
      </c>
      <c r="E67" s="51"/>
      <c r="F67" s="47"/>
      <c r="G67" s="52">
        <f t="array" ref="G67">MAX(IF(INSTOCK!$H$2:$H$2025=B67,INSTOCK!$K$2:$K$2025))</f>
        <v>0</v>
      </c>
      <c r="H67" s="53">
        <f>SUM(IF(INSTOCK!$H$2:$H$2025=B67,INSTOCK!$I$2:$I$2025))</f>
        <v>0</v>
      </c>
      <c r="I67" s="53" t="str">
        <f>SUM(IF([1]!Table13[ID]=B67,[1]!Table13[QTY]))</f>
        <v>#ERROR!</v>
      </c>
      <c r="J67" s="53" t="str">
        <f>TABLEITEM!$H$3:$H$1138-TABLEITEM!$I$3:$I$1138</f>
        <v>#ERROR!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hidden="1" customHeight="1">
      <c r="A68" s="47">
        <v>66.0</v>
      </c>
      <c r="B68" s="2" t="s">
        <v>2697</v>
      </c>
      <c r="C68" s="2" t="s">
        <v>2595</v>
      </c>
      <c r="D68" s="2" t="s">
        <v>2698</v>
      </c>
      <c r="E68" s="51"/>
      <c r="F68" s="47"/>
      <c r="G68" s="52">
        <f t="array" ref="G68">MAX(IF(INSTOCK!$H$2:$H$2025=B68,INSTOCK!$K$2:$K$2025))</f>
        <v>0</v>
      </c>
      <c r="H68" s="53">
        <f>SUM(IF(INSTOCK!$H$2:$H$2025=B68,INSTOCK!$I$2:$I$2025))</f>
        <v>0</v>
      </c>
      <c r="I68" s="53" t="str">
        <f>SUM(IF([1]!Table13[ID]=B68,[1]!Table13[QTY]))</f>
        <v>#ERROR!</v>
      </c>
      <c r="J68" s="53" t="str">
        <f>TABLEITEM!$H$3:$H$1138-TABLEITEM!$I$3:$I$1138</f>
        <v>#ERROR!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hidden="1" customHeight="1">
      <c r="A69" s="47">
        <v>67.0</v>
      </c>
      <c r="B69" s="2" t="s">
        <v>573</v>
      </c>
      <c r="C69" s="2" t="s">
        <v>2595</v>
      </c>
      <c r="D69" s="2" t="s">
        <v>2699</v>
      </c>
      <c r="E69" s="51"/>
      <c r="F69" s="47"/>
      <c r="G69" s="52">
        <f t="array" ref="G69">MAX(IF(INSTOCK!$H$2:$H$2025=B69,INSTOCK!$K$2:$K$2025))</f>
        <v>0</v>
      </c>
      <c r="H69" s="53">
        <f>SUM(IF(INSTOCK!$H$2:$H$2025=B69,INSTOCK!$I$2:$I$2025))</f>
        <v>0</v>
      </c>
      <c r="I69" s="53" t="str">
        <f>SUM(IF([1]!Table13[ID]=B69,[1]!Table13[QTY]))</f>
        <v>#ERROR!</v>
      </c>
      <c r="J69" s="53" t="str">
        <f>TABLEITEM!$H$3:$H$1138-TABLEITEM!$I$3:$I$1138</f>
        <v>#ERROR!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hidden="1" customHeight="1">
      <c r="A70" s="47">
        <v>68.0</v>
      </c>
      <c r="B70" s="2" t="s">
        <v>527</v>
      </c>
      <c r="C70" s="2" t="s">
        <v>2595</v>
      </c>
      <c r="D70" s="2" t="s">
        <v>2700</v>
      </c>
      <c r="E70" s="51"/>
      <c r="F70" s="47"/>
      <c r="G70" s="52">
        <f t="array" ref="G70">MAX(IF(INSTOCK!$H$2:$H$2025=B70,INSTOCK!$K$2:$K$2025))</f>
        <v>0</v>
      </c>
      <c r="H70" s="53">
        <f>SUM(IF(INSTOCK!$H$2:$H$2025=B70,INSTOCK!$I$2:$I$2025))</f>
        <v>0</v>
      </c>
      <c r="I70" s="53" t="str">
        <f>SUM(IF([1]!Table13[ID]=B70,[1]!Table13[QTY]))</f>
        <v>#ERROR!</v>
      </c>
      <c r="J70" s="53" t="str">
        <f>TABLEITEM!$H$3:$H$1138-TABLEITEM!$I$3:$I$1138</f>
        <v>#ERROR!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hidden="1" customHeight="1">
      <c r="A71" s="47">
        <v>69.0</v>
      </c>
      <c r="B71" s="2" t="s">
        <v>528</v>
      </c>
      <c r="C71" s="2" t="s">
        <v>2595</v>
      </c>
      <c r="D71" s="2" t="s">
        <v>2701</v>
      </c>
      <c r="E71" s="51"/>
      <c r="F71" s="47"/>
      <c r="G71" s="52">
        <f t="array" ref="G71">MAX(IF(INSTOCK!$H$2:$H$2025=B71,INSTOCK!$K$2:$K$2025))</f>
        <v>0</v>
      </c>
      <c r="H71" s="53">
        <f>SUM(IF(INSTOCK!$H$2:$H$2025=B71,INSTOCK!$I$2:$I$2025))</f>
        <v>0</v>
      </c>
      <c r="I71" s="53" t="str">
        <f>SUM(IF([1]!Table13[ID]=B71,[1]!Table13[QTY]))</f>
        <v>#ERROR!</v>
      </c>
      <c r="J71" s="53" t="str">
        <f>TABLEITEM!$H$3:$H$1138-TABLEITEM!$I$3:$I$1138</f>
        <v>#ERROR!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hidden="1" customHeight="1">
      <c r="A72" s="47">
        <v>70.0</v>
      </c>
      <c r="B72" s="2" t="s">
        <v>2702</v>
      </c>
      <c r="C72" s="2" t="s">
        <v>2595</v>
      </c>
      <c r="D72" s="2" t="s">
        <v>2703</v>
      </c>
      <c r="E72" s="51"/>
      <c r="F72" s="47"/>
      <c r="G72" s="52">
        <f t="array" ref="G72">MAX(IF(INSTOCK!$H$2:$H$2025=B72,INSTOCK!$K$2:$K$2025))</f>
        <v>0</v>
      </c>
      <c r="H72" s="53">
        <f>SUM(IF(INSTOCK!$H$2:$H$2025=B72,INSTOCK!$I$2:$I$2025))</f>
        <v>0</v>
      </c>
      <c r="I72" s="53" t="str">
        <f>SUM(IF([1]!Table13[ID]=B72,[1]!Table13[QTY]))</f>
        <v>#ERROR!</v>
      </c>
      <c r="J72" s="53" t="str">
        <f>TABLEITEM!$H$3:$H$1138-TABLEITEM!$I$3:$I$1138</f>
        <v>#ERROR!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hidden="1" customHeight="1">
      <c r="A73" s="47">
        <v>71.0</v>
      </c>
      <c r="B73" s="2" t="s">
        <v>575</v>
      </c>
      <c r="C73" s="2" t="s">
        <v>2595</v>
      </c>
      <c r="D73" s="2" t="s">
        <v>2704</v>
      </c>
      <c r="E73" s="51"/>
      <c r="F73" s="47"/>
      <c r="G73" s="52">
        <f t="array" ref="G73">MAX(IF(INSTOCK!$H$2:$H$2025=B73,INSTOCK!$K$2:$K$2025))</f>
        <v>0</v>
      </c>
      <c r="H73" s="53">
        <f>SUM(IF(INSTOCK!$H$2:$H$2025=B73,INSTOCK!$I$2:$I$2025))</f>
        <v>0</v>
      </c>
      <c r="I73" s="53" t="str">
        <f>SUM(IF([1]!Table13[ID]=B73,[1]!Table13[QTY]))</f>
        <v>#ERROR!</v>
      </c>
      <c r="J73" s="53" t="str">
        <f>TABLEITEM!$H$3:$H$1138-TABLEITEM!$I$3:$I$1138</f>
        <v>#ERROR!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hidden="1" customHeight="1">
      <c r="A74" s="47">
        <v>72.0</v>
      </c>
      <c r="B74" s="2" t="s">
        <v>2705</v>
      </c>
      <c r="C74" s="2" t="s">
        <v>2595</v>
      </c>
      <c r="D74" s="2" t="s">
        <v>2706</v>
      </c>
      <c r="E74" s="51"/>
      <c r="F74" s="47"/>
      <c r="G74" s="52">
        <f t="array" ref="G74">MAX(IF(INSTOCK!$H$2:$H$2025=B74,INSTOCK!$K$2:$K$2025))</f>
        <v>0</v>
      </c>
      <c r="H74" s="53">
        <f>SUM(IF(INSTOCK!$H$2:$H$2025=B74,INSTOCK!$I$2:$I$2025))</f>
        <v>0</v>
      </c>
      <c r="I74" s="53" t="str">
        <f>SUM(IF([1]!Table13[ID]=B74,[1]!Table13[QTY]))</f>
        <v>#ERROR!</v>
      </c>
      <c r="J74" s="53" t="str">
        <f>TABLEITEM!$H$3:$H$1138-TABLEITEM!$I$3:$I$1138</f>
        <v>#ERROR!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hidden="1" customHeight="1">
      <c r="A75" s="47">
        <v>73.0</v>
      </c>
      <c r="B75" s="2" t="s">
        <v>2707</v>
      </c>
      <c r="C75" s="2" t="s">
        <v>2595</v>
      </c>
      <c r="D75" s="2" t="s">
        <v>2708</v>
      </c>
      <c r="E75" s="51"/>
      <c r="F75" s="47"/>
      <c r="G75" s="52">
        <f t="array" ref="G75">MAX(IF(INSTOCK!$H$2:$H$2025=B75,INSTOCK!$K$2:$K$2025))</f>
        <v>0</v>
      </c>
      <c r="H75" s="53">
        <f>SUM(IF(INSTOCK!$H$2:$H$2025=B75,INSTOCK!$I$2:$I$2025))</f>
        <v>0</v>
      </c>
      <c r="I75" s="53" t="str">
        <f>SUM(IF([1]!Table13[ID]=B75,[1]!Table13[QTY]))</f>
        <v>#ERROR!</v>
      </c>
      <c r="J75" s="53" t="str">
        <f>TABLEITEM!$H$3:$H$1138-TABLEITEM!$I$3:$I$1138</f>
        <v>#ERROR!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hidden="1" customHeight="1">
      <c r="A76" s="47">
        <v>74.0</v>
      </c>
      <c r="B76" s="2" t="s">
        <v>649</v>
      </c>
      <c r="C76" s="2" t="s">
        <v>2595</v>
      </c>
      <c r="D76" s="2" t="s">
        <v>2709</v>
      </c>
      <c r="E76" s="51"/>
      <c r="F76" s="47"/>
      <c r="G76" s="52">
        <f t="array" ref="G76">MAX(IF(INSTOCK!$H$2:$H$2025=B76,INSTOCK!$K$2:$K$2025))</f>
        <v>0</v>
      </c>
      <c r="H76" s="53">
        <f>SUM(IF(INSTOCK!$H$2:$H$2025=B76,INSTOCK!$I$2:$I$2025))</f>
        <v>0</v>
      </c>
      <c r="I76" s="53" t="str">
        <f>SUM(IF([1]!Table13[ID]=B76,[1]!Table13[QTY]))</f>
        <v>#ERROR!</v>
      </c>
      <c r="J76" s="53" t="str">
        <f>TABLEITEM!$H$3:$H$1138-TABLEITEM!$I$3:$I$1138</f>
        <v>#ERROR!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hidden="1" customHeight="1">
      <c r="A77" s="47">
        <v>75.0</v>
      </c>
      <c r="B77" s="2" t="s">
        <v>648</v>
      </c>
      <c r="C77" s="2" t="s">
        <v>2595</v>
      </c>
      <c r="D77" s="2" t="s">
        <v>2710</v>
      </c>
      <c r="E77" s="51"/>
      <c r="F77" s="47"/>
      <c r="G77" s="52">
        <f t="array" ref="G77">MAX(IF(INSTOCK!$H$2:$H$2025=B77,INSTOCK!$K$2:$K$2025))</f>
        <v>0</v>
      </c>
      <c r="H77" s="53">
        <f>SUM(IF(INSTOCK!$H$2:$H$2025=B77,INSTOCK!$I$2:$I$2025))</f>
        <v>0</v>
      </c>
      <c r="I77" s="53" t="str">
        <f>SUM(IF([1]!Table13[ID]=B77,[1]!Table13[QTY]))</f>
        <v>#ERROR!</v>
      </c>
      <c r="J77" s="53" t="str">
        <f>TABLEITEM!$H$3:$H$1138-TABLEITEM!$I$3:$I$1138</f>
        <v>#ERROR!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hidden="1" customHeight="1">
      <c r="A78" s="47">
        <v>76.0</v>
      </c>
      <c r="B78" s="2" t="s">
        <v>2711</v>
      </c>
      <c r="C78" s="2" t="s">
        <v>2595</v>
      </c>
      <c r="D78" s="2" t="s">
        <v>2712</v>
      </c>
      <c r="E78" s="51"/>
      <c r="F78" s="47"/>
      <c r="G78" s="52">
        <f t="array" ref="G78">MAX(IF(INSTOCK!$H$2:$H$2025=B78,INSTOCK!$K$2:$K$2025))</f>
        <v>0</v>
      </c>
      <c r="H78" s="53">
        <f>SUM(IF(INSTOCK!$H$2:$H$2025=B78,INSTOCK!$I$2:$I$2025))</f>
        <v>0</v>
      </c>
      <c r="I78" s="53" t="str">
        <f>SUM(IF([1]!Table13[ID]=B78,[1]!Table13[QTY]))</f>
        <v>#ERROR!</v>
      </c>
      <c r="J78" s="53" t="str">
        <f>TABLEITEM!$H$3:$H$1138-TABLEITEM!$I$3:$I$1138</f>
        <v>#ERROR!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hidden="1" customHeight="1">
      <c r="A79" s="47">
        <v>77.0</v>
      </c>
      <c r="B79" s="2" t="s">
        <v>2713</v>
      </c>
      <c r="C79" s="2" t="s">
        <v>2595</v>
      </c>
      <c r="D79" s="2" t="s">
        <v>2714</v>
      </c>
      <c r="E79" s="51"/>
      <c r="F79" s="47"/>
      <c r="G79" s="52">
        <f t="array" ref="G79">MAX(IF(INSTOCK!$H$2:$H$2025=B79,INSTOCK!$K$2:$K$2025))</f>
        <v>0</v>
      </c>
      <c r="H79" s="53">
        <f>SUM(IF(INSTOCK!$H$2:$H$2025=B79,INSTOCK!$I$2:$I$2025))</f>
        <v>0</v>
      </c>
      <c r="I79" s="53" t="str">
        <f>SUM(IF([1]!Table13[ID]=B79,[1]!Table13[QTY]))</f>
        <v>#ERROR!</v>
      </c>
      <c r="J79" s="53" t="str">
        <f>TABLEITEM!$H$3:$H$1138-TABLEITEM!$I$3:$I$1138</f>
        <v>#ERROR!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hidden="1" customHeight="1">
      <c r="A80" s="47">
        <v>78.0</v>
      </c>
      <c r="B80" s="2" t="s">
        <v>2715</v>
      </c>
      <c r="C80" s="2" t="s">
        <v>2595</v>
      </c>
      <c r="D80" s="2" t="s">
        <v>2716</v>
      </c>
      <c r="E80" s="51"/>
      <c r="F80" s="47"/>
      <c r="G80" s="52">
        <f t="array" ref="G80">MAX(IF(INSTOCK!$H$2:$H$2025=B80,INSTOCK!$K$2:$K$2025))</f>
        <v>0</v>
      </c>
      <c r="H80" s="53">
        <f>SUM(IF(INSTOCK!$H$2:$H$2025=B80,INSTOCK!$I$2:$I$2025))</f>
        <v>0</v>
      </c>
      <c r="I80" s="53" t="str">
        <f>SUM(IF([1]!Table13[ID]=B80,[1]!Table13[QTY]))</f>
        <v>#ERROR!</v>
      </c>
      <c r="J80" s="53" t="str">
        <f>TABLEITEM!$H$3:$H$1138-TABLEITEM!$I$3:$I$1138</f>
        <v>#ERROR!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hidden="1" customHeight="1">
      <c r="A81" s="47">
        <v>79.0</v>
      </c>
      <c r="B81" s="2" t="s">
        <v>2717</v>
      </c>
      <c r="C81" s="2" t="s">
        <v>2595</v>
      </c>
      <c r="D81" s="2" t="s">
        <v>2718</v>
      </c>
      <c r="E81" s="51"/>
      <c r="F81" s="47"/>
      <c r="G81" s="52">
        <f t="array" ref="G81">MAX(IF(INSTOCK!$H$2:$H$2025=B81,INSTOCK!$K$2:$K$2025))</f>
        <v>0</v>
      </c>
      <c r="H81" s="53">
        <f>SUM(IF(INSTOCK!$H$2:$H$2025=B81,INSTOCK!$I$2:$I$2025))</f>
        <v>0</v>
      </c>
      <c r="I81" s="53" t="str">
        <f>SUM(IF([1]!Table13[ID]=B81,[1]!Table13[QTY]))</f>
        <v>#ERROR!</v>
      </c>
      <c r="J81" s="53" t="str">
        <f>TABLEITEM!$H$3:$H$1138-TABLEITEM!$I$3:$I$1138</f>
        <v>#ERROR!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hidden="1" customHeight="1">
      <c r="A82" s="47">
        <v>80.0</v>
      </c>
      <c r="B82" s="2" t="s">
        <v>2719</v>
      </c>
      <c r="C82" s="2" t="s">
        <v>2595</v>
      </c>
      <c r="D82" s="2" t="s">
        <v>2720</v>
      </c>
      <c r="E82" s="51"/>
      <c r="F82" s="47"/>
      <c r="G82" s="52">
        <f t="array" ref="G82">MAX(IF(INSTOCK!$H$2:$H$2025=B82,INSTOCK!$K$2:$K$2025))</f>
        <v>0</v>
      </c>
      <c r="H82" s="53">
        <f>SUM(IF(INSTOCK!$H$2:$H$2025=B82,INSTOCK!$I$2:$I$2025))</f>
        <v>0</v>
      </c>
      <c r="I82" s="53" t="str">
        <f>SUM(IF([1]!Table13[ID]=B82,[1]!Table13[QTY]))</f>
        <v>#ERROR!</v>
      </c>
      <c r="J82" s="53" t="str">
        <f>TABLEITEM!$H$3:$H$1138-TABLEITEM!$I$3:$I$1138</f>
        <v>#ERROR!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hidden="1" customHeight="1">
      <c r="A83" s="47">
        <v>81.0</v>
      </c>
      <c r="B83" s="2" t="s">
        <v>2721</v>
      </c>
      <c r="C83" s="2" t="s">
        <v>2595</v>
      </c>
      <c r="D83" s="2" t="s">
        <v>2722</v>
      </c>
      <c r="E83" s="51"/>
      <c r="F83" s="47"/>
      <c r="G83" s="52">
        <f t="array" ref="G83">MAX(IF(INSTOCK!$H$2:$H$2025=B83,INSTOCK!$K$2:$K$2025))</f>
        <v>0</v>
      </c>
      <c r="H83" s="53">
        <f>SUM(IF(INSTOCK!$H$2:$H$2025=B83,INSTOCK!$I$2:$I$2025))</f>
        <v>0</v>
      </c>
      <c r="I83" s="53" t="str">
        <f>SUM(IF([1]!Table13[ID]=B83,[1]!Table13[QTY]))</f>
        <v>#ERROR!</v>
      </c>
      <c r="J83" s="53" t="str">
        <f>TABLEITEM!$H$3:$H$1138-TABLEITEM!$I$3:$I$1138</f>
        <v>#ERROR!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hidden="1" customHeight="1">
      <c r="A84" s="47">
        <v>82.0</v>
      </c>
      <c r="B84" s="2" t="s">
        <v>2723</v>
      </c>
      <c r="C84" s="2" t="s">
        <v>2595</v>
      </c>
      <c r="D84" s="2" t="s">
        <v>2724</v>
      </c>
      <c r="E84" s="51"/>
      <c r="F84" s="47"/>
      <c r="G84" s="52">
        <f t="array" ref="G84">MAX(IF(INSTOCK!$H$2:$H$2025=B84,INSTOCK!$K$2:$K$2025))</f>
        <v>0</v>
      </c>
      <c r="H84" s="53">
        <f>SUM(IF(INSTOCK!$H$2:$H$2025=B84,INSTOCK!$I$2:$I$2025))</f>
        <v>0</v>
      </c>
      <c r="I84" s="53" t="str">
        <f>SUM(IF([1]!Table13[ID]=B84,[1]!Table13[QTY]))</f>
        <v>#ERROR!</v>
      </c>
      <c r="J84" s="53" t="str">
        <f>TABLEITEM!$H$3:$H$1138-TABLEITEM!$I$3:$I$1138</f>
        <v>#ERROR!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hidden="1" customHeight="1">
      <c r="A85" s="47">
        <v>83.0</v>
      </c>
      <c r="B85" s="2" t="s">
        <v>2725</v>
      </c>
      <c r="C85" s="2" t="s">
        <v>2595</v>
      </c>
      <c r="D85" s="2" t="s">
        <v>2726</v>
      </c>
      <c r="E85" s="51"/>
      <c r="F85" s="47"/>
      <c r="G85" s="52">
        <f t="array" ref="G85">MAX(IF(INSTOCK!$H$2:$H$2025=B85,INSTOCK!$K$2:$K$2025))</f>
        <v>0</v>
      </c>
      <c r="H85" s="53">
        <f>SUM(IF(INSTOCK!$H$2:$H$2025=B85,INSTOCK!$I$2:$I$2025))</f>
        <v>0</v>
      </c>
      <c r="I85" s="53" t="str">
        <f>SUM(IF([1]!Table13[ID]=B85,[1]!Table13[QTY]))</f>
        <v>#ERROR!</v>
      </c>
      <c r="J85" s="53" t="str">
        <f>TABLEITEM!$H$3:$H$1138-TABLEITEM!$I$3:$I$1138</f>
        <v>#ERROR!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hidden="1" customHeight="1">
      <c r="A86" s="47">
        <v>84.0</v>
      </c>
      <c r="B86" s="2" t="s">
        <v>2727</v>
      </c>
      <c r="C86" s="2" t="s">
        <v>2595</v>
      </c>
      <c r="D86" s="2" t="s">
        <v>2728</v>
      </c>
      <c r="E86" s="51"/>
      <c r="F86" s="47"/>
      <c r="G86" s="52">
        <f t="array" ref="G86">MAX(IF(INSTOCK!$H$2:$H$2025=B86,INSTOCK!$K$2:$K$2025))</f>
        <v>0</v>
      </c>
      <c r="H86" s="53">
        <f>SUM(IF(INSTOCK!$H$2:$H$2025=B86,INSTOCK!$I$2:$I$2025))</f>
        <v>0</v>
      </c>
      <c r="I86" s="53" t="str">
        <f>SUM(IF([1]!Table13[ID]=B86,[1]!Table13[QTY]))</f>
        <v>#ERROR!</v>
      </c>
      <c r="J86" s="53" t="str">
        <f>TABLEITEM!$H$3:$H$1138-TABLEITEM!$I$3:$I$1138</f>
        <v>#ERROR!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hidden="1" customHeight="1">
      <c r="A87" s="47">
        <v>85.0</v>
      </c>
      <c r="B87" s="2" t="s">
        <v>2729</v>
      </c>
      <c r="C87" s="2" t="s">
        <v>2595</v>
      </c>
      <c r="D87" s="2" t="s">
        <v>2730</v>
      </c>
      <c r="E87" s="51"/>
      <c r="F87" s="47"/>
      <c r="G87" s="52">
        <f t="array" ref="G87">MAX(IF(INSTOCK!$H$2:$H$2025=B87,INSTOCK!$K$2:$K$2025))</f>
        <v>0</v>
      </c>
      <c r="H87" s="53">
        <f>SUM(IF(INSTOCK!$H$2:$H$2025=B87,INSTOCK!$I$2:$I$2025))</f>
        <v>0</v>
      </c>
      <c r="I87" s="53" t="str">
        <f>SUM(IF([1]!Table13[ID]=B87,[1]!Table13[QTY]))</f>
        <v>#ERROR!</v>
      </c>
      <c r="J87" s="53" t="str">
        <f>TABLEITEM!$H$3:$H$1138-TABLEITEM!$I$3:$I$1138</f>
        <v>#ERROR!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hidden="1" customHeight="1">
      <c r="A88" s="47">
        <v>86.0</v>
      </c>
      <c r="B88" s="2" t="s">
        <v>2731</v>
      </c>
      <c r="C88" s="2" t="s">
        <v>2595</v>
      </c>
      <c r="D88" s="2" t="s">
        <v>2732</v>
      </c>
      <c r="E88" s="51"/>
      <c r="F88" s="47"/>
      <c r="G88" s="52">
        <f t="array" ref="G88">MAX(IF(INSTOCK!$H$2:$H$2025=B88,INSTOCK!$K$2:$K$2025))</f>
        <v>0</v>
      </c>
      <c r="H88" s="53">
        <f>SUM(IF(INSTOCK!$H$2:$H$2025=B88,INSTOCK!$I$2:$I$2025))</f>
        <v>0</v>
      </c>
      <c r="I88" s="53" t="str">
        <f>SUM(IF([1]!Table13[ID]=B88,[1]!Table13[QTY]))</f>
        <v>#ERROR!</v>
      </c>
      <c r="J88" s="53" t="str">
        <f>TABLEITEM!$H$3:$H$1138-TABLEITEM!$I$3:$I$1138</f>
        <v>#ERROR!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hidden="1" customHeight="1">
      <c r="A89" s="47">
        <v>87.0</v>
      </c>
      <c r="B89" s="2" t="s">
        <v>2733</v>
      </c>
      <c r="C89" s="2" t="s">
        <v>2595</v>
      </c>
      <c r="D89" s="2" t="s">
        <v>2734</v>
      </c>
      <c r="E89" s="51"/>
      <c r="F89" s="47"/>
      <c r="G89" s="52">
        <f t="array" ref="G89">MAX(IF(INSTOCK!$H$2:$H$2025=B89,INSTOCK!$K$2:$K$2025))</f>
        <v>0</v>
      </c>
      <c r="H89" s="53">
        <f>SUM(IF(INSTOCK!$H$2:$H$2025=B89,INSTOCK!$I$2:$I$2025))</f>
        <v>0</v>
      </c>
      <c r="I89" s="53" t="str">
        <f>SUM(IF([1]!Table13[ID]=B89,[1]!Table13[QTY]))</f>
        <v>#ERROR!</v>
      </c>
      <c r="J89" s="53" t="str">
        <f>TABLEITEM!$H$3:$H$1138-TABLEITEM!$I$3:$I$1138</f>
        <v>#ERROR!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hidden="1" customHeight="1">
      <c r="A90" s="47">
        <v>88.0</v>
      </c>
      <c r="B90" s="2" t="s">
        <v>2735</v>
      </c>
      <c r="C90" s="2" t="s">
        <v>2595</v>
      </c>
      <c r="D90" s="2" t="s">
        <v>2736</v>
      </c>
      <c r="E90" s="51"/>
      <c r="F90" s="47"/>
      <c r="G90" s="52">
        <f t="array" ref="G90">MAX(IF(INSTOCK!$H$2:$H$2025=B90,INSTOCK!$K$2:$K$2025))</f>
        <v>0</v>
      </c>
      <c r="H90" s="53">
        <f>SUM(IF(INSTOCK!$H$2:$H$2025=B90,INSTOCK!$I$2:$I$2025))</f>
        <v>0</v>
      </c>
      <c r="I90" s="53" t="str">
        <f>SUM(IF([1]!Table13[ID]=B90,[1]!Table13[QTY]))</f>
        <v>#ERROR!</v>
      </c>
      <c r="J90" s="53" t="str">
        <f>TABLEITEM!$H$3:$H$1138-TABLEITEM!$I$3:$I$1138</f>
        <v>#ERROR!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hidden="1" customHeight="1">
      <c r="A91" s="47">
        <v>89.0</v>
      </c>
      <c r="B91" s="2" t="s">
        <v>2737</v>
      </c>
      <c r="C91" s="2" t="s">
        <v>2595</v>
      </c>
      <c r="D91" s="2" t="s">
        <v>2738</v>
      </c>
      <c r="E91" s="51"/>
      <c r="F91" s="47"/>
      <c r="G91" s="52">
        <f t="array" ref="G91">MAX(IF(INSTOCK!$H$2:$H$2025=B91,INSTOCK!$K$2:$K$2025))</f>
        <v>0</v>
      </c>
      <c r="H91" s="53">
        <f>SUM(IF(INSTOCK!$H$2:$H$2025=B91,INSTOCK!$I$2:$I$2025))</f>
        <v>0</v>
      </c>
      <c r="I91" s="53" t="str">
        <f>SUM(IF([1]!Table13[ID]=B91,[1]!Table13[QTY]))</f>
        <v>#ERROR!</v>
      </c>
      <c r="J91" s="53" t="str">
        <f>TABLEITEM!$H$3:$H$1138-TABLEITEM!$I$3:$I$1138</f>
        <v>#ERROR!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hidden="1" customHeight="1">
      <c r="A92" s="47">
        <v>90.0</v>
      </c>
      <c r="B92" s="2" t="s">
        <v>563</v>
      </c>
      <c r="C92" s="2" t="s">
        <v>2595</v>
      </c>
      <c r="D92" s="2" t="s">
        <v>2739</v>
      </c>
      <c r="E92" s="51"/>
      <c r="F92" s="47"/>
      <c r="G92" s="52">
        <f t="array" ref="G92">MAX(IF(INSTOCK!$H$2:$H$2025=B92,INSTOCK!$K$2:$K$2025))</f>
        <v>0</v>
      </c>
      <c r="H92" s="53">
        <f>SUM(IF(INSTOCK!$H$2:$H$2025=B92,INSTOCK!$I$2:$I$2025))</f>
        <v>0</v>
      </c>
      <c r="I92" s="53" t="str">
        <f>SUM(IF([1]!Table13[ID]=B92,[1]!Table13[QTY]))</f>
        <v>#ERROR!</v>
      </c>
      <c r="J92" s="53" t="str">
        <f>TABLEITEM!$H$3:$H$1138-TABLEITEM!$I$3:$I$1138</f>
        <v>#ERROR!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hidden="1" customHeight="1">
      <c r="A93" s="47">
        <v>91.0</v>
      </c>
      <c r="B93" s="2" t="s">
        <v>2740</v>
      </c>
      <c r="C93" s="2" t="s">
        <v>2595</v>
      </c>
      <c r="D93" s="2" t="s">
        <v>2741</v>
      </c>
      <c r="E93" s="51"/>
      <c r="F93" s="47"/>
      <c r="G93" s="52">
        <f t="array" ref="G93">MAX(IF(INSTOCK!$H$2:$H$2025=B93,INSTOCK!$K$2:$K$2025))</f>
        <v>0</v>
      </c>
      <c r="H93" s="53">
        <f>SUM(IF(INSTOCK!$H$2:$H$2025=B93,INSTOCK!$I$2:$I$2025))</f>
        <v>0</v>
      </c>
      <c r="I93" s="53" t="str">
        <f>SUM(IF([1]!Table13[ID]=B93,[1]!Table13[QTY]))</f>
        <v>#ERROR!</v>
      </c>
      <c r="J93" s="53" t="str">
        <f>TABLEITEM!$H$3:$H$1138-TABLEITEM!$I$3:$I$1138</f>
        <v>#ERROR!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hidden="1" customHeight="1">
      <c r="A94" s="47">
        <v>92.0</v>
      </c>
      <c r="B94" s="2" t="s">
        <v>2742</v>
      </c>
      <c r="C94" s="2" t="s">
        <v>2595</v>
      </c>
      <c r="D94" s="2" t="s">
        <v>2743</v>
      </c>
      <c r="E94" s="51"/>
      <c r="F94" s="47"/>
      <c r="G94" s="52">
        <f t="array" ref="G94">MAX(IF(INSTOCK!$H$2:$H$2025=B94,INSTOCK!$K$2:$K$2025))</f>
        <v>0</v>
      </c>
      <c r="H94" s="53">
        <f>SUM(IF(INSTOCK!$H$2:$H$2025=B94,INSTOCK!$I$2:$I$2025))</f>
        <v>0</v>
      </c>
      <c r="I94" s="53" t="str">
        <f>SUM(IF([1]!Table13[ID]=B94,[1]!Table13[QTY]))</f>
        <v>#ERROR!</v>
      </c>
      <c r="J94" s="53" t="str">
        <f>TABLEITEM!$H$3:$H$1138-TABLEITEM!$I$3:$I$1138</f>
        <v>#ERROR!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hidden="1" customHeight="1">
      <c r="A95" s="47">
        <v>93.0</v>
      </c>
      <c r="B95" s="2" t="s">
        <v>2744</v>
      </c>
      <c r="C95" s="2" t="s">
        <v>2595</v>
      </c>
      <c r="D95" s="2" t="s">
        <v>2745</v>
      </c>
      <c r="E95" s="51"/>
      <c r="F95" s="47"/>
      <c r="G95" s="52">
        <f t="array" ref="G95">MAX(IF(INSTOCK!$H$2:$H$2025=B95,INSTOCK!$K$2:$K$2025))</f>
        <v>0</v>
      </c>
      <c r="H95" s="53">
        <f>SUM(IF(INSTOCK!$H$2:$H$2025=B95,INSTOCK!$I$2:$I$2025))</f>
        <v>0</v>
      </c>
      <c r="I95" s="53" t="str">
        <f>SUM(IF([1]!Table13[ID]=B95,[1]!Table13[QTY]))</f>
        <v>#ERROR!</v>
      </c>
      <c r="J95" s="53" t="str">
        <f>TABLEITEM!$H$3:$H$1138-TABLEITEM!$I$3:$I$1138</f>
        <v>#ERROR!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hidden="1" customHeight="1">
      <c r="A96" s="47">
        <v>94.0</v>
      </c>
      <c r="B96" s="2" t="s">
        <v>2746</v>
      </c>
      <c r="C96" s="2" t="s">
        <v>2595</v>
      </c>
      <c r="D96" s="2" t="s">
        <v>2747</v>
      </c>
      <c r="E96" s="51"/>
      <c r="F96" s="47"/>
      <c r="G96" s="52">
        <f t="array" ref="G96">MAX(IF(INSTOCK!$H$2:$H$2025=B96,INSTOCK!$K$2:$K$2025))</f>
        <v>0</v>
      </c>
      <c r="H96" s="53">
        <f>SUM(IF(INSTOCK!$H$2:$H$2025=B96,INSTOCK!$I$2:$I$2025))</f>
        <v>0</v>
      </c>
      <c r="I96" s="53" t="str">
        <f>SUM(IF([1]!Table13[ID]=B96,[1]!Table13[QTY]))</f>
        <v>#ERROR!</v>
      </c>
      <c r="J96" s="53" t="str">
        <f>TABLEITEM!$H$3:$H$1138-TABLEITEM!$I$3:$I$1138</f>
        <v>#ERROR!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hidden="1" customHeight="1">
      <c r="A97" s="47">
        <v>95.0</v>
      </c>
      <c r="B97" s="2" t="s">
        <v>2748</v>
      </c>
      <c r="C97" s="2" t="s">
        <v>2595</v>
      </c>
      <c r="D97" s="2" t="s">
        <v>2749</v>
      </c>
      <c r="E97" s="51"/>
      <c r="F97" s="47"/>
      <c r="G97" s="52">
        <f t="array" ref="G97">MAX(IF(INSTOCK!$H$2:$H$2025=B97,INSTOCK!$K$2:$K$2025))</f>
        <v>0</v>
      </c>
      <c r="H97" s="53">
        <f>SUM(IF(INSTOCK!$H$2:$H$2025=B97,INSTOCK!$I$2:$I$2025))</f>
        <v>0</v>
      </c>
      <c r="I97" s="53" t="str">
        <f>SUM(IF([1]!Table13[ID]=B97,[1]!Table13[QTY]))</f>
        <v>#ERROR!</v>
      </c>
      <c r="J97" s="53" t="str">
        <f>TABLEITEM!$H$3:$H$1138-TABLEITEM!$I$3:$I$1138</f>
        <v>#ERROR!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hidden="1" customHeight="1">
      <c r="A98" s="47">
        <v>96.0</v>
      </c>
      <c r="B98" s="2" t="s">
        <v>1875</v>
      </c>
      <c r="C98" s="2" t="s">
        <v>2595</v>
      </c>
      <c r="D98" s="2" t="s">
        <v>2750</v>
      </c>
      <c r="E98" s="51"/>
      <c r="F98" s="47"/>
      <c r="G98" s="52">
        <f t="array" ref="G98">MAX(IF(INSTOCK!$H$2:$H$2025=B98,INSTOCK!$K$2:$K$2025))</f>
        <v>0</v>
      </c>
      <c r="H98" s="53">
        <f>SUM(IF(INSTOCK!$H$2:$H$2025=B98,INSTOCK!$I$2:$I$2025))</f>
        <v>0</v>
      </c>
      <c r="I98" s="53" t="str">
        <f>SUM(IF([1]!Table13[ID]=B98,[1]!Table13[QTY]))</f>
        <v>#ERROR!</v>
      </c>
      <c r="J98" s="53" t="str">
        <f>TABLEITEM!$H$3:$H$1138-TABLEITEM!$I$3:$I$1138</f>
        <v>#ERROR!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hidden="1" customHeight="1">
      <c r="A99" s="47">
        <v>97.0</v>
      </c>
      <c r="B99" s="2" t="s">
        <v>474</v>
      </c>
      <c r="C99" s="2" t="s">
        <v>2595</v>
      </c>
      <c r="D99" s="2" t="s">
        <v>2751</v>
      </c>
      <c r="E99" s="51"/>
      <c r="F99" s="47"/>
      <c r="G99" s="52">
        <f t="array" ref="G99">MAX(IF(INSTOCK!$H$2:$H$2025=B99,INSTOCK!$K$2:$K$2025))</f>
        <v>0</v>
      </c>
      <c r="H99" s="53">
        <f>SUM(IF(INSTOCK!$H$2:$H$2025=B99,INSTOCK!$I$2:$I$2025))</f>
        <v>0</v>
      </c>
      <c r="I99" s="53" t="str">
        <f>SUM(IF([1]!Table13[ID]=B99,[1]!Table13[QTY]))</f>
        <v>#ERROR!</v>
      </c>
      <c r="J99" s="53" t="str">
        <f>TABLEITEM!$H$3:$H$1138-TABLEITEM!$I$3:$I$1138</f>
        <v>#ERROR!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hidden="1" customHeight="1">
      <c r="A100" s="47">
        <v>98.0</v>
      </c>
      <c r="B100" s="2" t="s">
        <v>2752</v>
      </c>
      <c r="C100" s="2" t="s">
        <v>2595</v>
      </c>
      <c r="D100" s="2" t="s">
        <v>2753</v>
      </c>
      <c r="E100" s="51"/>
      <c r="F100" s="47"/>
      <c r="G100" s="52">
        <f t="array" ref="G100">MAX(IF(INSTOCK!$H$2:$H$2025=B100,INSTOCK!$K$2:$K$2025))</f>
        <v>0</v>
      </c>
      <c r="H100" s="53">
        <f>SUM(IF(INSTOCK!$H$2:$H$2025=B100,INSTOCK!$I$2:$I$2025))</f>
        <v>0</v>
      </c>
      <c r="I100" s="53" t="str">
        <f>SUM(IF([1]!Table13[ID]=B100,[1]!Table13[QTY]))</f>
        <v>#ERROR!</v>
      </c>
      <c r="J100" s="53" t="str">
        <f>TABLEITEM!$H$3:$H$1138-TABLEITEM!$I$3:$I$1138</f>
        <v>#ERROR!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hidden="1" customHeight="1">
      <c r="A101" s="47">
        <v>99.0</v>
      </c>
      <c r="B101" s="2" t="s">
        <v>2754</v>
      </c>
      <c r="C101" s="2" t="s">
        <v>2595</v>
      </c>
      <c r="D101" s="2" t="s">
        <v>2755</v>
      </c>
      <c r="E101" s="51"/>
      <c r="F101" s="47"/>
      <c r="G101" s="52">
        <f t="array" ref="G101">MAX(IF(INSTOCK!$H$2:$H$2025=B101,INSTOCK!$K$2:$K$2025))</f>
        <v>0</v>
      </c>
      <c r="H101" s="53">
        <f>SUM(IF(INSTOCK!$H$2:$H$2025=B101,INSTOCK!$I$2:$I$2025))</f>
        <v>0</v>
      </c>
      <c r="I101" s="53" t="str">
        <f>SUM(IF([1]!Table13[ID]=B101,[1]!Table13[QTY]))</f>
        <v>#ERROR!</v>
      </c>
      <c r="J101" s="53" t="str">
        <f>TABLEITEM!$H$3:$H$1138-TABLEITEM!$I$3:$I$1138</f>
        <v>#ERROR!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hidden="1" customHeight="1">
      <c r="A102" s="47">
        <v>100.0</v>
      </c>
      <c r="B102" s="2" t="s">
        <v>2756</v>
      </c>
      <c r="C102" s="2" t="s">
        <v>2595</v>
      </c>
      <c r="D102" s="2" t="s">
        <v>2757</v>
      </c>
      <c r="E102" s="51"/>
      <c r="F102" s="47"/>
      <c r="G102" s="52">
        <f t="array" ref="G102">MAX(IF(INSTOCK!$H$2:$H$2025=B102,INSTOCK!$K$2:$K$2025))</f>
        <v>0</v>
      </c>
      <c r="H102" s="53">
        <f>SUM(IF(INSTOCK!$H$2:$H$2025=B102,INSTOCK!$I$2:$I$2025))</f>
        <v>0</v>
      </c>
      <c r="I102" s="53" t="str">
        <f>SUM(IF([1]!Table13[ID]=B102,[1]!Table13[QTY]))</f>
        <v>#ERROR!</v>
      </c>
      <c r="J102" s="53" t="str">
        <f>TABLEITEM!$H$3:$H$1138-TABLEITEM!$I$3:$I$1138</f>
        <v>#ERROR!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hidden="1" customHeight="1">
      <c r="A103" s="47">
        <v>101.0</v>
      </c>
      <c r="B103" s="2" t="s">
        <v>2758</v>
      </c>
      <c r="C103" s="2" t="s">
        <v>2595</v>
      </c>
      <c r="D103" s="2" t="s">
        <v>2759</v>
      </c>
      <c r="E103" s="51"/>
      <c r="F103" s="47"/>
      <c r="G103" s="52">
        <f t="array" ref="G103">MAX(IF(INSTOCK!$H$2:$H$2025=B103,INSTOCK!$K$2:$K$2025))</f>
        <v>0</v>
      </c>
      <c r="H103" s="53">
        <f>SUM(IF(INSTOCK!$H$2:$H$2025=B103,INSTOCK!$I$2:$I$2025))</f>
        <v>0</v>
      </c>
      <c r="I103" s="53" t="str">
        <f>SUM(IF([1]!Table13[ID]=B103,[1]!Table13[QTY]))</f>
        <v>#ERROR!</v>
      </c>
      <c r="J103" s="53" t="str">
        <f>TABLEITEM!$H$3:$H$1138-TABLEITEM!$I$3:$I$1138</f>
        <v>#ERROR!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hidden="1" customHeight="1">
      <c r="A104" s="47">
        <v>102.0</v>
      </c>
      <c r="B104" s="2" t="s">
        <v>2760</v>
      </c>
      <c r="C104" s="2" t="s">
        <v>2595</v>
      </c>
      <c r="D104" s="2" t="s">
        <v>2761</v>
      </c>
      <c r="E104" s="51"/>
      <c r="F104" s="47"/>
      <c r="G104" s="52">
        <f t="array" ref="G104">MAX(IF(INSTOCK!$H$2:$H$2025=B104,INSTOCK!$K$2:$K$2025))</f>
        <v>0</v>
      </c>
      <c r="H104" s="53">
        <f>SUM(IF(INSTOCK!$H$2:$H$2025=B104,INSTOCK!$I$2:$I$2025))</f>
        <v>0</v>
      </c>
      <c r="I104" s="53" t="str">
        <f>SUM(IF([1]!Table13[ID]=B104,[1]!Table13[QTY]))</f>
        <v>#ERROR!</v>
      </c>
      <c r="J104" s="53" t="str">
        <f>TABLEITEM!$H$3:$H$1138-TABLEITEM!$I$3:$I$1138</f>
        <v>#ERROR!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hidden="1" customHeight="1">
      <c r="A105" s="47">
        <v>103.0</v>
      </c>
      <c r="B105" s="2" t="s">
        <v>2762</v>
      </c>
      <c r="C105" s="2" t="s">
        <v>2595</v>
      </c>
      <c r="D105" s="2" t="s">
        <v>2763</v>
      </c>
      <c r="E105" s="51"/>
      <c r="F105" s="47"/>
      <c r="G105" s="52">
        <f t="array" ref="G105">MAX(IF(INSTOCK!$H$2:$H$2025=B105,INSTOCK!$K$2:$K$2025))</f>
        <v>0</v>
      </c>
      <c r="H105" s="53">
        <f>SUM(IF(INSTOCK!$H$2:$H$2025=B105,INSTOCK!$I$2:$I$2025))</f>
        <v>0</v>
      </c>
      <c r="I105" s="53" t="str">
        <f>SUM(IF([1]!Table13[ID]=B105,[1]!Table13[QTY]))</f>
        <v>#ERROR!</v>
      </c>
      <c r="J105" s="53" t="str">
        <f>TABLEITEM!$H$3:$H$1138-TABLEITEM!$I$3:$I$1138</f>
        <v>#ERROR!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hidden="1" customHeight="1">
      <c r="A106" s="47">
        <v>104.0</v>
      </c>
      <c r="B106" s="2" t="s">
        <v>2764</v>
      </c>
      <c r="C106" s="2" t="s">
        <v>2595</v>
      </c>
      <c r="D106" s="2" t="s">
        <v>2765</v>
      </c>
      <c r="E106" s="51"/>
      <c r="F106" s="47"/>
      <c r="G106" s="52">
        <f t="array" ref="G106">MAX(IF(INSTOCK!$H$2:$H$2025=B106,INSTOCK!$K$2:$K$2025))</f>
        <v>0</v>
      </c>
      <c r="H106" s="53">
        <f>SUM(IF(INSTOCK!$H$2:$H$2025=B106,INSTOCK!$I$2:$I$2025))</f>
        <v>0</v>
      </c>
      <c r="I106" s="53" t="str">
        <f>SUM(IF([1]!Table13[ID]=B106,[1]!Table13[QTY]))</f>
        <v>#ERROR!</v>
      </c>
      <c r="J106" s="53" t="str">
        <f>TABLEITEM!$H$3:$H$1138-TABLEITEM!$I$3:$I$1138</f>
        <v>#ERROR!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hidden="1" customHeight="1">
      <c r="A107" s="47">
        <v>105.0</v>
      </c>
      <c r="B107" s="2" t="s">
        <v>2766</v>
      </c>
      <c r="C107" s="2" t="s">
        <v>2595</v>
      </c>
      <c r="D107" s="2" t="s">
        <v>2767</v>
      </c>
      <c r="E107" s="51"/>
      <c r="F107" s="47"/>
      <c r="G107" s="52">
        <f t="array" ref="G107">MAX(IF(INSTOCK!$H$2:$H$2025=B107,INSTOCK!$K$2:$K$2025))</f>
        <v>0</v>
      </c>
      <c r="H107" s="53">
        <f>SUM(IF(INSTOCK!$H$2:$H$2025=B107,INSTOCK!$I$2:$I$2025))</f>
        <v>0</v>
      </c>
      <c r="I107" s="53" t="str">
        <f>SUM(IF([1]!Table13[ID]=B107,[1]!Table13[QTY]))</f>
        <v>#ERROR!</v>
      </c>
      <c r="J107" s="53" t="str">
        <f>TABLEITEM!$H$3:$H$1138-TABLEITEM!$I$3:$I$1138</f>
        <v>#ERROR!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hidden="1" customHeight="1">
      <c r="A108" s="47">
        <v>106.0</v>
      </c>
      <c r="B108" s="2" t="s">
        <v>2768</v>
      </c>
      <c r="C108" s="2" t="s">
        <v>2595</v>
      </c>
      <c r="D108" s="2" t="s">
        <v>2769</v>
      </c>
      <c r="E108" s="51"/>
      <c r="F108" s="47"/>
      <c r="G108" s="52">
        <f t="array" ref="G108">MAX(IF(INSTOCK!$H$2:$H$2025=B108,INSTOCK!$K$2:$K$2025))</f>
        <v>0</v>
      </c>
      <c r="H108" s="53">
        <f>SUM(IF(INSTOCK!$H$2:$H$2025=B108,INSTOCK!$I$2:$I$2025))</f>
        <v>0</v>
      </c>
      <c r="I108" s="53" t="str">
        <f>SUM(IF([1]!Table13[ID]=B108,[1]!Table13[QTY]))</f>
        <v>#ERROR!</v>
      </c>
      <c r="J108" s="53" t="str">
        <f>TABLEITEM!$H$3:$H$1138-TABLEITEM!$I$3:$I$1138</f>
        <v>#ERROR!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hidden="1" customHeight="1">
      <c r="A109" s="47">
        <v>107.0</v>
      </c>
      <c r="B109" s="2" t="s">
        <v>1328</v>
      </c>
      <c r="C109" s="2" t="s">
        <v>2595</v>
      </c>
      <c r="D109" s="2" t="s">
        <v>2770</v>
      </c>
      <c r="E109" s="51"/>
      <c r="F109" s="47"/>
      <c r="G109" s="52">
        <f t="array" ref="G109">MAX(IF(INSTOCK!$H$2:$H$2025=B109,INSTOCK!$K$2:$K$2025))</f>
        <v>0</v>
      </c>
      <c r="H109" s="53">
        <f>SUM(IF(INSTOCK!$H$2:$H$2025=B109,INSTOCK!$I$2:$I$2025))</f>
        <v>0</v>
      </c>
      <c r="I109" s="53" t="str">
        <f>SUM(IF([1]!Table13[ID]=B109,[1]!Table13[QTY]))</f>
        <v>#ERROR!</v>
      </c>
      <c r="J109" s="53" t="str">
        <f>TABLEITEM!$H$3:$H$1138-TABLEITEM!$I$3:$I$1138</f>
        <v>#ERROR!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hidden="1" customHeight="1">
      <c r="A110" s="47">
        <v>108.0</v>
      </c>
      <c r="B110" s="2" t="s">
        <v>2771</v>
      </c>
      <c r="C110" s="2" t="s">
        <v>2595</v>
      </c>
      <c r="D110" s="2" t="s">
        <v>2772</v>
      </c>
      <c r="E110" s="51"/>
      <c r="F110" s="47"/>
      <c r="G110" s="52">
        <f t="array" ref="G110">MAX(IF(INSTOCK!$H$2:$H$2025=B110,INSTOCK!$K$2:$K$2025))</f>
        <v>0</v>
      </c>
      <c r="H110" s="53">
        <f>SUM(IF(INSTOCK!$H$2:$H$2025=B110,INSTOCK!$I$2:$I$2025))</f>
        <v>0</v>
      </c>
      <c r="I110" s="53" t="str">
        <f>SUM(IF([1]!Table13[ID]=B110,[1]!Table13[QTY]))</f>
        <v>#ERROR!</v>
      </c>
      <c r="J110" s="53" t="str">
        <f>TABLEITEM!$H$3:$H$1138-TABLEITEM!$I$3:$I$1138</f>
        <v>#ERROR!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hidden="1" customHeight="1">
      <c r="A111" s="47">
        <v>109.0</v>
      </c>
      <c r="B111" s="2" t="s">
        <v>2773</v>
      </c>
      <c r="C111" s="2" t="s">
        <v>2595</v>
      </c>
      <c r="D111" s="2" t="s">
        <v>2774</v>
      </c>
      <c r="E111" s="51"/>
      <c r="F111" s="47"/>
      <c r="G111" s="52">
        <f t="array" ref="G111">MAX(IF(INSTOCK!$H$2:$H$2025=B111,INSTOCK!$K$2:$K$2025))</f>
        <v>0</v>
      </c>
      <c r="H111" s="53">
        <f>SUM(IF(INSTOCK!$H$2:$H$2025=B111,INSTOCK!$I$2:$I$2025))</f>
        <v>0</v>
      </c>
      <c r="I111" s="53" t="str">
        <f>SUM(IF([1]!Table13[ID]=B111,[1]!Table13[QTY]))</f>
        <v>#ERROR!</v>
      </c>
      <c r="J111" s="53" t="str">
        <f>TABLEITEM!$H$3:$H$1138-TABLEITEM!$I$3:$I$1138</f>
        <v>#ERROR!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hidden="1" customHeight="1">
      <c r="A112" s="47">
        <v>110.0</v>
      </c>
      <c r="B112" s="2" t="s">
        <v>2775</v>
      </c>
      <c r="C112" s="2" t="s">
        <v>2595</v>
      </c>
      <c r="D112" s="2" t="s">
        <v>2776</v>
      </c>
      <c r="E112" s="51"/>
      <c r="F112" s="47"/>
      <c r="G112" s="52">
        <f t="array" ref="G112">MAX(IF(INSTOCK!$H$2:$H$2025=B112,INSTOCK!$K$2:$K$2025))</f>
        <v>0</v>
      </c>
      <c r="H112" s="53">
        <f>SUM(IF(INSTOCK!$H$2:$H$2025=B112,INSTOCK!$I$2:$I$2025))</f>
        <v>0</v>
      </c>
      <c r="I112" s="53" t="str">
        <f>SUM(IF([1]!Table13[ID]=B112,[1]!Table13[QTY]))</f>
        <v>#ERROR!</v>
      </c>
      <c r="J112" s="53" t="str">
        <f>TABLEITEM!$H$3:$H$1138-TABLEITEM!$I$3:$I$1138</f>
        <v>#ERROR!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hidden="1" customHeight="1">
      <c r="A113" s="47">
        <v>111.0</v>
      </c>
      <c r="B113" s="2" t="s">
        <v>2777</v>
      </c>
      <c r="C113" s="2" t="s">
        <v>2595</v>
      </c>
      <c r="D113" s="2" t="s">
        <v>2778</v>
      </c>
      <c r="E113" s="51"/>
      <c r="F113" s="47"/>
      <c r="G113" s="52">
        <f t="array" ref="G113">MAX(IF(INSTOCK!$H$2:$H$2025=B113,INSTOCK!$K$2:$K$2025))</f>
        <v>0</v>
      </c>
      <c r="H113" s="53">
        <f>SUM(IF(INSTOCK!$H$2:$H$2025=B113,INSTOCK!$I$2:$I$2025))</f>
        <v>0</v>
      </c>
      <c r="I113" s="53" t="str">
        <f>SUM(IF([1]!Table13[ID]=B113,[1]!Table13[QTY]))</f>
        <v>#ERROR!</v>
      </c>
      <c r="J113" s="53" t="str">
        <f>TABLEITEM!$H$3:$H$1138-TABLEITEM!$I$3:$I$1138</f>
        <v>#ERROR!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hidden="1" customHeight="1">
      <c r="A114" s="47">
        <v>112.0</v>
      </c>
      <c r="B114" s="2" t="s">
        <v>2779</v>
      </c>
      <c r="C114" s="2" t="s">
        <v>2595</v>
      </c>
      <c r="D114" s="2" t="s">
        <v>2780</v>
      </c>
      <c r="E114" s="51"/>
      <c r="F114" s="47"/>
      <c r="G114" s="52">
        <f t="array" ref="G114">MAX(IF(INSTOCK!$H$2:$H$2025=B114,INSTOCK!$K$2:$K$2025))</f>
        <v>0</v>
      </c>
      <c r="H114" s="53">
        <f>SUM(IF(INSTOCK!$H$2:$H$2025=B114,INSTOCK!$I$2:$I$2025))</f>
        <v>0</v>
      </c>
      <c r="I114" s="53" t="str">
        <f>SUM(IF([1]!Table13[ID]=B114,[1]!Table13[QTY]))</f>
        <v>#ERROR!</v>
      </c>
      <c r="J114" s="53" t="str">
        <f>TABLEITEM!$H$3:$H$1138-TABLEITEM!$I$3:$I$1138</f>
        <v>#ERROR!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hidden="1" customHeight="1">
      <c r="A115" s="47">
        <v>113.0</v>
      </c>
      <c r="B115" s="2" t="s">
        <v>2781</v>
      </c>
      <c r="C115" s="2" t="s">
        <v>2595</v>
      </c>
      <c r="D115" s="2" t="s">
        <v>2782</v>
      </c>
      <c r="E115" s="51"/>
      <c r="F115" s="47"/>
      <c r="G115" s="52">
        <f t="array" ref="G115">MAX(IF(INSTOCK!$H$2:$H$2025=B115,INSTOCK!$K$2:$K$2025))</f>
        <v>0</v>
      </c>
      <c r="H115" s="53">
        <f>SUM(IF(INSTOCK!$H$2:$H$2025=B115,INSTOCK!$I$2:$I$2025))</f>
        <v>0</v>
      </c>
      <c r="I115" s="53" t="str">
        <f>SUM(IF([1]!Table13[ID]=B115,[1]!Table13[QTY]))</f>
        <v>#ERROR!</v>
      </c>
      <c r="J115" s="53" t="str">
        <f>TABLEITEM!$H$3:$H$1138-TABLEITEM!$I$3:$I$1138</f>
        <v>#ERROR!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hidden="1" customHeight="1">
      <c r="A116" s="47">
        <v>114.0</v>
      </c>
      <c r="B116" s="2" t="s">
        <v>475</v>
      </c>
      <c r="C116" s="2" t="s">
        <v>2595</v>
      </c>
      <c r="D116" s="2" t="s">
        <v>2783</v>
      </c>
      <c r="E116" s="51"/>
      <c r="F116" s="47"/>
      <c r="G116" s="52">
        <f t="array" ref="G116">MAX(IF(INSTOCK!$H$2:$H$2025=B116,INSTOCK!$K$2:$K$2025))</f>
        <v>0</v>
      </c>
      <c r="H116" s="53">
        <f>SUM(IF(INSTOCK!$H$2:$H$2025=B116,INSTOCK!$I$2:$I$2025))</f>
        <v>0</v>
      </c>
      <c r="I116" s="53" t="str">
        <f>SUM(IF([1]!Table13[ID]=B116,[1]!Table13[QTY]))</f>
        <v>#ERROR!</v>
      </c>
      <c r="J116" s="53" t="str">
        <f>TABLEITEM!$H$3:$H$1138-TABLEITEM!$I$3:$I$1138</f>
        <v>#ERROR!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hidden="1" customHeight="1">
      <c r="A117" s="47">
        <v>115.0</v>
      </c>
      <c r="B117" s="2" t="s">
        <v>2784</v>
      </c>
      <c r="C117" s="2" t="s">
        <v>2595</v>
      </c>
      <c r="D117" s="2" t="s">
        <v>2785</v>
      </c>
      <c r="E117" s="51"/>
      <c r="F117" s="47"/>
      <c r="G117" s="52">
        <f t="array" ref="G117">MAX(IF(INSTOCK!$H$2:$H$2025=B117,INSTOCK!$K$2:$K$2025))</f>
        <v>0</v>
      </c>
      <c r="H117" s="53">
        <f>SUM(IF(INSTOCK!$H$2:$H$2025=B117,INSTOCK!$I$2:$I$2025))</f>
        <v>0</v>
      </c>
      <c r="I117" s="53" t="str">
        <f>SUM(IF([1]!Table13[ID]=B117,[1]!Table13[QTY]))</f>
        <v>#ERROR!</v>
      </c>
      <c r="J117" s="53" t="str">
        <f>TABLEITEM!$H$3:$H$1138-TABLEITEM!$I$3:$I$1138</f>
        <v>#ERROR!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hidden="1" customHeight="1">
      <c r="A118" s="47">
        <v>116.0</v>
      </c>
      <c r="B118" s="2" t="s">
        <v>2786</v>
      </c>
      <c r="C118" s="2" t="s">
        <v>2595</v>
      </c>
      <c r="D118" s="2" t="s">
        <v>2787</v>
      </c>
      <c r="E118" s="51"/>
      <c r="F118" s="47"/>
      <c r="G118" s="52">
        <f t="array" ref="G118">MAX(IF(INSTOCK!$H$2:$H$2025=B118,INSTOCK!$K$2:$K$2025))</f>
        <v>0</v>
      </c>
      <c r="H118" s="53">
        <f>SUM(IF(INSTOCK!$H$2:$H$2025=B118,INSTOCK!$I$2:$I$2025))</f>
        <v>0</v>
      </c>
      <c r="I118" s="53" t="str">
        <f>SUM(IF([1]!Table13[ID]=B118,[1]!Table13[QTY]))</f>
        <v>#ERROR!</v>
      </c>
      <c r="J118" s="53" t="str">
        <f>TABLEITEM!$H$3:$H$1138-TABLEITEM!$I$3:$I$1138</f>
        <v>#ERROR!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hidden="1" customHeight="1">
      <c r="A119" s="47">
        <v>117.0</v>
      </c>
      <c r="B119" s="2" t="s">
        <v>2788</v>
      </c>
      <c r="C119" s="2" t="s">
        <v>2595</v>
      </c>
      <c r="D119" s="2" t="s">
        <v>2789</v>
      </c>
      <c r="E119" s="51"/>
      <c r="F119" s="47"/>
      <c r="G119" s="52">
        <f t="array" ref="G119">MAX(IF(INSTOCK!$H$2:$H$2025=B119,INSTOCK!$K$2:$K$2025))</f>
        <v>0</v>
      </c>
      <c r="H119" s="53">
        <f>SUM(IF(INSTOCK!$H$2:$H$2025=B119,INSTOCK!$I$2:$I$2025))</f>
        <v>0</v>
      </c>
      <c r="I119" s="53" t="str">
        <f>SUM(IF([1]!Table13[ID]=B119,[1]!Table13[QTY]))</f>
        <v>#ERROR!</v>
      </c>
      <c r="J119" s="53" t="str">
        <f>TABLEITEM!$H$3:$H$1138-TABLEITEM!$I$3:$I$1138</f>
        <v>#ERROR!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hidden="1" customHeight="1">
      <c r="A120" s="47">
        <v>118.0</v>
      </c>
      <c r="B120" s="2" t="s">
        <v>2790</v>
      </c>
      <c r="C120" s="2" t="s">
        <v>2595</v>
      </c>
      <c r="D120" s="2" t="s">
        <v>2791</v>
      </c>
      <c r="E120" s="51"/>
      <c r="F120" s="47"/>
      <c r="G120" s="52">
        <f t="array" ref="G120">MAX(IF(INSTOCK!$H$2:$H$2025=B120,INSTOCK!$K$2:$K$2025))</f>
        <v>0</v>
      </c>
      <c r="H120" s="53">
        <f>SUM(IF(INSTOCK!$H$2:$H$2025=B120,INSTOCK!$I$2:$I$2025))</f>
        <v>0</v>
      </c>
      <c r="I120" s="53" t="str">
        <f>SUM(IF([1]!Table13[ID]=B120,[1]!Table13[QTY]))</f>
        <v>#ERROR!</v>
      </c>
      <c r="J120" s="53" t="str">
        <f>TABLEITEM!$H$3:$H$1138-TABLEITEM!$I$3:$I$1138</f>
        <v>#ERROR!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hidden="1" customHeight="1">
      <c r="A121" s="47">
        <v>119.0</v>
      </c>
      <c r="B121" s="2" t="s">
        <v>2792</v>
      </c>
      <c r="C121" s="2" t="s">
        <v>2595</v>
      </c>
      <c r="D121" s="2" t="s">
        <v>2793</v>
      </c>
      <c r="E121" s="51"/>
      <c r="F121" s="47"/>
      <c r="G121" s="52">
        <f t="array" ref="G121">MAX(IF(INSTOCK!$H$2:$H$2025=B121,INSTOCK!$K$2:$K$2025))</f>
        <v>0</v>
      </c>
      <c r="H121" s="53">
        <f>SUM(IF(INSTOCK!$H$2:$H$2025=B121,INSTOCK!$I$2:$I$2025))</f>
        <v>0</v>
      </c>
      <c r="I121" s="53" t="str">
        <f>SUM(IF([1]!Table13[ID]=B121,[1]!Table13[QTY]))</f>
        <v>#ERROR!</v>
      </c>
      <c r="J121" s="53" t="str">
        <f>TABLEITEM!$H$3:$H$1138-TABLEITEM!$I$3:$I$1138</f>
        <v>#ERROR!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hidden="1" customHeight="1">
      <c r="A122" s="47">
        <v>120.0</v>
      </c>
      <c r="B122" s="2" t="s">
        <v>2794</v>
      </c>
      <c r="C122" s="2" t="s">
        <v>2595</v>
      </c>
      <c r="D122" s="2" t="s">
        <v>2795</v>
      </c>
      <c r="E122" s="51"/>
      <c r="F122" s="47"/>
      <c r="G122" s="52">
        <f t="array" ref="G122">MAX(IF(INSTOCK!$H$2:$H$2025=B122,INSTOCK!$K$2:$K$2025))</f>
        <v>0</v>
      </c>
      <c r="H122" s="53">
        <f>SUM(IF(INSTOCK!$H$2:$H$2025=B122,INSTOCK!$I$2:$I$2025))</f>
        <v>0</v>
      </c>
      <c r="I122" s="53" t="str">
        <f>SUM(IF([1]!Table13[ID]=B122,[1]!Table13[QTY]))</f>
        <v>#ERROR!</v>
      </c>
      <c r="J122" s="53" t="str">
        <f>TABLEITEM!$H$3:$H$1138-TABLEITEM!$I$3:$I$1138</f>
        <v>#ERROR!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hidden="1" customHeight="1">
      <c r="A123" s="47">
        <v>121.0</v>
      </c>
      <c r="B123" s="2" t="s">
        <v>564</v>
      </c>
      <c r="C123" s="2" t="s">
        <v>2595</v>
      </c>
      <c r="D123" s="2" t="s">
        <v>2796</v>
      </c>
      <c r="E123" s="51"/>
      <c r="F123" s="47"/>
      <c r="G123" s="52">
        <f t="array" ref="G123">MAX(IF(INSTOCK!$H$2:$H$2025=B123,INSTOCK!$K$2:$K$2025))</f>
        <v>0</v>
      </c>
      <c r="H123" s="53">
        <f>SUM(IF(INSTOCK!$H$2:$H$2025=B123,INSTOCK!$I$2:$I$2025))</f>
        <v>0</v>
      </c>
      <c r="I123" s="53" t="str">
        <f>SUM(IF([1]!Table13[ID]=B123,[1]!Table13[QTY]))</f>
        <v>#ERROR!</v>
      </c>
      <c r="J123" s="53" t="str">
        <f>TABLEITEM!$H$3:$H$1138-TABLEITEM!$I$3:$I$1138</f>
        <v>#ERROR!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hidden="1" customHeight="1">
      <c r="A124" s="47">
        <v>122.0</v>
      </c>
      <c r="B124" s="2" t="s">
        <v>2797</v>
      </c>
      <c r="C124" s="2" t="s">
        <v>2595</v>
      </c>
      <c r="D124" s="2" t="s">
        <v>2798</v>
      </c>
      <c r="E124" s="51"/>
      <c r="F124" s="47"/>
      <c r="G124" s="52">
        <f t="array" ref="G124">MAX(IF(INSTOCK!$H$2:$H$2025=B124,INSTOCK!$K$2:$K$2025))</f>
        <v>0</v>
      </c>
      <c r="H124" s="53">
        <f>SUM(IF(INSTOCK!$H$2:$H$2025=B124,INSTOCK!$I$2:$I$2025))</f>
        <v>0</v>
      </c>
      <c r="I124" s="53" t="str">
        <f>SUM(IF([1]!Table13[ID]=B124,[1]!Table13[QTY]))</f>
        <v>#ERROR!</v>
      </c>
      <c r="J124" s="53" t="str">
        <f>TABLEITEM!$H$3:$H$1138-TABLEITEM!$I$3:$I$1138</f>
        <v>#ERROR!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hidden="1" customHeight="1">
      <c r="A125" s="47">
        <v>123.0</v>
      </c>
      <c r="B125" s="2" t="s">
        <v>2799</v>
      </c>
      <c r="C125" s="2" t="s">
        <v>2595</v>
      </c>
      <c r="D125" s="2" t="s">
        <v>2800</v>
      </c>
      <c r="E125" s="51"/>
      <c r="F125" s="47"/>
      <c r="G125" s="52">
        <f t="array" ref="G125">MAX(IF(INSTOCK!$H$2:$H$2025=B125,INSTOCK!$K$2:$K$2025))</f>
        <v>0</v>
      </c>
      <c r="H125" s="53">
        <f>SUM(IF(INSTOCK!$H$2:$H$2025=B125,INSTOCK!$I$2:$I$2025))</f>
        <v>0</v>
      </c>
      <c r="I125" s="53" t="str">
        <f>SUM(IF([1]!Table13[ID]=B125,[1]!Table13[QTY]))</f>
        <v>#ERROR!</v>
      </c>
      <c r="J125" s="53" t="str">
        <f>TABLEITEM!$H$3:$H$1138-TABLEITEM!$I$3:$I$1138</f>
        <v>#ERROR!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hidden="1" customHeight="1">
      <c r="A126" s="47">
        <v>124.0</v>
      </c>
      <c r="B126" s="2" t="s">
        <v>2801</v>
      </c>
      <c r="C126" s="2" t="s">
        <v>2595</v>
      </c>
      <c r="D126" s="2" t="s">
        <v>2802</v>
      </c>
      <c r="E126" s="51"/>
      <c r="F126" s="47"/>
      <c r="G126" s="52">
        <f t="array" ref="G126">MAX(IF(INSTOCK!$H$2:$H$2025=B126,INSTOCK!$K$2:$K$2025))</f>
        <v>0</v>
      </c>
      <c r="H126" s="53">
        <f>SUM(IF(INSTOCK!$H$2:$H$2025=B126,INSTOCK!$I$2:$I$2025))</f>
        <v>0</v>
      </c>
      <c r="I126" s="53" t="str">
        <f>SUM(IF([1]!Table13[ID]=B126,[1]!Table13[QTY]))</f>
        <v>#ERROR!</v>
      </c>
      <c r="J126" s="53" t="str">
        <f>TABLEITEM!$H$3:$H$1138-TABLEITEM!$I$3:$I$1138</f>
        <v>#ERROR!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hidden="1" customHeight="1">
      <c r="A127" s="47">
        <v>125.0</v>
      </c>
      <c r="B127" s="2" t="s">
        <v>704</v>
      </c>
      <c r="C127" s="2" t="s">
        <v>2595</v>
      </c>
      <c r="D127" s="2" t="s">
        <v>2803</v>
      </c>
      <c r="E127" s="51"/>
      <c r="F127" s="47"/>
      <c r="G127" s="52">
        <f t="array" ref="G127">MAX(IF(INSTOCK!$H$2:$H$2025=B127,INSTOCK!$K$2:$K$2025))</f>
        <v>0</v>
      </c>
      <c r="H127" s="53">
        <f>SUM(IF(INSTOCK!$H$2:$H$2025=B127,INSTOCK!$I$2:$I$2025))</f>
        <v>0</v>
      </c>
      <c r="I127" s="53" t="str">
        <f>SUM(IF([1]!Table13[ID]=B127,[1]!Table13[QTY]))</f>
        <v>#ERROR!</v>
      </c>
      <c r="J127" s="53" t="str">
        <f>TABLEITEM!$H$3:$H$1138-TABLEITEM!$I$3:$I$1138</f>
        <v>#ERROR!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hidden="1" customHeight="1">
      <c r="A128" s="47">
        <v>126.0</v>
      </c>
      <c r="B128" s="2" t="s">
        <v>565</v>
      </c>
      <c r="C128" s="2" t="s">
        <v>2595</v>
      </c>
      <c r="D128" s="2" t="s">
        <v>2804</v>
      </c>
      <c r="E128" s="51"/>
      <c r="F128" s="47"/>
      <c r="G128" s="52">
        <f t="array" ref="G128">MAX(IF(INSTOCK!$H$2:$H$2025=B128,INSTOCK!$K$2:$K$2025))</f>
        <v>0</v>
      </c>
      <c r="H128" s="53">
        <f>SUM(IF(INSTOCK!$H$2:$H$2025=B128,INSTOCK!$I$2:$I$2025))</f>
        <v>0</v>
      </c>
      <c r="I128" s="53" t="str">
        <f>SUM(IF([1]!Table13[ID]=B128,[1]!Table13[QTY]))</f>
        <v>#ERROR!</v>
      </c>
      <c r="J128" s="53" t="str">
        <f>TABLEITEM!$H$3:$H$1138-TABLEITEM!$I$3:$I$1138</f>
        <v>#ERROR!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hidden="1" customHeight="1">
      <c r="A129" s="47">
        <v>127.0</v>
      </c>
      <c r="B129" s="2" t="s">
        <v>1792</v>
      </c>
      <c r="C129" s="2" t="s">
        <v>2595</v>
      </c>
      <c r="D129" s="2" t="s">
        <v>2805</v>
      </c>
      <c r="E129" s="51"/>
      <c r="F129" s="47"/>
      <c r="G129" s="52">
        <f t="array" ref="G129">MAX(IF(INSTOCK!$H$2:$H$2025=B129,INSTOCK!$K$2:$K$2025))</f>
        <v>0</v>
      </c>
      <c r="H129" s="53">
        <f>SUM(IF(INSTOCK!$H$2:$H$2025=B129,INSTOCK!$I$2:$I$2025))</f>
        <v>0</v>
      </c>
      <c r="I129" s="53" t="str">
        <f>SUM(IF([1]!Table13[ID]=B129,[1]!Table13[QTY]))</f>
        <v>#ERROR!</v>
      </c>
      <c r="J129" s="53" t="str">
        <f>TABLEITEM!$H$3:$H$1138-TABLEITEM!$I$3:$I$1138</f>
        <v>#ERROR!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hidden="1" customHeight="1">
      <c r="A130" s="47">
        <v>128.0</v>
      </c>
      <c r="B130" s="2" t="s">
        <v>1917</v>
      </c>
      <c r="C130" s="2" t="s">
        <v>2595</v>
      </c>
      <c r="D130" s="2" t="s">
        <v>2806</v>
      </c>
      <c r="E130" s="51"/>
      <c r="F130" s="47"/>
      <c r="G130" s="52">
        <f t="array" ref="G130">MAX(IF(INSTOCK!$H$2:$H$2025=B130,INSTOCK!$K$2:$K$2025))</f>
        <v>0</v>
      </c>
      <c r="H130" s="53">
        <f>SUM(IF(INSTOCK!$H$2:$H$2025=B130,INSTOCK!$I$2:$I$2025))</f>
        <v>0</v>
      </c>
      <c r="I130" s="53" t="str">
        <f>SUM(IF([1]!Table13[ID]=B130,[1]!Table13[QTY]))</f>
        <v>#ERROR!</v>
      </c>
      <c r="J130" s="53" t="str">
        <f>TABLEITEM!$H$3:$H$1138-TABLEITEM!$I$3:$I$1138</f>
        <v>#ERROR!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hidden="1" customHeight="1">
      <c r="A131" s="47">
        <v>129.0</v>
      </c>
      <c r="B131" s="2" t="s">
        <v>705</v>
      </c>
      <c r="C131" s="2" t="s">
        <v>2595</v>
      </c>
      <c r="D131" s="2" t="s">
        <v>2807</v>
      </c>
      <c r="E131" s="51"/>
      <c r="F131" s="47"/>
      <c r="G131" s="52">
        <f t="array" ref="G131">MAX(IF(INSTOCK!$H$2:$H$2025=B131,INSTOCK!$K$2:$K$2025))</f>
        <v>0</v>
      </c>
      <c r="H131" s="53">
        <f>SUM(IF(INSTOCK!$H$2:$H$2025=B131,INSTOCK!$I$2:$I$2025))</f>
        <v>0</v>
      </c>
      <c r="I131" s="53" t="str">
        <f>SUM(IF([1]!Table13[ID]=B131,[1]!Table13[QTY]))</f>
        <v>#ERROR!</v>
      </c>
      <c r="J131" s="53" t="str">
        <f>TABLEITEM!$H$3:$H$1138-TABLEITEM!$I$3:$I$1138</f>
        <v>#ERROR!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hidden="1" customHeight="1">
      <c r="A132" s="47">
        <v>130.0</v>
      </c>
      <c r="B132" s="2" t="s">
        <v>567</v>
      </c>
      <c r="C132" s="2" t="s">
        <v>2595</v>
      </c>
      <c r="D132" s="2" t="s">
        <v>2808</v>
      </c>
      <c r="E132" s="51"/>
      <c r="F132" s="47"/>
      <c r="G132" s="52">
        <f t="array" ref="G132">MAX(IF(INSTOCK!$H$2:$H$2025=B132,INSTOCK!$K$2:$K$2025))</f>
        <v>0</v>
      </c>
      <c r="H132" s="53">
        <f>SUM(IF(INSTOCK!$H$2:$H$2025=B132,INSTOCK!$I$2:$I$2025))</f>
        <v>0</v>
      </c>
      <c r="I132" s="53" t="str">
        <f>SUM(IF([1]!Table13[ID]=B132,[1]!Table13[QTY]))</f>
        <v>#ERROR!</v>
      </c>
      <c r="J132" s="53" t="str">
        <f>TABLEITEM!$H$3:$H$1138-TABLEITEM!$I$3:$I$1138</f>
        <v>#ERROR!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hidden="1" customHeight="1">
      <c r="A133" s="47">
        <v>131.0</v>
      </c>
      <c r="B133" s="2" t="s">
        <v>2809</v>
      </c>
      <c r="C133" s="2" t="s">
        <v>2595</v>
      </c>
      <c r="D133" s="2" t="s">
        <v>2810</v>
      </c>
      <c r="E133" s="51"/>
      <c r="F133" s="47"/>
      <c r="G133" s="52">
        <f t="array" ref="G133">MAX(IF(INSTOCK!$H$2:$H$2025=B133,INSTOCK!$K$2:$K$2025))</f>
        <v>0</v>
      </c>
      <c r="H133" s="53">
        <f>SUM(IF(INSTOCK!$H$2:$H$2025=B133,INSTOCK!$I$2:$I$2025))</f>
        <v>0</v>
      </c>
      <c r="I133" s="53" t="str">
        <f>SUM(IF([1]!Table13[ID]=B133,[1]!Table13[QTY]))</f>
        <v>#ERROR!</v>
      </c>
      <c r="J133" s="53" t="str">
        <f>TABLEITEM!$H$3:$H$1138-TABLEITEM!$I$3:$I$1138</f>
        <v>#ERROR!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hidden="1" customHeight="1">
      <c r="A134" s="47">
        <v>132.0</v>
      </c>
      <c r="B134" s="2" t="s">
        <v>2811</v>
      </c>
      <c r="C134" s="2" t="s">
        <v>2595</v>
      </c>
      <c r="D134" s="2" t="s">
        <v>2812</v>
      </c>
      <c r="E134" s="51"/>
      <c r="F134" s="47"/>
      <c r="G134" s="52">
        <f t="array" ref="G134">MAX(IF(INSTOCK!$H$2:$H$2025=B134,INSTOCK!$K$2:$K$2025))</f>
        <v>0</v>
      </c>
      <c r="H134" s="53">
        <f>SUM(IF(INSTOCK!$H$2:$H$2025=B134,INSTOCK!$I$2:$I$2025))</f>
        <v>0</v>
      </c>
      <c r="I134" s="53" t="str">
        <f>SUM(IF([1]!Table13[ID]=B134,[1]!Table13[QTY]))</f>
        <v>#ERROR!</v>
      </c>
      <c r="J134" s="53" t="str">
        <f>TABLEITEM!$H$3:$H$1138-TABLEITEM!$I$3:$I$1138</f>
        <v>#ERROR!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hidden="1" customHeight="1">
      <c r="A135" s="47">
        <v>133.0</v>
      </c>
      <c r="B135" s="2" t="s">
        <v>2813</v>
      </c>
      <c r="C135" s="2" t="s">
        <v>2595</v>
      </c>
      <c r="D135" s="2" t="s">
        <v>2814</v>
      </c>
      <c r="E135" s="51"/>
      <c r="F135" s="47"/>
      <c r="G135" s="52">
        <f t="array" ref="G135">MAX(IF(INSTOCK!$H$2:$H$2025=B135,INSTOCK!$K$2:$K$2025))</f>
        <v>0</v>
      </c>
      <c r="H135" s="53">
        <f>SUM(IF(INSTOCK!$H$2:$H$2025=B135,INSTOCK!$I$2:$I$2025))</f>
        <v>0</v>
      </c>
      <c r="I135" s="53" t="str">
        <f>SUM(IF([1]!Table13[ID]=B135,[1]!Table13[QTY]))</f>
        <v>#ERROR!</v>
      </c>
      <c r="J135" s="53" t="str">
        <f>TABLEITEM!$H$3:$H$1138-TABLEITEM!$I$3:$I$1138</f>
        <v>#ERROR!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hidden="1" customHeight="1">
      <c r="A136" s="47">
        <v>134.0</v>
      </c>
      <c r="B136" s="2" t="s">
        <v>566</v>
      </c>
      <c r="C136" s="2" t="s">
        <v>2595</v>
      </c>
      <c r="D136" s="2" t="s">
        <v>2815</v>
      </c>
      <c r="E136" s="51"/>
      <c r="F136" s="47"/>
      <c r="G136" s="52">
        <f t="array" ref="G136">MAX(IF(INSTOCK!$H$2:$H$2025=B136,INSTOCK!$K$2:$K$2025))</f>
        <v>0</v>
      </c>
      <c r="H136" s="53">
        <f>SUM(IF(INSTOCK!$H$2:$H$2025=B136,INSTOCK!$I$2:$I$2025))</f>
        <v>0</v>
      </c>
      <c r="I136" s="53" t="str">
        <f>SUM(IF([1]!Table13[ID]=B136,[1]!Table13[QTY]))</f>
        <v>#ERROR!</v>
      </c>
      <c r="J136" s="53" t="str">
        <f>TABLEITEM!$H$3:$H$1138-TABLEITEM!$I$3:$I$1138</f>
        <v>#ERROR!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hidden="1" customHeight="1">
      <c r="A137" s="47">
        <v>135.0</v>
      </c>
      <c r="B137" s="2" t="s">
        <v>2816</v>
      </c>
      <c r="C137" s="2" t="s">
        <v>2595</v>
      </c>
      <c r="D137" s="2" t="s">
        <v>2817</v>
      </c>
      <c r="E137" s="51"/>
      <c r="F137" s="47"/>
      <c r="G137" s="52">
        <f t="array" ref="G137">MAX(IF(INSTOCK!$H$2:$H$2025=B137,INSTOCK!$K$2:$K$2025))</f>
        <v>0</v>
      </c>
      <c r="H137" s="53">
        <f>SUM(IF(INSTOCK!$H$2:$H$2025=B137,INSTOCK!$I$2:$I$2025))</f>
        <v>0</v>
      </c>
      <c r="I137" s="53" t="str">
        <f>SUM(IF([1]!Table13[ID]=B137,[1]!Table13[QTY]))</f>
        <v>#ERROR!</v>
      </c>
      <c r="J137" s="53" t="str">
        <f>TABLEITEM!$H$3:$H$1138-TABLEITEM!$I$3:$I$1138</f>
        <v>#ERROR!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hidden="1" customHeight="1">
      <c r="A138" s="47">
        <v>136.0</v>
      </c>
      <c r="B138" s="2" t="s">
        <v>2818</v>
      </c>
      <c r="C138" s="2" t="s">
        <v>2595</v>
      </c>
      <c r="D138" s="2" t="s">
        <v>2819</v>
      </c>
      <c r="E138" s="51"/>
      <c r="F138" s="47"/>
      <c r="G138" s="52">
        <f t="array" ref="G138">MAX(IF(INSTOCK!$H$2:$H$2025=B138,INSTOCK!$K$2:$K$2025))</f>
        <v>0</v>
      </c>
      <c r="H138" s="53">
        <f>SUM(IF(INSTOCK!$H$2:$H$2025=B138,INSTOCK!$I$2:$I$2025))</f>
        <v>0</v>
      </c>
      <c r="I138" s="53" t="str">
        <f>SUM(IF([1]!Table13[ID]=B138,[1]!Table13[QTY]))</f>
        <v>#ERROR!</v>
      </c>
      <c r="J138" s="53" t="str">
        <f>TABLEITEM!$H$3:$H$1138-TABLEITEM!$I$3:$I$1138</f>
        <v>#ERROR!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hidden="1" customHeight="1">
      <c r="A139" s="47">
        <v>137.0</v>
      </c>
      <c r="B139" s="2" t="s">
        <v>2820</v>
      </c>
      <c r="C139" s="2" t="s">
        <v>2595</v>
      </c>
      <c r="D139" s="2" t="s">
        <v>2821</v>
      </c>
      <c r="E139" s="51"/>
      <c r="F139" s="47"/>
      <c r="G139" s="52">
        <f t="array" ref="G139">MAX(IF(INSTOCK!$H$2:$H$2025=B139,INSTOCK!$K$2:$K$2025))</f>
        <v>0</v>
      </c>
      <c r="H139" s="53">
        <f>SUM(IF(INSTOCK!$H$2:$H$2025=B139,INSTOCK!$I$2:$I$2025))</f>
        <v>0</v>
      </c>
      <c r="I139" s="53" t="str">
        <f>SUM(IF([1]!Table13[ID]=B139,[1]!Table13[QTY]))</f>
        <v>#ERROR!</v>
      </c>
      <c r="J139" s="53" t="str">
        <f>TABLEITEM!$H$3:$H$1138-TABLEITEM!$I$3:$I$1138</f>
        <v>#ERROR!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hidden="1" customHeight="1">
      <c r="A140" s="47">
        <v>138.0</v>
      </c>
      <c r="B140" s="2" t="s">
        <v>2822</v>
      </c>
      <c r="C140" s="2" t="s">
        <v>2595</v>
      </c>
      <c r="D140" s="2" t="s">
        <v>2823</v>
      </c>
      <c r="E140" s="51"/>
      <c r="F140" s="47"/>
      <c r="G140" s="52">
        <f t="array" ref="G140">MAX(IF(INSTOCK!$H$2:$H$2025=B140,INSTOCK!$K$2:$K$2025))</f>
        <v>0</v>
      </c>
      <c r="H140" s="53">
        <f>SUM(IF(INSTOCK!$H$2:$H$2025=B140,INSTOCK!$I$2:$I$2025))</f>
        <v>0</v>
      </c>
      <c r="I140" s="53" t="str">
        <f>SUM(IF([1]!Table13[ID]=B140,[1]!Table13[QTY]))</f>
        <v>#ERROR!</v>
      </c>
      <c r="J140" s="53" t="str">
        <f>TABLEITEM!$H$3:$H$1138-TABLEITEM!$I$3:$I$1138</f>
        <v>#ERROR!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hidden="1" customHeight="1">
      <c r="A141" s="47">
        <v>139.0</v>
      </c>
      <c r="B141" s="2" t="s">
        <v>2824</v>
      </c>
      <c r="C141" s="2" t="s">
        <v>2595</v>
      </c>
      <c r="D141" s="2" t="s">
        <v>2825</v>
      </c>
      <c r="E141" s="51"/>
      <c r="F141" s="47"/>
      <c r="G141" s="52">
        <f t="array" ref="G141">MAX(IF(INSTOCK!$H$2:$H$2025=B141,INSTOCK!$K$2:$K$2025))</f>
        <v>0</v>
      </c>
      <c r="H141" s="53">
        <f>SUM(IF(INSTOCK!$H$2:$H$2025=B141,INSTOCK!$I$2:$I$2025))</f>
        <v>0</v>
      </c>
      <c r="I141" s="53" t="str">
        <f>SUM(IF([1]!Table13[ID]=B141,[1]!Table13[QTY]))</f>
        <v>#ERROR!</v>
      </c>
      <c r="J141" s="53" t="str">
        <f>TABLEITEM!$H$3:$H$1138-TABLEITEM!$I$3:$I$1138</f>
        <v>#ERROR!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hidden="1" customHeight="1">
      <c r="A142" s="47">
        <v>140.0</v>
      </c>
      <c r="B142" s="2" t="s">
        <v>2826</v>
      </c>
      <c r="C142" s="2" t="s">
        <v>2595</v>
      </c>
      <c r="D142" s="2" t="s">
        <v>2827</v>
      </c>
      <c r="E142" s="51"/>
      <c r="F142" s="47"/>
      <c r="G142" s="52">
        <f t="array" ref="G142">MAX(IF(INSTOCK!$H$2:$H$2025=B142,INSTOCK!$K$2:$K$2025))</f>
        <v>0</v>
      </c>
      <c r="H142" s="53">
        <f>SUM(IF(INSTOCK!$H$2:$H$2025=B142,INSTOCK!$I$2:$I$2025))</f>
        <v>0</v>
      </c>
      <c r="I142" s="53" t="str">
        <f>SUM(IF([1]!Table13[ID]=B142,[1]!Table13[QTY]))</f>
        <v>#ERROR!</v>
      </c>
      <c r="J142" s="53" t="str">
        <f>TABLEITEM!$H$3:$H$1138-TABLEITEM!$I$3:$I$1138</f>
        <v>#ERROR!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hidden="1" customHeight="1">
      <c r="A143" s="47">
        <v>141.0</v>
      </c>
      <c r="B143" s="2" t="s">
        <v>2828</v>
      </c>
      <c r="C143" s="2" t="s">
        <v>2595</v>
      </c>
      <c r="D143" s="2" t="s">
        <v>2829</v>
      </c>
      <c r="E143" s="51"/>
      <c r="F143" s="47"/>
      <c r="G143" s="52">
        <f t="array" ref="G143">MAX(IF(INSTOCK!$H$2:$H$2025=B143,INSTOCK!$K$2:$K$2025))</f>
        <v>0</v>
      </c>
      <c r="H143" s="53">
        <f>SUM(IF(INSTOCK!$H$2:$H$2025=B143,INSTOCK!$I$2:$I$2025))</f>
        <v>0</v>
      </c>
      <c r="I143" s="53" t="str">
        <f>SUM(IF([1]!Table13[ID]=B143,[1]!Table13[QTY]))</f>
        <v>#ERROR!</v>
      </c>
      <c r="J143" s="53" t="str">
        <f>TABLEITEM!$H$3:$H$1138-TABLEITEM!$I$3:$I$1138</f>
        <v>#ERROR!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hidden="1" customHeight="1">
      <c r="A144" s="47">
        <v>142.0</v>
      </c>
      <c r="B144" s="2" t="s">
        <v>2830</v>
      </c>
      <c r="C144" s="2" t="s">
        <v>2595</v>
      </c>
      <c r="D144" s="2" t="s">
        <v>2831</v>
      </c>
      <c r="E144" s="51"/>
      <c r="F144" s="47"/>
      <c r="G144" s="52">
        <f t="array" ref="G144">MAX(IF(INSTOCK!$H$2:$H$2025=B144,INSTOCK!$K$2:$K$2025))</f>
        <v>0</v>
      </c>
      <c r="H144" s="53">
        <f>SUM(IF(INSTOCK!$H$2:$H$2025=B144,INSTOCK!$I$2:$I$2025))</f>
        <v>0</v>
      </c>
      <c r="I144" s="53" t="str">
        <f>SUM(IF([1]!Table13[ID]=B144,[1]!Table13[QTY]))</f>
        <v>#ERROR!</v>
      </c>
      <c r="J144" s="53" t="str">
        <f>TABLEITEM!$H$3:$H$1138-TABLEITEM!$I$3:$I$1138</f>
        <v>#ERROR!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hidden="1" customHeight="1">
      <c r="A145" s="47">
        <v>143.0</v>
      </c>
      <c r="B145" s="2" t="s">
        <v>2832</v>
      </c>
      <c r="C145" s="2" t="s">
        <v>2595</v>
      </c>
      <c r="D145" s="2" t="s">
        <v>2833</v>
      </c>
      <c r="E145" s="51"/>
      <c r="F145" s="47"/>
      <c r="G145" s="52">
        <f t="array" ref="G145">MAX(IF(INSTOCK!$H$2:$H$2025=B145,INSTOCK!$K$2:$K$2025))</f>
        <v>0</v>
      </c>
      <c r="H145" s="53">
        <f>SUM(IF(INSTOCK!$H$2:$H$2025=B145,INSTOCK!$I$2:$I$2025))</f>
        <v>0</v>
      </c>
      <c r="I145" s="53" t="str">
        <f>SUM(IF([1]!Table13[ID]=B145,[1]!Table13[QTY]))</f>
        <v>#ERROR!</v>
      </c>
      <c r="J145" s="53" t="str">
        <f>TABLEITEM!$H$3:$H$1138-TABLEITEM!$I$3:$I$1138</f>
        <v>#ERROR!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hidden="1" customHeight="1">
      <c r="A146" s="47">
        <v>144.0</v>
      </c>
      <c r="B146" s="2" t="s">
        <v>2834</v>
      </c>
      <c r="C146" s="2" t="s">
        <v>2595</v>
      </c>
      <c r="D146" s="2" t="s">
        <v>2835</v>
      </c>
      <c r="E146" s="51"/>
      <c r="F146" s="47"/>
      <c r="G146" s="52">
        <f t="array" ref="G146">MAX(IF(INSTOCK!$H$2:$H$2025=B146,INSTOCK!$K$2:$K$2025))</f>
        <v>0</v>
      </c>
      <c r="H146" s="53">
        <f>SUM(IF(INSTOCK!$H$2:$H$2025=B146,INSTOCK!$I$2:$I$2025))</f>
        <v>0</v>
      </c>
      <c r="I146" s="53" t="str">
        <f>SUM(IF([1]!Table13[ID]=B146,[1]!Table13[QTY]))</f>
        <v>#ERROR!</v>
      </c>
      <c r="J146" s="53" t="str">
        <f>TABLEITEM!$H$3:$H$1138-TABLEITEM!$I$3:$I$1138</f>
        <v>#ERROR!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hidden="1" customHeight="1">
      <c r="A147" s="47">
        <v>145.0</v>
      </c>
      <c r="B147" s="2" t="s">
        <v>2836</v>
      </c>
      <c r="C147" s="2" t="s">
        <v>2595</v>
      </c>
      <c r="D147" s="2" t="s">
        <v>2837</v>
      </c>
      <c r="E147" s="51"/>
      <c r="F147" s="47"/>
      <c r="G147" s="52">
        <f t="array" ref="G147">MAX(IF(INSTOCK!$H$2:$H$2025=B147,INSTOCK!$K$2:$K$2025))</f>
        <v>0</v>
      </c>
      <c r="H147" s="53">
        <f>SUM(IF(INSTOCK!$H$2:$H$2025=B147,INSTOCK!$I$2:$I$2025))</f>
        <v>0</v>
      </c>
      <c r="I147" s="53" t="str">
        <f>SUM(IF([1]!Table13[ID]=B147,[1]!Table13[QTY]))</f>
        <v>#ERROR!</v>
      </c>
      <c r="J147" s="53" t="str">
        <f>TABLEITEM!$H$3:$H$1138-TABLEITEM!$I$3:$I$1138</f>
        <v>#ERROR!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hidden="1" customHeight="1">
      <c r="A148" s="47">
        <v>146.0</v>
      </c>
      <c r="B148" s="2" t="s">
        <v>2838</v>
      </c>
      <c r="C148" s="2" t="s">
        <v>2595</v>
      </c>
      <c r="D148" s="2" t="s">
        <v>2839</v>
      </c>
      <c r="E148" s="51"/>
      <c r="F148" s="47"/>
      <c r="G148" s="52">
        <f t="array" ref="G148">MAX(IF(INSTOCK!$H$2:$H$2025=B148,INSTOCK!$K$2:$K$2025))</f>
        <v>0</v>
      </c>
      <c r="H148" s="53">
        <f>SUM(IF(INSTOCK!$H$2:$H$2025=B148,INSTOCK!$I$2:$I$2025))</f>
        <v>0</v>
      </c>
      <c r="I148" s="53" t="str">
        <f>SUM(IF([1]!Table13[ID]=B148,[1]!Table13[QTY]))</f>
        <v>#ERROR!</v>
      </c>
      <c r="J148" s="53" t="str">
        <f>TABLEITEM!$H$3:$H$1138-TABLEITEM!$I$3:$I$1138</f>
        <v>#ERROR!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hidden="1" customHeight="1">
      <c r="A149" s="47">
        <v>147.0</v>
      </c>
      <c r="B149" s="2" t="s">
        <v>635</v>
      </c>
      <c r="C149" s="2" t="s">
        <v>2595</v>
      </c>
      <c r="D149" s="2" t="s">
        <v>2840</v>
      </c>
      <c r="E149" s="51"/>
      <c r="F149" s="47"/>
      <c r="G149" s="52">
        <f t="array" ref="G149">MAX(IF(INSTOCK!$H$2:$H$2025=B149,INSTOCK!$K$2:$K$2025))</f>
        <v>0</v>
      </c>
      <c r="H149" s="53">
        <f>SUM(IF(INSTOCK!$H$2:$H$2025=B149,INSTOCK!$I$2:$I$2025))</f>
        <v>0</v>
      </c>
      <c r="I149" s="53" t="str">
        <f>SUM(IF([1]!Table13[ID]=B149,[1]!Table13[QTY]))</f>
        <v>#ERROR!</v>
      </c>
      <c r="J149" s="53" t="str">
        <f>TABLEITEM!$H$3:$H$1138-TABLEITEM!$I$3:$I$1138</f>
        <v>#ERROR!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hidden="1" customHeight="1">
      <c r="A150" s="47">
        <v>148.0</v>
      </c>
      <c r="B150" s="2" t="s">
        <v>2841</v>
      </c>
      <c r="C150" s="2" t="s">
        <v>2595</v>
      </c>
      <c r="D150" s="2" t="s">
        <v>2842</v>
      </c>
      <c r="E150" s="51"/>
      <c r="F150" s="47"/>
      <c r="G150" s="52">
        <f t="array" ref="G150">MAX(IF(INSTOCK!$H$2:$H$2025=B150,INSTOCK!$K$2:$K$2025))</f>
        <v>0</v>
      </c>
      <c r="H150" s="53">
        <f>SUM(IF(INSTOCK!$H$2:$H$2025=B150,INSTOCK!$I$2:$I$2025))</f>
        <v>0</v>
      </c>
      <c r="I150" s="53" t="str">
        <f>SUM(IF([1]!Table13[ID]=B150,[1]!Table13[QTY]))</f>
        <v>#ERROR!</v>
      </c>
      <c r="J150" s="53" t="str">
        <f>TABLEITEM!$H$3:$H$1138-TABLEITEM!$I$3:$I$1138</f>
        <v>#ERROR!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hidden="1" customHeight="1">
      <c r="A151" s="47">
        <v>149.0</v>
      </c>
      <c r="B151" s="2" t="s">
        <v>2843</v>
      </c>
      <c r="C151" s="2" t="s">
        <v>2595</v>
      </c>
      <c r="D151" s="2" t="s">
        <v>2844</v>
      </c>
      <c r="E151" s="51"/>
      <c r="F151" s="47"/>
      <c r="G151" s="52">
        <f t="array" ref="G151">MAX(IF(INSTOCK!$H$2:$H$2025=B151,INSTOCK!$K$2:$K$2025))</f>
        <v>0</v>
      </c>
      <c r="H151" s="53">
        <f>SUM(IF(INSTOCK!$H$2:$H$2025=B151,INSTOCK!$I$2:$I$2025))</f>
        <v>0</v>
      </c>
      <c r="I151" s="53" t="str">
        <f>SUM(IF([1]!Table13[ID]=B151,[1]!Table13[QTY]))</f>
        <v>#ERROR!</v>
      </c>
      <c r="J151" s="53" t="str">
        <f>TABLEITEM!$H$3:$H$1138-TABLEITEM!$I$3:$I$1138</f>
        <v>#ERROR!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hidden="1" customHeight="1">
      <c r="A152" s="47">
        <v>150.0</v>
      </c>
      <c r="B152" s="2" t="s">
        <v>2845</v>
      </c>
      <c r="C152" s="2" t="s">
        <v>2595</v>
      </c>
      <c r="D152" s="2" t="s">
        <v>2846</v>
      </c>
      <c r="E152" s="51"/>
      <c r="F152" s="47"/>
      <c r="G152" s="52">
        <f t="array" ref="G152">MAX(IF(INSTOCK!$H$2:$H$2025=B152,INSTOCK!$K$2:$K$2025))</f>
        <v>0</v>
      </c>
      <c r="H152" s="53">
        <f>SUM(IF(INSTOCK!$H$2:$H$2025=B152,INSTOCK!$I$2:$I$2025))</f>
        <v>0</v>
      </c>
      <c r="I152" s="53" t="str">
        <f>SUM(IF([1]!Table13[ID]=B152,[1]!Table13[QTY]))</f>
        <v>#ERROR!</v>
      </c>
      <c r="J152" s="53" t="str">
        <f>TABLEITEM!$H$3:$H$1138-TABLEITEM!$I$3:$I$1138</f>
        <v>#ERROR!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hidden="1" customHeight="1">
      <c r="A153" s="47">
        <v>151.0</v>
      </c>
      <c r="B153" s="2" t="s">
        <v>1341</v>
      </c>
      <c r="C153" s="2" t="s">
        <v>2595</v>
      </c>
      <c r="D153" s="2" t="s">
        <v>2847</v>
      </c>
      <c r="E153" s="51"/>
      <c r="F153" s="47"/>
      <c r="G153" s="52">
        <f t="array" ref="G153">MAX(IF(INSTOCK!$H$2:$H$2025=B153,INSTOCK!$K$2:$K$2025))</f>
        <v>0</v>
      </c>
      <c r="H153" s="53">
        <f>SUM(IF(INSTOCK!$H$2:$H$2025=B153,INSTOCK!$I$2:$I$2025))</f>
        <v>0</v>
      </c>
      <c r="I153" s="53" t="str">
        <f>SUM(IF([1]!Table13[ID]=B153,[1]!Table13[QTY]))</f>
        <v>#ERROR!</v>
      </c>
      <c r="J153" s="53" t="str">
        <f>TABLEITEM!$H$3:$H$1138-TABLEITEM!$I$3:$I$1138</f>
        <v>#ERROR!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hidden="1" customHeight="1">
      <c r="A154" s="47">
        <v>152.0</v>
      </c>
      <c r="B154" s="2" t="s">
        <v>2848</v>
      </c>
      <c r="C154" s="2" t="s">
        <v>2595</v>
      </c>
      <c r="D154" s="2" t="s">
        <v>2849</v>
      </c>
      <c r="E154" s="51"/>
      <c r="F154" s="47"/>
      <c r="G154" s="52">
        <f t="array" ref="G154">MAX(IF(INSTOCK!$H$2:$H$2025=B154,INSTOCK!$K$2:$K$2025))</f>
        <v>0</v>
      </c>
      <c r="H154" s="53">
        <f>SUM(IF(INSTOCK!$H$2:$H$2025=B154,INSTOCK!$I$2:$I$2025))</f>
        <v>0</v>
      </c>
      <c r="I154" s="53" t="str">
        <f>SUM(IF([1]!Table13[ID]=B154,[1]!Table13[QTY]))</f>
        <v>#ERROR!</v>
      </c>
      <c r="J154" s="53" t="str">
        <f>TABLEITEM!$H$3:$H$1138-TABLEITEM!$I$3:$I$1138</f>
        <v>#ERROR!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hidden="1" customHeight="1">
      <c r="A155" s="47">
        <v>153.0</v>
      </c>
      <c r="B155" s="2" t="s">
        <v>2850</v>
      </c>
      <c r="C155" s="2" t="s">
        <v>2595</v>
      </c>
      <c r="D155" s="2" t="s">
        <v>2851</v>
      </c>
      <c r="E155" s="51"/>
      <c r="F155" s="47"/>
      <c r="G155" s="52">
        <f t="array" ref="G155">MAX(IF(INSTOCK!$H$2:$H$2025=B155,INSTOCK!$K$2:$K$2025))</f>
        <v>0</v>
      </c>
      <c r="H155" s="53">
        <f>SUM(IF(INSTOCK!$H$2:$H$2025=B155,INSTOCK!$I$2:$I$2025))</f>
        <v>0</v>
      </c>
      <c r="I155" s="53" t="str">
        <f>SUM(IF([1]!Table13[ID]=B155,[1]!Table13[QTY]))</f>
        <v>#ERROR!</v>
      </c>
      <c r="J155" s="53" t="str">
        <f>TABLEITEM!$H$3:$H$1138-TABLEITEM!$I$3:$I$1138</f>
        <v>#ERROR!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hidden="1" customHeight="1">
      <c r="A156" s="47">
        <v>154.0</v>
      </c>
      <c r="B156" s="2" t="s">
        <v>2852</v>
      </c>
      <c r="C156" s="2" t="s">
        <v>2595</v>
      </c>
      <c r="D156" s="2" t="s">
        <v>2853</v>
      </c>
      <c r="E156" s="51"/>
      <c r="F156" s="47"/>
      <c r="G156" s="52">
        <f t="array" ref="G156">MAX(IF(INSTOCK!$H$2:$H$2025=B156,INSTOCK!$K$2:$K$2025))</f>
        <v>0</v>
      </c>
      <c r="H156" s="53">
        <f>SUM(IF(INSTOCK!$H$2:$H$2025=B156,INSTOCK!$I$2:$I$2025))</f>
        <v>0</v>
      </c>
      <c r="I156" s="53" t="str">
        <f>SUM(IF([1]!Table13[ID]=B156,[1]!Table13[QTY]))</f>
        <v>#ERROR!</v>
      </c>
      <c r="J156" s="53" t="str">
        <f>TABLEITEM!$H$3:$H$1138-TABLEITEM!$I$3:$I$1138</f>
        <v>#ERROR!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hidden="1" customHeight="1">
      <c r="A157" s="47">
        <v>155.0</v>
      </c>
      <c r="B157" s="2" t="s">
        <v>1337</v>
      </c>
      <c r="C157" s="2" t="s">
        <v>2595</v>
      </c>
      <c r="D157" s="2" t="s">
        <v>2854</v>
      </c>
      <c r="E157" s="51"/>
      <c r="F157" s="47"/>
      <c r="G157" s="52">
        <f t="array" ref="G157">MAX(IF(INSTOCK!$H$2:$H$2025=B157,INSTOCK!$K$2:$K$2025))</f>
        <v>0</v>
      </c>
      <c r="H157" s="53">
        <f>SUM(IF(INSTOCK!$H$2:$H$2025=B157,INSTOCK!$I$2:$I$2025))</f>
        <v>0</v>
      </c>
      <c r="I157" s="53" t="str">
        <f>SUM(IF([1]!Table13[ID]=B157,[1]!Table13[QTY]))</f>
        <v>#ERROR!</v>
      </c>
      <c r="J157" s="53" t="str">
        <f>TABLEITEM!$H$3:$H$1138-TABLEITEM!$I$3:$I$1138</f>
        <v>#ERROR!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hidden="1" customHeight="1">
      <c r="A158" s="47">
        <v>156.0</v>
      </c>
      <c r="B158" s="2" t="s">
        <v>2855</v>
      </c>
      <c r="C158" s="2" t="s">
        <v>2595</v>
      </c>
      <c r="D158" s="2" t="s">
        <v>2856</v>
      </c>
      <c r="E158" s="51"/>
      <c r="F158" s="47"/>
      <c r="G158" s="52">
        <f t="array" ref="G158">MAX(IF(INSTOCK!$H$2:$H$2025=B158,INSTOCK!$K$2:$K$2025))</f>
        <v>0</v>
      </c>
      <c r="H158" s="53">
        <f>SUM(IF(INSTOCK!$H$2:$H$2025=B158,INSTOCK!$I$2:$I$2025))</f>
        <v>0</v>
      </c>
      <c r="I158" s="53" t="str">
        <f>SUM(IF([1]!Table13[ID]=B158,[1]!Table13[QTY]))</f>
        <v>#ERROR!</v>
      </c>
      <c r="J158" s="53" t="str">
        <f>TABLEITEM!$H$3:$H$1138-TABLEITEM!$I$3:$I$1138</f>
        <v>#ERROR!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hidden="1" customHeight="1">
      <c r="A159" s="47">
        <v>157.0</v>
      </c>
      <c r="B159" s="2" t="s">
        <v>2857</v>
      </c>
      <c r="C159" s="2" t="s">
        <v>2595</v>
      </c>
      <c r="D159" s="2" t="s">
        <v>2858</v>
      </c>
      <c r="E159" s="51"/>
      <c r="F159" s="47"/>
      <c r="G159" s="52">
        <f t="array" ref="G159">MAX(IF(INSTOCK!$H$2:$H$2025=B159,INSTOCK!$K$2:$K$2025))</f>
        <v>0</v>
      </c>
      <c r="H159" s="53">
        <f>SUM(IF(INSTOCK!$H$2:$H$2025=B159,INSTOCK!$I$2:$I$2025))</f>
        <v>0</v>
      </c>
      <c r="I159" s="53" t="str">
        <f>SUM(IF([1]!Table13[ID]=B159,[1]!Table13[QTY]))</f>
        <v>#ERROR!</v>
      </c>
      <c r="J159" s="53" t="str">
        <f>TABLEITEM!$H$3:$H$1138-TABLEITEM!$I$3:$I$1138</f>
        <v>#ERROR!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hidden="1" customHeight="1">
      <c r="A160" s="47">
        <v>158.0</v>
      </c>
      <c r="B160" s="2" t="s">
        <v>1340</v>
      </c>
      <c r="C160" s="2" t="s">
        <v>2595</v>
      </c>
      <c r="D160" s="2" t="s">
        <v>2859</v>
      </c>
      <c r="E160" s="51"/>
      <c r="F160" s="47"/>
      <c r="G160" s="52">
        <f t="array" ref="G160">MAX(IF(INSTOCK!$H$2:$H$2025=B160,INSTOCK!$K$2:$K$2025))</f>
        <v>0</v>
      </c>
      <c r="H160" s="53">
        <f>SUM(IF(INSTOCK!$H$2:$H$2025=B160,INSTOCK!$I$2:$I$2025))</f>
        <v>0</v>
      </c>
      <c r="I160" s="53" t="str">
        <f>SUM(IF([1]!Table13[ID]=B160,[1]!Table13[QTY]))</f>
        <v>#ERROR!</v>
      </c>
      <c r="J160" s="53" t="str">
        <f>TABLEITEM!$H$3:$H$1138-TABLEITEM!$I$3:$I$1138</f>
        <v>#ERROR!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hidden="1" customHeight="1">
      <c r="A161" s="47">
        <v>159.0</v>
      </c>
      <c r="B161" s="2" t="s">
        <v>457</v>
      </c>
      <c r="C161" s="2" t="s">
        <v>2595</v>
      </c>
      <c r="D161" s="2" t="s">
        <v>2860</v>
      </c>
      <c r="E161" s="51"/>
      <c r="F161" s="47"/>
      <c r="G161" s="52">
        <f t="array" ref="G161">MAX(IF(INSTOCK!$H$2:$H$2025=B161,INSTOCK!$K$2:$K$2025))</f>
        <v>0</v>
      </c>
      <c r="H161" s="53">
        <f>SUM(IF(INSTOCK!$H$2:$H$2025=B161,INSTOCK!$I$2:$I$2025))</f>
        <v>0</v>
      </c>
      <c r="I161" s="53" t="str">
        <f>SUM(IF([1]!Table13[ID]=B161,[1]!Table13[QTY]))</f>
        <v>#ERROR!</v>
      </c>
      <c r="J161" s="53" t="str">
        <f>TABLEITEM!$H$3:$H$1138-TABLEITEM!$I$3:$I$1138</f>
        <v>#ERROR!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hidden="1" customHeight="1">
      <c r="A162" s="47">
        <v>160.0</v>
      </c>
      <c r="B162" s="2" t="s">
        <v>2861</v>
      </c>
      <c r="C162" s="2" t="s">
        <v>2595</v>
      </c>
      <c r="D162" s="2" t="s">
        <v>2862</v>
      </c>
      <c r="E162" s="51"/>
      <c r="F162" s="47"/>
      <c r="G162" s="52">
        <f t="array" ref="G162">MAX(IF(INSTOCK!$H$2:$H$2025=B162,INSTOCK!$K$2:$K$2025))</f>
        <v>0</v>
      </c>
      <c r="H162" s="53">
        <f>SUM(IF(INSTOCK!$H$2:$H$2025=B162,INSTOCK!$I$2:$I$2025))</f>
        <v>0</v>
      </c>
      <c r="I162" s="53" t="str">
        <f>SUM(IF([1]!Table13[ID]=B162,[1]!Table13[QTY]))</f>
        <v>#ERROR!</v>
      </c>
      <c r="J162" s="53" t="str">
        <f>TABLEITEM!$H$3:$H$1138-TABLEITEM!$I$3:$I$1138</f>
        <v>#ERROR!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hidden="1" customHeight="1">
      <c r="A163" s="47">
        <v>161.0</v>
      </c>
      <c r="B163" s="2" t="s">
        <v>2863</v>
      </c>
      <c r="C163" s="2" t="s">
        <v>2595</v>
      </c>
      <c r="D163" s="2" t="s">
        <v>2864</v>
      </c>
      <c r="E163" s="51"/>
      <c r="F163" s="47"/>
      <c r="G163" s="52">
        <f t="array" ref="G163">MAX(IF(INSTOCK!$H$2:$H$2025=B163,INSTOCK!$K$2:$K$2025))</f>
        <v>0</v>
      </c>
      <c r="H163" s="53">
        <f>SUM(IF(INSTOCK!$H$2:$H$2025=B163,INSTOCK!$I$2:$I$2025))</f>
        <v>0</v>
      </c>
      <c r="I163" s="53" t="str">
        <f>SUM(IF([1]!Table13[ID]=B163,[1]!Table13[QTY]))</f>
        <v>#ERROR!</v>
      </c>
      <c r="J163" s="53" t="str">
        <f>TABLEITEM!$H$3:$H$1138-TABLEITEM!$I$3:$I$1138</f>
        <v>#ERROR!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hidden="1" customHeight="1">
      <c r="A164" s="47">
        <v>162.0</v>
      </c>
      <c r="B164" s="2" t="s">
        <v>1339</v>
      </c>
      <c r="C164" s="2" t="s">
        <v>2595</v>
      </c>
      <c r="D164" s="2" t="s">
        <v>2865</v>
      </c>
      <c r="E164" s="51"/>
      <c r="F164" s="47"/>
      <c r="G164" s="52">
        <f t="array" ref="G164">MAX(IF(INSTOCK!$H$2:$H$2025=B164,INSTOCK!$K$2:$K$2025))</f>
        <v>0</v>
      </c>
      <c r="H164" s="53">
        <f>SUM(IF(INSTOCK!$H$2:$H$2025=B164,INSTOCK!$I$2:$I$2025))</f>
        <v>0</v>
      </c>
      <c r="I164" s="53" t="str">
        <f>SUM(IF([1]!Table13[ID]=B164,[1]!Table13[QTY]))</f>
        <v>#ERROR!</v>
      </c>
      <c r="J164" s="53" t="str">
        <f>TABLEITEM!$H$3:$H$1138-TABLEITEM!$I$3:$I$1138</f>
        <v>#ERROR!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hidden="1" customHeight="1">
      <c r="A165" s="47">
        <v>163.0</v>
      </c>
      <c r="B165" s="2" t="s">
        <v>651</v>
      </c>
      <c r="C165" s="2" t="s">
        <v>2595</v>
      </c>
      <c r="D165" s="2" t="s">
        <v>2866</v>
      </c>
      <c r="E165" s="51"/>
      <c r="F165" s="47"/>
      <c r="G165" s="52">
        <f t="array" ref="G165">MAX(IF(INSTOCK!$H$2:$H$2025=B165,INSTOCK!$K$2:$K$2025))</f>
        <v>0</v>
      </c>
      <c r="H165" s="53">
        <f>SUM(IF(INSTOCK!$H$2:$H$2025=B165,INSTOCK!$I$2:$I$2025))</f>
        <v>0</v>
      </c>
      <c r="I165" s="53" t="str">
        <f>SUM(IF([1]!Table13[ID]=B165,[1]!Table13[QTY]))</f>
        <v>#ERROR!</v>
      </c>
      <c r="J165" s="53" t="str">
        <f>TABLEITEM!$H$3:$H$1138-TABLEITEM!$I$3:$I$1138</f>
        <v>#ERROR!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hidden="1" customHeight="1">
      <c r="A166" s="47">
        <v>164.0</v>
      </c>
      <c r="B166" s="2" t="s">
        <v>2867</v>
      </c>
      <c r="C166" s="2" t="s">
        <v>2595</v>
      </c>
      <c r="D166" s="2" t="s">
        <v>2868</v>
      </c>
      <c r="E166" s="51"/>
      <c r="F166" s="47"/>
      <c r="G166" s="52">
        <f t="array" ref="G166">MAX(IF(INSTOCK!$H$2:$H$2025=B166,INSTOCK!$K$2:$K$2025))</f>
        <v>0</v>
      </c>
      <c r="H166" s="53">
        <f>SUM(IF(INSTOCK!$H$2:$H$2025=B166,INSTOCK!$I$2:$I$2025))</f>
        <v>0</v>
      </c>
      <c r="I166" s="53" t="str">
        <f>SUM(IF([1]!Table13[ID]=B166,[1]!Table13[QTY]))</f>
        <v>#ERROR!</v>
      </c>
      <c r="J166" s="53" t="str">
        <f>TABLEITEM!$H$3:$H$1138-TABLEITEM!$I$3:$I$1138</f>
        <v>#ERROR!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hidden="1" customHeight="1">
      <c r="A167" s="47">
        <v>165.0</v>
      </c>
      <c r="B167" s="2" t="s">
        <v>2869</v>
      </c>
      <c r="C167" s="2" t="s">
        <v>2595</v>
      </c>
      <c r="D167" s="2" t="s">
        <v>2870</v>
      </c>
      <c r="E167" s="51"/>
      <c r="F167" s="47"/>
      <c r="G167" s="52">
        <f t="array" ref="G167">MAX(IF(INSTOCK!$H$2:$H$2025=B167,INSTOCK!$K$2:$K$2025))</f>
        <v>0</v>
      </c>
      <c r="H167" s="53">
        <f>SUM(IF(INSTOCK!$H$2:$H$2025=B167,INSTOCK!$I$2:$I$2025))</f>
        <v>0</v>
      </c>
      <c r="I167" s="53" t="str">
        <f>SUM(IF([1]!Table13[ID]=B167,[1]!Table13[QTY]))</f>
        <v>#ERROR!</v>
      </c>
      <c r="J167" s="53" t="str">
        <f>TABLEITEM!$H$3:$H$1138-TABLEITEM!$I$3:$I$1138</f>
        <v>#ERROR!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hidden="1" customHeight="1">
      <c r="A168" s="47">
        <v>166.0</v>
      </c>
      <c r="B168" s="2" t="s">
        <v>2871</v>
      </c>
      <c r="C168" s="2" t="s">
        <v>2595</v>
      </c>
      <c r="D168" s="2" t="s">
        <v>2872</v>
      </c>
      <c r="E168" s="51"/>
      <c r="F168" s="47"/>
      <c r="G168" s="52">
        <f t="array" ref="G168">MAX(IF(INSTOCK!$H$2:$H$2025=B168,INSTOCK!$K$2:$K$2025))</f>
        <v>0</v>
      </c>
      <c r="H168" s="53">
        <f>SUM(IF(INSTOCK!$H$2:$H$2025=B168,INSTOCK!$I$2:$I$2025))</f>
        <v>0</v>
      </c>
      <c r="I168" s="53" t="str">
        <f>SUM(IF([1]!Table13[ID]=B168,[1]!Table13[QTY]))</f>
        <v>#ERROR!</v>
      </c>
      <c r="J168" s="53" t="str">
        <f>TABLEITEM!$H$3:$H$1138-TABLEITEM!$I$3:$I$1138</f>
        <v>#ERROR!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hidden="1" customHeight="1">
      <c r="A169" s="47">
        <v>167.0</v>
      </c>
      <c r="B169" s="2" t="s">
        <v>2873</v>
      </c>
      <c r="C169" s="2" t="s">
        <v>2595</v>
      </c>
      <c r="D169" s="2" t="s">
        <v>2874</v>
      </c>
      <c r="E169" s="51"/>
      <c r="F169" s="47"/>
      <c r="G169" s="52">
        <f t="array" ref="G169">MAX(IF(INSTOCK!$H$2:$H$2025=B169,INSTOCK!$K$2:$K$2025))</f>
        <v>0</v>
      </c>
      <c r="H169" s="53">
        <f>SUM(IF(INSTOCK!$H$2:$H$2025=B169,INSTOCK!$I$2:$I$2025))</f>
        <v>0</v>
      </c>
      <c r="I169" s="53" t="str">
        <f>SUM(IF([1]!Table13[ID]=B169,[1]!Table13[QTY]))</f>
        <v>#ERROR!</v>
      </c>
      <c r="J169" s="53" t="str">
        <f>TABLEITEM!$H$3:$H$1138-TABLEITEM!$I$3:$I$1138</f>
        <v>#ERROR!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hidden="1" customHeight="1">
      <c r="A170" s="47">
        <v>168.0</v>
      </c>
      <c r="B170" s="2" t="s">
        <v>2875</v>
      </c>
      <c r="C170" s="2" t="s">
        <v>2595</v>
      </c>
      <c r="D170" s="2" t="s">
        <v>2876</v>
      </c>
      <c r="E170" s="51"/>
      <c r="F170" s="47"/>
      <c r="G170" s="52">
        <f t="array" ref="G170">MAX(IF(INSTOCK!$H$2:$H$2025=B170,INSTOCK!$K$2:$K$2025))</f>
        <v>0</v>
      </c>
      <c r="H170" s="53">
        <f>SUM(IF(INSTOCK!$H$2:$H$2025=B170,INSTOCK!$I$2:$I$2025))</f>
        <v>0</v>
      </c>
      <c r="I170" s="53" t="str">
        <f>SUM(IF([1]!Table13[ID]=B170,[1]!Table13[QTY]))</f>
        <v>#ERROR!</v>
      </c>
      <c r="J170" s="53" t="str">
        <f>TABLEITEM!$H$3:$H$1138-TABLEITEM!$I$3:$I$1138</f>
        <v>#ERROR!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hidden="1" customHeight="1">
      <c r="A171" s="47">
        <v>169.0</v>
      </c>
      <c r="B171" s="2" t="s">
        <v>2877</v>
      </c>
      <c r="C171" s="2" t="s">
        <v>2595</v>
      </c>
      <c r="D171" s="2" t="s">
        <v>2878</v>
      </c>
      <c r="E171" s="51"/>
      <c r="F171" s="47"/>
      <c r="G171" s="52">
        <f t="array" ref="G171">MAX(IF(INSTOCK!$H$2:$H$2025=B171,INSTOCK!$K$2:$K$2025))</f>
        <v>0</v>
      </c>
      <c r="H171" s="53">
        <f>SUM(IF(INSTOCK!$H$2:$H$2025=B171,INSTOCK!$I$2:$I$2025))</f>
        <v>0</v>
      </c>
      <c r="I171" s="53" t="str">
        <f>SUM(IF([1]!Table13[ID]=B171,[1]!Table13[QTY]))</f>
        <v>#ERROR!</v>
      </c>
      <c r="J171" s="53" t="str">
        <f>TABLEITEM!$H$3:$H$1138-TABLEITEM!$I$3:$I$1138</f>
        <v>#ERROR!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hidden="1" customHeight="1">
      <c r="A172" s="47">
        <v>170.0</v>
      </c>
      <c r="B172" s="2" t="s">
        <v>707</v>
      </c>
      <c r="C172" s="2" t="s">
        <v>2595</v>
      </c>
      <c r="D172" s="2" t="s">
        <v>2879</v>
      </c>
      <c r="E172" s="51"/>
      <c r="F172" s="47"/>
      <c r="G172" s="52">
        <f t="array" ref="G172">MAX(IF(INSTOCK!$H$2:$H$2025=B172,INSTOCK!$K$2:$K$2025))</f>
        <v>0</v>
      </c>
      <c r="H172" s="53">
        <f>SUM(IF(INSTOCK!$H$2:$H$2025=B172,INSTOCK!$I$2:$I$2025))</f>
        <v>0</v>
      </c>
      <c r="I172" s="53" t="str">
        <f>SUM(IF([1]!Table13[ID]=B172,[1]!Table13[QTY]))</f>
        <v>#ERROR!</v>
      </c>
      <c r="J172" s="53" t="str">
        <f>TABLEITEM!$H$3:$H$1138-TABLEITEM!$I$3:$I$1138</f>
        <v>#ERROR!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hidden="1" customHeight="1">
      <c r="A173" s="47">
        <v>171.0</v>
      </c>
      <c r="B173" s="2" t="s">
        <v>2880</v>
      </c>
      <c r="C173" s="2" t="s">
        <v>2595</v>
      </c>
      <c r="D173" s="2" t="s">
        <v>2881</v>
      </c>
      <c r="E173" s="51"/>
      <c r="F173" s="47"/>
      <c r="G173" s="52">
        <f t="array" ref="G173">MAX(IF(INSTOCK!$H$2:$H$2025=B173,INSTOCK!$K$2:$K$2025))</f>
        <v>0</v>
      </c>
      <c r="H173" s="53">
        <f>SUM(IF(INSTOCK!$H$2:$H$2025=B173,INSTOCK!$I$2:$I$2025))</f>
        <v>0</v>
      </c>
      <c r="I173" s="53" t="str">
        <f>SUM(IF([1]!Table13[ID]=B173,[1]!Table13[QTY]))</f>
        <v>#ERROR!</v>
      </c>
      <c r="J173" s="53" t="str">
        <f>TABLEITEM!$H$3:$H$1138-TABLEITEM!$I$3:$I$1138</f>
        <v>#ERROR!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hidden="1" customHeight="1">
      <c r="A174" s="47">
        <v>172.0</v>
      </c>
      <c r="B174" s="2" t="s">
        <v>552</v>
      </c>
      <c r="C174" s="2" t="s">
        <v>2595</v>
      </c>
      <c r="D174" s="2" t="s">
        <v>2882</v>
      </c>
      <c r="E174" s="51"/>
      <c r="F174" s="47"/>
      <c r="G174" s="52">
        <f t="array" ref="G174">MAX(IF(INSTOCK!$H$2:$H$2025=B174,INSTOCK!$K$2:$K$2025))</f>
        <v>0</v>
      </c>
      <c r="H174" s="53">
        <f>SUM(IF(INSTOCK!$H$2:$H$2025=B174,INSTOCK!$I$2:$I$2025))</f>
        <v>0</v>
      </c>
      <c r="I174" s="53" t="str">
        <f>SUM(IF([1]!Table13[ID]=B174,[1]!Table13[QTY]))</f>
        <v>#ERROR!</v>
      </c>
      <c r="J174" s="53" t="str">
        <f>TABLEITEM!$H$3:$H$1138-TABLEITEM!$I$3:$I$1138</f>
        <v>#ERROR!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hidden="1" customHeight="1">
      <c r="A175" s="47">
        <v>173.0</v>
      </c>
      <c r="B175" s="2" t="s">
        <v>553</v>
      </c>
      <c r="C175" s="2" t="s">
        <v>2595</v>
      </c>
      <c r="D175" s="2" t="s">
        <v>2883</v>
      </c>
      <c r="E175" s="51"/>
      <c r="F175" s="47"/>
      <c r="G175" s="52">
        <f t="array" ref="G175">MAX(IF(INSTOCK!$H$2:$H$2025=B175,INSTOCK!$K$2:$K$2025))</f>
        <v>0</v>
      </c>
      <c r="H175" s="53">
        <f>SUM(IF(INSTOCK!$H$2:$H$2025=B175,INSTOCK!$I$2:$I$2025))</f>
        <v>0</v>
      </c>
      <c r="I175" s="53" t="str">
        <f>SUM(IF([1]!Table13[ID]=B175,[1]!Table13[QTY]))</f>
        <v>#ERROR!</v>
      </c>
      <c r="J175" s="53" t="str">
        <f>TABLEITEM!$H$3:$H$1138-TABLEITEM!$I$3:$I$1138</f>
        <v>#ERROR!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hidden="1" customHeight="1">
      <c r="A176" s="47">
        <v>174.0</v>
      </c>
      <c r="B176" s="2" t="s">
        <v>480</v>
      </c>
      <c r="C176" s="2" t="s">
        <v>2595</v>
      </c>
      <c r="D176" s="2" t="s">
        <v>2884</v>
      </c>
      <c r="E176" s="51"/>
      <c r="F176" s="47"/>
      <c r="G176" s="52">
        <f t="array" ref="G176">MAX(IF(INSTOCK!$H$2:$H$2025=B176,INSTOCK!$K$2:$K$2025))</f>
        <v>0</v>
      </c>
      <c r="H176" s="53">
        <f>SUM(IF(INSTOCK!$H$2:$H$2025=B176,INSTOCK!$I$2:$I$2025))</f>
        <v>0</v>
      </c>
      <c r="I176" s="53" t="str">
        <f>SUM(IF([1]!Table13[ID]=B176,[1]!Table13[QTY]))</f>
        <v>#ERROR!</v>
      </c>
      <c r="J176" s="53" t="str">
        <f>TABLEITEM!$H$3:$H$1138-TABLEITEM!$I$3:$I$1138</f>
        <v>#ERROR!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hidden="1" customHeight="1">
      <c r="A177" s="47">
        <v>175.0</v>
      </c>
      <c r="B177" s="2" t="s">
        <v>542</v>
      </c>
      <c r="C177" s="2" t="s">
        <v>2595</v>
      </c>
      <c r="D177" s="2" t="s">
        <v>2885</v>
      </c>
      <c r="E177" s="51"/>
      <c r="F177" s="47"/>
      <c r="G177" s="52">
        <f t="array" ref="G177">MAX(IF(INSTOCK!$H$2:$H$2025=B177,INSTOCK!$K$2:$K$2025))</f>
        <v>0</v>
      </c>
      <c r="H177" s="53">
        <f>SUM(IF(INSTOCK!$H$2:$H$2025=B177,INSTOCK!$I$2:$I$2025))</f>
        <v>0</v>
      </c>
      <c r="I177" s="53" t="str">
        <f>SUM(IF([1]!Table13[ID]=B177,[1]!Table13[QTY]))</f>
        <v>#ERROR!</v>
      </c>
      <c r="J177" s="53" t="str">
        <f>TABLEITEM!$H$3:$H$1138-TABLEITEM!$I$3:$I$1138</f>
        <v>#ERROR!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hidden="1" customHeight="1">
      <c r="A178" s="47">
        <v>176.0</v>
      </c>
      <c r="B178" s="2" t="s">
        <v>2886</v>
      </c>
      <c r="C178" s="2" t="s">
        <v>2595</v>
      </c>
      <c r="D178" s="2" t="s">
        <v>2887</v>
      </c>
      <c r="E178" s="51"/>
      <c r="F178" s="47"/>
      <c r="G178" s="52">
        <f t="array" ref="G178">MAX(IF(INSTOCK!$H$2:$H$2025=B178,INSTOCK!$K$2:$K$2025))</f>
        <v>0</v>
      </c>
      <c r="H178" s="53">
        <f>SUM(IF(INSTOCK!$H$2:$H$2025=B178,INSTOCK!$I$2:$I$2025))</f>
        <v>0</v>
      </c>
      <c r="I178" s="53" t="str">
        <f>SUM(IF([1]!Table13[ID]=B178,[1]!Table13[QTY]))</f>
        <v>#ERROR!</v>
      </c>
      <c r="J178" s="53" t="str">
        <f>TABLEITEM!$H$3:$H$1138-TABLEITEM!$I$3:$I$1138</f>
        <v>#ERROR!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hidden="1" customHeight="1">
      <c r="A179" s="47">
        <v>177.0</v>
      </c>
      <c r="B179" s="2" t="s">
        <v>1276</v>
      </c>
      <c r="C179" s="2" t="s">
        <v>2595</v>
      </c>
      <c r="D179" s="2" t="s">
        <v>2888</v>
      </c>
      <c r="E179" s="51"/>
      <c r="F179" s="47"/>
      <c r="G179" s="52">
        <f t="array" ref="G179">MAX(IF(INSTOCK!$H$2:$H$2025=B179,INSTOCK!$K$2:$K$2025))</f>
        <v>0</v>
      </c>
      <c r="H179" s="53">
        <f>SUM(IF(INSTOCK!$H$2:$H$2025=B179,INSTOCK!$I$2:$I$2025))</f>
        <v>0</v>
      </c>
      <c r="I179" s="53" t="str">
        <f>SUM(IF([1]!Table13[ID]=B179,[1]!Table13[QTY]))</f>
        <v>#ERROR!</v>
      </c>
      <c r="J179" s="53" t="str">
        <f>TABLEITEM!$H$3:$H$1138-TABLEITEM!$I$3:$I$1138</f>
        <v>#ERROR!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hidden="1" customHeight="1">
      <c r="A180" s="47">
        <v>178.0</v>
      </c>
      <c r="B180" s="2" t="s">
        <v>2889</v>
      </c>
      <c r="C180" s="2" t="s">
        <v>2595</v>
      </c>
      <c r="D180" s="2" t="s">
        <v>2890</v>
      </c>
      <c r="E180" s="51"/>
      <c r="F180" s="47"/>
      <c r="G180" s="52">
        <f t="array" ref="G180">MAX(IF(INSTOCK!$H$2:$H$2025=B180,INSTOCK!$K$2:$K$2025))</f>
        <v>0</v>
      </c>
      <c r="H180" s="53">
        <f>SUM(IF(INSTOCK!$H$2:$H$2025=B180,INSTOCK!$I$2:$I$2025))</f>
        <v>0</v>
      </c>
      <c r="I180" s="53" t="str">
        <f>SUM(IF([1]!Table13[ID]=B180,[1]!Table13[QTY]))</f>
        <v>#ERROR!</v>
      </c>
      <c r="J180" s="53" t="str">
        <f>TABLEITEM!$H$3:$H$1138-TABLEITEM!$I$3:$I$1138</f>
        <v>#ERROR!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hidden="1" customHeight="1">
      <c r="A181" s="47">
        <v>179.0</v>
      </c>
      <c r="B181" s="2" t="s">
        <v>2891</v>
      </c>
      <c r="C181" s="2" t="s">
        <v>2595</v>
      </c>
      <c r="D181" s="2" t="s">
        <v>2892</v>
      </c>
      <c r="E181" s="51"/>
      <c r="F181" s="47"/>
      <c r="G181" s="52">
        <f t="array" ref="G181">MAX(IF(INSTOCK!$H$2:$H$2025=B181,INSTOCK!$K$2:$K$2025))</f>
        <v>0</v>
      </c>
      <c r="H181" s="53">
        <f>SUM(IF(INSTOCK!$H$2:$H$2025=B181,INSTOCK!$I$2:$I$2025))</f>
        <v>0</v>
      </c>
      <c r="I181" s="53" t="str">
        <f>SUM(IF([1]!Table13[ID]=B181,[1]!Table13[QTY]))</f>
        <v>#ERROR!</v>
      </c>
      <c r="J181" s="53" t="str">
        <f>TABLEITEM!$H$3:$H$1138-TABLEITEM!$I$3:$I$1138</f>
        <v>#ERROR!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hidden="1" customHeight="1">
      <c r="A182" s="47">
        <v>180.0</v>
      </c>
      <c r="B182" s="2" t="s">
        <v>2893</v>
      </c>
      <c r="C182" s="2" t="s">
        <v>2595</v>
      </c>
      <c r="D182" s="2" t="s">
        <v>2894</v>
      </c>
      <c r="E182" s="51"/>
      <c r="F182" s="47"/>
      <c r="G182" s="52">
        <f t="array" ref="G182">MAX(IF(INSTOCK!$H$2:$H$2025=B182,INSTOCK!$K$2:$K$2025))</f>
        <v>0</v>
      </c>
      <c r="H182" s="53">
        <f>SUM(IF(INSTOCK!$H$2:$H$2025=B182,INSTOCK!$I$2:$I$2025))</f>
        <v>0</v>
      </c>
      <c r="I182" s="53" t="str">
        <f>SUM(IF([1]!Table13[ID]=B182,[1]!Table13[QTY]))</f>
        <v>#ERROR!</v>
      </c>
      <c r="J182" s="53" t="str">
        <f>TABLEITEM!$H$3:$H$1138-TABLEITEM!$I$3:$I$1138</f>
        <v>#ERROR!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hidden="1" customHeight="1">
      <c r="A183" s="47">
        <v>181.0</v>
      </c>
      <c r="B183" s="2" t="s">
        <v>2895</v>
      </c>
      <c r="C183" s="2" t="s">
        <v>2595</v>
      </c>
      <c r="D183" s="2" t="s">
        <v>2896</v>
      </c>
      <c r="E183" s="51"/>
      <c r="F183" s="47"/>
      <c r="G183" s="52">
        <f t="array" ref="G183">MAX(IF(INSTOCK!$H$2:$H$2025=B183,INSTOCK!$K$2:$K$2025))</f>
        <v>0</v>
      </c>
      <c r="H183" s="53">
        <f>SUM(IF(INSTOCK!$H$2:$H$2025=B183,INSTOCK!$I$2:$I$2025))</f>
        <v>0</v>
      </c>
      <c r="I183" s="53" t="str">
        <f>SUM(IF([1]!Table13[ID]=B183,[1]!Table13[QTY]))</f>
        <v>#ERROR!</v>
      </c>
      <c r="J183" s="53" t="str">
        <f>TABLEITEM!$H$3:$H$1138-TABLEITEM!$I$3:$I$1138</f>
        <v>#ERROR!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hidden="1" customHeight="1">
      <c r="A184" s="47">
        <v>182.0</v>
      </c>
      <c r="B184" s="2" t="s">
        <v>2897</v>
      </c>
      <c r="C184" s="2" t="s">
        <v>2595</v>
      </c>
      <c r="D184" s="2" t="s">
        <v>2898</v>
      </c>
      <c r="E184" s="51"/>
      <c r="F184" s="47"/>
      <c r="G184" s="52">
        <f t="array" ref="G184">MAX(IF(INSTOCK!$H$2:$H$2025=B184,INSTOCK!$K$2:$K$2025))</f>
        <v>0</v>
      </c>
      <c r="H184" s="53">
        <f>SUM(IF(INSTOCK!$H$2:$H$2025=B184,INSTOCK!$I$2:$I$2025))</f>
        <v>0</v>
      </c>
      <c r="I184" s="53" t="str">
        <f>SUM(IF([1]!Table13[ID]=B184,[1]!Table13[QTY]))</f>
        <v>#ERROR!</v>
      </c>
      <c r="J184" s="53" t="str">
        <f>TABLEITEM!$H$3:$H$1138-TABLEITEM!$I$3:$I$1138</f>
        <v>#ERROR!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hidden="1" customHeight="1">
      <c r="A185" s="47">
        <v>183.0</v>
      </c>
      <c r="B185" s="2" t="s">
        <v>2899</v>
      </c>
      <c r="C185" s="2" t="s">
        <v>2595</v>
      </c>
      <c r="D185" s="2" t="s">
        <v>2900</v>
      </c>
      <c r="E185" s="51"/>
      <c r="F185" s="47"/>
      <c r="G185" s="52">
        <f t="array" ref="G185">MAX(IF(INSTOCK!$H$2:$H$2025=B185,INSTOCK!$K$2:$K$2025))</f>
        <v>0</v>
      </c>
      <c r="H185" s="53">
        <f>SUM(IF(INSTOCK!$H$2:$H$2025=B185,INSTOCK!$I$2:$I$2025))</f>
        <v>0</v>
      </c>
      <c r="I185" s="53" t="str">
        <f>SUM(IF([1]!Table13[ID]=B185,[1]!Table13[QTY]))</f>
        <v>#ERROR!</v>
      </c>
      <c r="J185" s="53" t="str">
        <f>TABLEITEM!$H$3:$H$1138-TABLEITEM!$I$3:$I$1138</f>
        <v>#ERROR!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hidden="1" customHeight="1">
      <c r="A186" s="47">
        <v>184.0</v>
      </c>
      <c r="B186" s="2" t="s">
        <v>598</v>
      </c>
      <c r="C186" s="2" t="s">
        <v>2595</v>
      </c>
      <c r="D186" s="2" t="s">
        <v>2901</v>
      </c>
      <c r="E186" s="51"/>
      <c r="F186" s="47"/>
      <c r="G186" s="52">
        <f t="array" ref="G186">MAX(IF(INSTOCK!$H$2:$H$2025=B186,INSTOCK!$K$2:$K$2025))</f>
        <v>0</v>
      </c>
      <c r="H186" s="53">
        <f>SUM(IF(INSTOCK!$H$2:$H$2025=B186,INSTOCK!$I$2:$I$2025))</f>
        <v>0</v>
      </c>
      <c r="I186" s="53" t="str">
        <f>SUM(IF([1]!Table13[ID]=B186,[1]!Table13[QTY]))</f>
        <v>#ERROR!</v>
      </c>
      <c r="J186" s="53" t="str">
        <f>TABLEITEM!$H$3:$H$1138-TABLEITEM!$I$3:$I$1138</f>
        <v>#ERROR!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hidden="1" customHeight="1">
      <c r="A187" s="47">
        <v>185.0</v>
      </c>
      <c r="B187" s="2" t="s">
        <v>479</v>
      </c>
      <c r="C187" s="2" t="s">
        <v>2595</v>
      </c>
      <c r="D187" s="2" t="s">
        <v>2902</v>
      </c>
      <c r="E187" s="51"/>
      <c r="F187" s="47"/>
      <c r="G187" s="52">
        <f t="array" ref="G187">MAX(IF(INSTOCK!$H$2:$H$2025=B187,INSTOCK!$K$2:$K$2025))</f>
        <v>0</v>
      </c>
      <c r="H187" s="53">
        <f>SUM(IF(INSTOCK!$H$2:$H$2025=B187,INSTOCK!$I$2:$I$2025))</f>
        <v>0</v>
      </c>
      <c r="I187" s="53" t="str">
        <f>SUM(IF([1]!Table13[ID]=B187,[1]!Table13[QTY]))</f>
        <v>#ERROR!</v>
      </c>
      <c r="J187" s="53" t="str">
        <f>TABLEITEM!$H$3:$H$1138-TABLEITEM!$I$3:$I$1138</f>
        <v>#ERROR!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hidden="1" customHeight="1">
      <c r="A188" s="47">
        <v>186.0</v>
      </c>
      <c r="B188" s="2" t="s">
        <v>2903</v>
      </c>
      <c r="C188" s="2" t="s">
        <v>2595</v>
      </c>
      <c r="D188" s="2" t="s">
        <v>2904</v>
      </c>
      <c r="E188" s="51"/>
      <c r="F188" s="47"/>
      <c r="G188" s="52">
        <f t="array" ref="G188">MAX(IF(INSTOCK!$H$2:$H$2025=B188,INSTOCK!$K$2:$K$2025))</f>
        <v>0</v>
      </c>
      <c r="H188" s="53">
        <f>SUM(IF(INSTOCK!$H$2:$H$2025=B188,INSTOCK!$I$2:$I$2025))</f>
        <v>0</v>
      </c>
      <c r="I188" s="53" t="str">
        <f>SUM(IF([1]!Table13[ID]=B188,[1]!Table13[QTY]))</f>
        <v>#ERROR!</v>
      </c>
      <c r="J188" s="53" t="str">
        <f>TABLEITEM!$H$3:$H$1138-TABLEITEM!$I$3:$I$1138</f>
        <v>#ERROR!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hidden="1" customHeight="1">
      <c r="A189" s="47">
        <v>187.0</v>
      </c>
      <c r="B189" s="2" t="s">
        <v>599</v>
      </c>
      <c r="C189" s="2" t="s">
        <v>2595</v>
      </c>
      <c r="D189" s="2" t="s">
        <v>2905</v>
      </c>
      <c r="E189" s="51"/>
      <c r="F189" s="47"/>
      <c r="G189" s="52">
        <f t="array" ref="G189">MAX(IF(INSTOCK!$H$2:$H$2025=B189,INSTOCK!$K$2:$K$2025))</f>
        <v>0</v>
      </c>
      <c r="H189" s="53">
        <f>SUM(IF(INSTOCK!$H$2:$H$2025=B189,INSTOCK!$I$2:$I$2025))</f>
        <v>0</v>
      </c>
      <c r="I189" s="53" t="str">
        <f>SUM(IF([1]!Table13[ID]=B189,[1]!Table13[QTY]))</f>
        <v>#ERROR!</v>
      </c>
      <c r="J189" s="53" t="str">
        <f>TABLEITEM!$H$3:$H$1138-TABLEITEM!$I$3:$I$1138</f>
        <v>#ERROR!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hidden="1" customHeight="1">
      <c r="A190" s="47">
        <v>188.0</v>
      </c>
      <c r="B190" s="2" t="s">
        <v>481</v>
      </c>
      <c r="C190" s="2" t="s">
        <v>2595</v>
      </c>
      <c r="D190" s="2" t="s">
        <v>2906</v>
      </c>
      <c r="E190" s="51"/>
      <c r="F190" s="47"/>
      <c r="G190" s="52">
        <f t="array" ref="G190">MAX(IF(INSTOCK!$H$2:$H$2025=B190,INSTOCK!$K$2:$K$2025))</f>
        <v>0</v>
      </c>
      <c r="H190" s="53">
        <f>SUM(IF(INSTOCK!$H$2:$H$2025=B190,INSTOCK!$I$2:$I$2025))</f>
        <v>0</v>
      </c>
      <c r="I190" s="53" t="str">
        <f>SUM(IF([1]!Table13[ID]=B190,[1]!Table13[QTY]))</f>
        <v>#ERROR!</v>
      </c>
      <c r="J190" s="53" t="str">
        <f>TABLEITEM!$H$3:$H$1138-TABLEITEM!$I$3:$I$1138</f>
        <v>#ERROR!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hidden="1" customHeight="1">
      <c r="A191" s="47">
        <v>189.0</v>
      </c>
      <c r="B191" s="2" t="s">
        <v>2907</v>
      </c>
      <c r="C191" s="2" t="s">
        <v>2595</v>
      </c>
      <c r="D191" s="2" t="s">
        <v>2908</v>
      </c>
      <c r="E191" s="51"/>
      <c r="F191" s="47"/>
      <c r="G191" s="52">
        <f t="array" ref="G191">MAX(IF(INSTOCK!$H$2:$H$2025=B191,INSTOCK!$K$2:$K$2025))</f>
        <v>0</v>
      </c>
      <c r="H191" s="53">
        <f>SUM(IF(INSTOCK!$H$2:$H$2025=B191,INSTOCK!$I$2:$I$2025))</f>
        <v>0</v>
      </c>
      <c r="I191" s="53" t="str">
        <f>SUM(IF([1]!Table13[ID]=B191,[1]!Table13[QTY]))</f>
        <v>#ERROR!</v>
      </c>
      <c r="J191" s="53" t="str">
        <f>TABLEITEM!$H$3:$H$1138-TABLEITEM!$I$3:$I$1138</f>
        <v>#ERROR!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hidden="1" customHeight="1">
      <c r="A192" s="47">
        <v>190.0</v>
      </c>
      <c r="B192" s="2" t="s">
        <v>462</v>
      </c>
      <c r="C192" s="2" t="s">
        <v>2595</v>
      </c>
      <c r="D192" s="2" t="s">
        <v>2909</v>
      </c>
      <c r="E192" s="51"/>
      <c r="F192" s="47"/>
      <c r="G192" s="52">
        <f t="array" ref="G192">MAX(IF(INSTOCK!$H$2:$H$2025=B192,INSTOCK!$K$2:$K$2025))</f>
        <v>0</v>
      </c>
      <c r="H192" s="53">
        <f>SUM(IF(INSTOCK!$H$2:$H$2025=B192,INSTOCK!$I$2:$I$2025))</f>
        <v>0</v>
      </c>
      <c r="I192" s="53" t="str">
        <f>SUM(IF([1]!Table13[ID]=B192,[1]!Table13[QTY]))</f>
        <v>#ERROR!</v>
      </c>
      <c r="J192" s="53" t="str">
        <f>TABLEITEM!$H$3:$H$1138-TABLEITEM!$I$3:$I$1138</f>
        <v>#ERROR!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hidden="1" customHeight="1">
      <c r="A193" s="47">
        <v>191.0</v>
      </c>
      <c r="B193" s="2" t="s">
        <v>461</v>
      </c>
      <c r="C193" s="2" t="s">
        <v>2595</v>
      </c>
      <c r="D193" s="2" t="s">
        <v>2910</v>
      </c>
      <c r="E193" s="51"/>
      <c r="F193" s="47"/>
      <c r="G193" s="52">
        <f t="array" ref="G193">MAX(IF(INSTOCK!$H$2:$H$2025=B193,INSTOCK!$K$2:$K$2025))</f>
        <v>0</v>
      </c>
      <c r="H193" s="53">
        <f>SUM(IF(INSTOCK!$H$2:$H$2025=B193,INSTOCK!$I$2:$I$2025))</f>
        <v>0</v>
      </c>
      <c r="I193" s="53" t="str">
        <f>SUM(IF([1]!Table13[ID]=B193,[1]!Table13[QTY]))</f>
        <v>#ERROR!</v>
      </c>
      <c r="J193" s="53" t="str">
        <f>TABLEITEM!$H$3:$H$1138-TABLEITEM!$I$3:$I$1138</f>
        <v>#ERROR!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hidden="1" customHeight="1">
      <c r="A194" s="47">
        <v>192.0</v>
      </c>
      <c r="B194" s="2" t="s">
        <v>653</v>
      </c>
      <c r="C194" s="2" t="s">
        <v>2595</v>
      </c>
      <c r="D194" s="2" t="s">
        <v>2911</v>
      </c>
      <c r="E194" s="51"/>
      <c r="F194" s="47"/>
      <c r="G194" s="52">
        <f t="array" ref="G194">MAX(IF(INSTOCK!$H$2:$H$2025=B194,INSTOCK!$K$2:$K$2025))</f>
        <v>0</v>
      </c>
      <c r="H194" s="53">
        <f>SUM(IF(INSTOCK!$H$2:$H$2025=B194,INSTOCK!$I$2:$I$2025))</f>
        <v>0</v>
      </c>
      <c r="I194" s="53" t="str">
        <f>SUM(IF([1]!Table13[ID]=B194,[1]!Table13[QTY]))</f>
        <v>#ERROR!</v>
      </c>
      <c r="J194" s="53" t="str">
        <f>TABLEITEM!$H$3:$H$1138-TABLEITEM!$I$3:$I$1138</f>
        <v>#ERROR!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hidden="1" customHeight="1">
      <c r="A195" s="47">
        <v>193.0</v>
      </c>
      <c r="B195" s="2" t="s">
        <v>1367</v>
      </c>
      <c r="C195" s="2" t="s">
        <v>2595</v>
      </c>
      <c r="D195" s="2" t="s">
        <v>2912</v>
      </c>
      <c r="E195" s="51"/>
      <c r="F195" s="47"/>
      <c r="G195" s="52">
        <f t="array" ref="G195">MAX(IF(INSTOCK!$H$2:$H$2025=B195,INSTOCK!$K$2:$K$2025))</f>
        <v>0</v>
      </c>
      <c r="H195" s="53">
        <f>SUM(IF(INSTOCK!$H$2:$H$2025=B195,INSTOCK!$I$2:$I$2025))</f>
        <v>0</v>
      </c>
      <c r="I195" s="53" t="str">
        <f>SUM(IF([1]!Table13[ID]=B195,[1]!Table13[QTY]))</f>
        <v>#ERROR!</v>
      </c>
      <c r="J195" s="53" t="str">
        <f>TABLEITEM!$H$3:$H$1138-TABLEITEM!$I$3:$I$1138</f>
        <v>#ERROR!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hidden="1" customHeight="1">
      <c r="A196" s="47">
        <v>194.0</v>
      </c>
      <c r="B196" s="2" t="s">
        <v>1368</v>
      </c>
      <c r="C196" s="2" t="s">
        <v>2595</v>
      </c>
      <c r="D196" s="2" t="s">
        <v>2913</v>
      </c>
      <c r="E196" s="51"/>
      <c r="F196" s="47"/>
      <c r="G196" s="52">
        <f t="array" ref="G196">MAX(IF(INSTOCK!$H$2:$H$2025=B196,INSTOCK!$K$2:$K$2025))</f>
        <v>0</v>
      </c>
      <c r="H196" s="53">
        <f>SUM(IF(INSTOCK!$H$2:$H$2025=B196,INSTOCK!$I$2:$I$2025))</f>
        <v>0</v>
      </c>
      <c r="I196" s="53" t="str">
        <f>SUM(IF([1]!Table13[ID]=B196,[1]!Table13[QTY]))</f>
        <v>#ERROR!</v>
      </c>
      <c r="J196" s="53" t="str">
        <f>TABLEITEM!$H$3:$H$1138-TABLEITEM!$I$3:$I$1138</f>
        <v>#ERROR!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hidden="1" customHeight="1">
      <c r="A197" s="47">
        <v>195.0</v>
      </c>
      <c r="B197" s="2" t="s">
        <v>1388</v>
      </c>
      <c r="C197" s="2" t="s">
        <v>2595</v>
      </c>
      <c r="D197" s="2" t="s">
        <v>2914</v>
      </c>
      <c r="E197" s="51"/>
      <c r="F197" s="47"/>
      <c r="G197" s="52">
        <f t="array" ref="G197">MAX(IF(INSTOCK!$H$2:$H$2025=B197,INSTOCK!$K$2:$K$2025))</f>
        <v>0</v>
      </c>
      <c r="H197" s="53">
        <f>SUM(IF(INSTOCK!$H$2:$H$2025=B197,INSTOCK!$I$2:$I$2025))</f>
        <v>0</v>
      </c>
      <c r="I197" s="53" t="str">
        <f>SUM(IF([1]!Table13[ID]=B197,[1]!Table13[QTY]))</f>
        <v>#ERROR!</v>
      </c>
      <c r="J197" s="53" t="str">
        <f>TABLEITEM!$H$3:$H$1138-TABLEITEM!$I$3:$I$1138</f>
        <v>#ERROR!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hidden="1" customHeight="1">
      <c r="A198" s="47">
        <v>196.0</v>
      </c>
      <c r="B198" s="2" t="s">
        <v>2915</v>
      </c>
      <c r="C198" s="2" t="s">
        <v>2595</v>
      </c>
      <c r="D198" s="2" t="s">
        <v>2916</v>
      </c>
      <c r="E198" s="51"/>
      <c r="F198" s="47"/>
      <c r="G198" s="52">
        <f t="array" ref="G198">MAX(IF(INSTOCK!$H$2:$H$2025=B198,INSTOCK!$K$2:$K$2025))</f>
        <v>0</v>
      </c>
      <c r="H198" s="53">
        <f>SUM(IF(INSTOCK!$H$2:$H$2025=B198,INSTOCK!$I$2:$I$2025))</f>
        <v>0</v>
      </c>
      <c r="I198" s="53" t="str">
        <f>SUM(IF([1]!Table13[ID]=B198,[1]!Table13[QTY]))</f>
        <v>#ERROR!</v>
      </c>
      <c r="J198" s="53" t="str">
        <f>TABLEITEM!$H$3:$H$1138-TABLEITEM!$I$3:$I$1138</f>
        <v>#ERROR!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hidden="1" customHeight="1">
      <c r="A199" s="47">
        <v>197.0</v>
      </c>
      <c r="B199" s="2" t="s">
        <v>2917</v>
      </c>
      <c r="C199" s="2" t="s">
        <v>2595</v>
      </c>
      <c r="D199" s="2" t="s">
        <v>2918</v>
      </c>
      <c r="E199" s="51"/>
      <c r="F199" s="47"/>
      <c r="G199" s="52">
        <f t="array" ref="G199">MAX(IF(INSTOCK!$H$2:$H$2025=B199,INSTOCK!$K$2:$K$2025))</f>
        <v>0</v>
      </c>
      <c r="H199" s="53">
        <f>SUM(IF(INSTOCK!$H$2:$H$2025=B199,INSTOCK!$I$2:$I$2025))</f>
        <v>0</v>
      </c>
      <c r="I199" s="53" t="str">
        <f>SUM(IF([1]!Table13[ID]=B199,[1]!Table13[QTY]))</f>
        <v>#ERROR!</v>
      </c>
      <c r="J199" s="53" t="str">
        <f>TABLEITEM!$H$3:$H$1138-TABLEITEM!$I$3:$I$1138</f>
        <v>#ERROR!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hidden="1" customHeight="1">
      <c r="A200" s="47">
        <v>198.0</v>
      </c>
      <c r="B200" s="2" t="s">
        <v>501</v>
      </c>
      <c r="C200" s="2" t="s">
        <v>2595</v>
      </c>
      <c r="D200" s="2" t="s">
        <v>2919</v>
      </c>
      <c r="E200" s="51"/>
      <c r="F200" s="47"/>
      <c r="G200" s="52">
        <f t="array" ref="G200">MAX(IF(INSTOCK!$H$2:$H$2025=B200,INSTOCK!$K$2:$K$2025))</f>
        <v>0</v>
      </c>
      <c r="H200" s="53">
        <f>SUM(IF(INSTOCK!$H$2:$H$2025=B200,INSTOCK!$I$2:$I$2025))</f>
        <v>0</v>
      </c>
      <c r="I200" s="53" t="str">
        <f>SUM(IF([1]!Table13[ID]=B200,[1]!Table13[QTY]))</f>
        <v>#ERROR!</v>
      </c>
      <c r="J200" s="53" t="str">
        <f>TABLEITEM!$H$3:$H$1138-TABLEITEM!$I$3:$I$1138</f>
        <v>#ERROR!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hidden="1" customHeight="1">
      <c r="A201" s="47">
        <v>199.0</v>
      </c>
      <c r="B201" s="2" t="s">
        <v>2920</v>
      </c>
      <c r="C201" s="2" t="s">
        <v>2595</v>
      </c>
      <c r="D201" s="2" t="s">
        <v>2921</v>
      </c>
      <c r="E201" s="51"/>
      <c r="F201" s="47"/>
      <c r="G201" s="52">
        <f t="array" ref="G201">MAX(IF(INSTOCK!$H$2:$H$2025=B201,INSTOCK!$K$2:$K$2025))</f>
        <v>0</v>
      </c>
      <c r="H201" s="53">
        <f>SUM(IF(INSTOCK!$H$2:$H$2025=B201,INSTOCK!$I$2:$I$2025))</f>
        <v>0</v>
      </c>
      <c r="I201" s="53" t="str">
        <f>SUM(IF([1]!Table13[ID]=B201,[1]!Table13[QTY]))</f>
        <v>#ERROR!</v>
      </c>
      <c r="J201" s="53" t="str">
        <f>TABLEITEM!$H$3:$H$1138-TABLEITEM!$I$3:$I$1138</f>
        <v>#ERROR!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hidden="1" customHeight="1">
      <c r="A202" s="47">
        <v>200.0</v>
      </c>
      <c r="B202" s="2" t="s">
        <v>1887</v>
      </c>
      <c r="C202" s="2" t="s">
        <v>2595</v>
      </c>
      <c r="D202" s="2" t="s">
        <v>2922</v>
      </c>
      <c r="E202" s="51"/>
      <c r="F202" s="47"/>
      <c r="G202" s="52">
        <f t="array" ref="G202">MAX(IF(INSTOCK!$H$2:$H$2025=B202,INSTOCK!$K$2:$K$2025))</f>
        <v>0</v>
      </c>
      <c r="H202" s="53">
        <f>SUM(IF(INSTOCK!$H$2:$H$2025=B202,INSTOCK!$I$2:$I$2025))</f>
        <v>0</v>
      </c>
      <c r="I202" s="53" t="str">
        <f>SUM(IF([1]!Table13[ID]=B202,[1]!Table13[QTY]))</f>
        <v>#ERROR!</v>
      </c>
      <c r="J202" s="53" t="str">
        <f>TABLEITEM!$H$3:$H$1138-TABLEITEM!$I$3:$I$1138</f>
        <v>#ERROR!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hidden="1" customHeight="1">
      <c r="A203" s="47">
        <v>201.0</v>
      </c>
      <c r="B203" s="2" t="s">
        <v>1226</v>
      </c>
      <c r="C203" s="2" t="s">
        <v>2595</v>
      </c>
      <c r="D203" s="2" t="s">
        <v>2923</v>
      </c>
      <c r="E203" s="51"/>
      <c r="F203" s="47"/>
      <c r="G203" s="52">
        <f t="array" ref="G203">MAX(IF(INSTOCK!$H$2:$H$2025=B203,INSTOCK!$K$2:$K$2025))</f>
        <v>0</v>
      </c>
      <c r="H203" s="53">
        <f>SUM(IF(INSTOCK!$H$2:$H$2025=B203,INSTOCK!$I$2:$I$2025))</f>
        <v>0</v>
      </c>
      <c r="I203" s="53" t="str">
        <f>SUM(IF([1]!Table13[ID]=B203,[1]!Table13[QTY]))</f>
        <v>#ERROR!</v>
      </c>
      <c r="J203" s="53" t="str">
        <f>TABLEITEM!$H$3:$H$1138-TABLEITEM!$I$3:$I$1138</f>
        <v>#ERROR!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hidden="1" customHeight="1">
      <c r="A204" s="47">
        <v>202.0</v>
      </c>
      <c r="B204" s="2" t="s">
        <v>596</v>
      </c>
      <c r="C204" s="2" t="s">
        <v>2595</v>
      </c>
      <c r="D204" s="2" t="s">
        <v>2924</v>
      </c>
      <c r="E204" s="51"/>
      <c r="F204" s="47"/>
      <c r="G204" s="52">
        <f t="array" ref="G204">MAX(IF(INSTOCK!$H$2:$H$2025=B204,INSTOCK!$K$2:$K$2025))</f>
        <v>0</v>
      </c>
      <c r="H204" s="53">
        <f>SUM(IF(INSTOCK!$H$2:$H$2025=B204,INSTOCK!$I$2:$I$2025))</f>
        <v>0</v>
      </c>
      <c r="I204" s="53" t="str">
        <f>SUM(IF([1]!Table13[ID]=B204,[1]!Table13[QTY]))</f>
        <v>#ERROR!</v>
      </c>
      <c r="J204" s="53" t="str">
        <f>TABLEITEM!$H$3:$H$1138-TABLEITEM!$I$3:$I$1138</f>
        <v>#ERROR!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hidden="1" customHeight="1">
      <c r="A205" s="47">
        <v>203.0</v>
      </c>
      <c r="B205" s="2" t="s">
        <v>710</v>
      </c>
      <c r="C205" s="2" t="s">
        <v>2595</v>
      </c>
      <c r="D205" s="2" t="s">
        <v>2925</v>
      </c>
      <c r="E205" s="51"/>
      <c r="F205" s="47"/>
      <c r="G205" s="52">
        <f t="array" ref="G205">MAX(IF(INSTOCK!$H$2:$H$2025=B205,INSTOCK!$K$2:$K$2025))</f>
        <v>0</v>
      </c>
      <c r="H205" s="53">
        <f>SUM(IF(INSTOCK!$H$2:$H$2025=B205,INSTOCK!$I$2:$I$2025))</f>
        <v>0</v>
      </c>
      <c r="I205" s="53" t="str">
        <f>SUM(IF([1]!Table13[ID]=B205,[1]!Table13[QTY]))</f>
        <v>#ERROR!</v>
      </c>
      <c r="J205" s="53" t="str">
        <f>TABLEITEM!$H$3:$H$1138-TABLEITEM!$I$3:$I$1138</f>
        <v>#ERROR!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hidden="1" customHeight="1">
      <c r="A206" s="47">
        <v>204.0</v>
      </c>
      <c r="B206" s="2" t="s">
        <v>2926</v>
      </c>
      <c r="C206" s="2" t="s">
        <v>2595</v>
      </c>
      <c r="D206" s="2" t="s">
        <v>2927</v>
      </c>
      <c r="E206" s="51"/>
      <c r="F206" s="47"/>
      <c r="G206" s="52">
        <f t="array" ref="G206">MAX(IF(INSTOCK!$H$2:$H$2025=B206,INSTOCK!$K$2:$K$2025))</f>
        <v>0</v>
      </c>
      <c r="H206" s="53">
        <f>SUM(IF(INSTOCK!$H$2:$H$2025=B206,INSTOCK!$I$2:$I$2025))</f>
        <v>0</v>
      </c>
      <c r="I206" s="53" t="str">
        <f>SUM(IF([1]!Table13[ID]=B206,[1]!Table13[QTY]))</f>
        <v>#ERROR!</v>
      </c>
      <c r="J206" s="53" t="str">
        <f>TABLEITEM!$H$3:$H$1138-TABLEITEM!$I$3:$I$1138</f>
        <v>#ERROR!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hidden="1" customHeight="1">
      <c r="A207" s="47">
        <v>205.0</v>
      </c>
      <c r="B207" s="2" t="s">
        <v>712</v>
      </c>
      <c r="C207" s="2" t="s">
        <v>2595</v>
      </c>
      <c r="D207" s="2" t="s">
        <v>2928</v>
      </c>
      <c r="E207" s="51"/>
      <c r="F207" s="47"/>
      <c r="G207" s="52">
        <f t="array" ref="G207">MAX(IF(INSTOCK!$H$2:$H$2025=B207,INSTOCK!$K$2:$K$2025))</f>
        <v>0</v>
      </c>
      <c r="H207" s="53">
        <f>SUM(IF(INSTOCK!$H$2:$H$2025=B207,INSTOCK!$I$2:$I$2025))</f>
        <v>0</v>
      </c>
      <c r="I207" s="53" t="str">
        <f>SUM(IF([1]!Table13[ID]=B207,[1]!Table13[QTY]))</f>
        <v>#ERROR!</v>
      </c>
      <c r="J207" s="53" t="str">
        <f>TABLEITEM!$H$3:$H$1138-TABLEITEM!$I$3:$I$1138</f>
        <v>#ERROR!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hidden="1" customHeight="1">
      <c r="A208" s="47">
        <v>206.0</v>
      </c>
      <c r="B208" s="2" t="s">
        <v>2929</v>
      </c>
      <c r="C208" s="2" t="s">
        <v>2595</v>
      </c>
      <c r="D208" s="2" t="s">
        <v>2930</v>
      </c>
      <c r="E208" s="51"/>
      <c r="F208" s="47"/>
      <c r="G208" s="52">
        <f t="array" ref="G208">MAX(IF(INSTOCK!$H$2:$H$2025=B208,INSTOCK!$K$2:$K$2025))</f>
        <v>0</v>
      </c>
      <c r="H208" s="53">
        <f>SUM(IF(INSTOCK!$H$2:$H$2025=B208,INSTOCK!$I$2:$I$2025))</f>
        <v>0</v>
      </c>
      <c r="I208" s="53" t="str">
        <f>SUM(IF([1]!Table13[ID]=B208,[1]!Table13[QTY]))</f>
        <v>#ERROR!</v>
      </c>
      <c r="J208" s="53" t="str">
        <f>TABLEITEM!$H$3:$H$1138-TABLEITEM!$I$3:$I$1138</f>
        <v>#ERROR!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hidden="1" customHeight="1">
      <c r="A209" s="47">
        <v>207.0</v>
      </c>
      <c r="B209" s="2" t="s">
        <v>2931</v>
      </c>
      <c r="C209" s="2" t="s">
        <v>2595</v>
      </c>
      <c r="D209" s="2" t="s">
        <v>2932</v>
      </c>
      <c r="E209" s="51"/>
      <c r="F209" s="47"/>
      <c r="G209" s="52">
        <f t="array" ref="G209">MAX(IF(INSTOCK!$H$2:$H$2025=B209,INSTOCK!$K$2:$K$2025))</f>
        <v>0</v>
      </c>
      <c r="H209" s="53">
        <f>SUM(IF(INSTOCK!$H$2:$H$2025=B209,INSTOCK!$I$2:$I$2025))</f>
        <v>0</v>
      </c>
      <c r="I209" s="53" t="str">
        <f>SUM(IF([1]!Table13[ID]=B209,[1]!Table13[QTY]))</f>
        <v>#ERROR!</v>
      </c>
      <c r="J209" s="53" t="str">
        <f>TABLEITEM!$H$3:$H$1138-TABLEITEM!$I$3:$I$1138</f>
        <v>#ERROR!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hidden="1" customHeight="1">
      <c r="A210" s="47">
        <v>208.0</v>
      </c>
      <c r="B210" s="2" t="s">
        <v>2933</v>
      </c>
      <c r="C210" s="2" t="s">
        <v>2595</v>
      </c>
      <c r="D210" s="2" t="s">
        <v>2934</v>
      </c>
      <c r="E210" s="51"/>
      <c r="F210" s="47"/>
      <c r="G210" s="52">
        <f t="array" ref="G210">MAX(IF(INSTOCK!$H$2:$H$2025=B210,INSTOCK!$K$2:$K$2025))</f>
        <v>0</v>
      </c>
      <c r="H210" s="53">
        <f>SUM(IF(INSTOCK!$H$2:$H$2025=B210,INSTOCK!$I$2:$I$2025))</f>
        <v>0</v>
      </c>
      <c r="I210" s="53" t="str">
        <f>SUM(IF([1]!Table13[ID]=B210,[1]!Table13[QTY]))</f>
        <v>#ERROR!</v>
      </c>
      <c r="J210" s="53" t="str">
        <f>TABLEITEM!$H$3:$H$1138-TABLEITEM!$I$3:$I$1138</f>
        <v>#ERROR!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hidden="1" customHeight="1">
      <c r="A211" s="47">
        <v>209.0</v>
      </c>
      <c r="B211" s="2" t="s">
        <v>2935</v>
      </c>
      <c r="C211" s="2" t="s">
        <v>2595</v>
      </c>
      <c r="D211" s="2" t="s">
        <v>2936</v>
      </c>
      <c r="E211" s="51"/>
      <c r="F211" s="47"/>
      <c r="G211" s="52">
        <f t="array" ref="G211">MAX(IF(INSTOCK!$H$2:$H$2025=B211,INSTOCK!$K$2:$K$2025))</f>
        <v>0</v>
      </c>
      <c r="H211" s="53">
        <f>SUM(IF(INSTOCK!$H$2:$H$2025=B211,INSTOCK!$I$2:$I$2025))</f>
        <v>0</v>
      </c>
      <c r="I211" s="53" t="str">
        <f>SUM(IF([1]!Table13[ID]=B211,[1]!Table13[QTY]))</f>
        <v>#ERROR!</v>
      </c>
      <c r="J211" s="53" t="str">
        <f>TABLEITEM!$H$3:$H$1138-TABLEITEM!$I$3:$I$1138</f>
        <v>#ERROR!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hidden="1" customHeight="1">
      <c r="A212" s="47">
        <v>210.0</v>
      </c>
      <c r="B212" s="2" t="s">
        <v>2937</v>
      </c>
      <c r="C212" s="2" t="s">
        <v>2595</v>
      </c>
      <c r="D212" s="2" t="s">
        <v>2938</v>
      </c>
      <c r="E212" s="51"/>
      <c r="F212" s="47"/>
      <c r="G212" s="52">
        <f t="array" ref="G212">MAX(IF(INSTOCK!$H$2:$H$2025=B212,INSTOCK!$K$2:$K$2025))</f>
        <v>0</v>
      </c>
      <c r="H212" s="53">
        <f>SUM(IF(INSTOCK!$H$2:$H$2025=B212,INSTOCK!$I$2:$I$2025))</f>
        <v>0</v>
      </c>
      <c r="I212" s="53" t="str">
        <f>SUM(IF([1]!Table13[ID]=B212,[1]!Table13[QTY]))</f>
        <v>#ERROR!</v>
      </c>
      <c r="J212" s="53" t="str">
        <f>TABLEITEM!$H$3:$H$1138-TABLEITEM!$I$3:$I$1138</f>
        <v>#ERROR!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hidden="1" customHeight="1">
      <c r="A213" s="47">
        <v>211.0</v>
      </c>
      <c r="B213" s="2" t="s">
        <v>2939</v>
      </c>
      <c r="C213" s="2" t="s">
        <v>2595</v>
      </c>
      <c r="D213" s="2" t="s">
        <v>2940</v>
      </c>
      <c r="E213" s="51"/>
      <c r="F213" s="47"/>
      <c r="G213" s="52">
        <f t="array" ref="G213">MAX(IF(INSTOCK!$H$2:$H$2025=B213,INSTOCK!$K$2:$K$2025))</f>
        <v>0</v>
      </c>
      <c r="H213" s="53">
        <f>SUM(IF(INSTOCK!$H$2:$H$2025=B213,INSTOCK!$I$2:$I$2025))</f>
        <v>0</v>
      </c>
      <c r="I213" s="53" t="str">
        <f>SUM(IF([1]!Table13[ID]=B213,[1]!Table13[QTY]))</f>
        <v>#ERROR!</v>
      </c>
      <c r="J213" s="53" t="str">
        <f>TABLEITEM!$H$3:$H$1138-TABLEITEM!$I$3:$I$1138</f>
        <v>#ERROR!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hidden="1" customHeight="1">
      <c r="A214" s="47">
        <v>212.0</v>
      </c>
      <c r="B214" s="2" t="s">
        <v>2941</v>
      </c>
      <c r="C214" s="2" t="s">
        <v>2595</v>
      </c>
      <c r="D214" s="2" t="s">
        <v>2942</v>
      </c>
      <c r="E214" s="51"/>
      <c r="F214" s="47"/>
      <c r="G214" s="52">
        <f t="array" ref="G214">MAX(IF(INSTOCK!$H$2:$H$2025=B214,INSTOCK!$K$2:$K$2025))</f>
        <v>0</v>
      </c>
      <c r="H214" s="53">
        <f>SUM(IF(INSTOCK!$H$2:$H$2025=B214,INSTOCK!$I$2:$I$2025))</f>
        <v>0</v>
      </c>
      <c r="I214" s="53" t="str">
        <f>SUM(IF([1]!Table13[ID]=B214,[1]!Table13[QTY]))</f>
        <v>#ERROR!</v>
      </c>
      <c r="J214" s="53" t="str">
        <f>TABLEITEM!$H$3:$H$1138-TABLEITEM!$I$3:$I$1138</f>
        <v>#ERROR!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hidden="1" customHeight="1">
      <c r="A215" s="47">
        <v>213.0</v>
      </c>
      <c r="B215" s="2" t="s">
        <v>659</v>
      </c>
      <c r="C215" s="2" t="s">
        <v>2595</v>
      </c>
      <c r="D215" s="2" t="s">
        <v>2943</v>
      </c>
      <c r="E215" s="51"/>
      <c r="F215" s="47"/>
      <c r="G215" s="52">
        <f t="array" ref="G215">MAX(IF(INSTOCK!$H$2:$H$2025=B215,INSTOCK!$K$2:$K$2025))</f>
        <v>0</v>
      </c>
      <c r="H215" s="53">
        <f>SUM(IF(INSTOCK!$H$2:$H$2025=B215,INSTOCK!$I$2:$I$2025))</f>
        <v>0</v>
      </c>
      <c r="I215" s="53" t="str">
        <f>SUM(IF([1]!Table13[ID]=B215,[1]!Table13[QTY]))</f>
        <v>#ERROR!</v>
      </c>
      <c r="J215" s="53" t="str">
        <f>TABLEITEM!$H$3:$H$1138-TABLEITEM!$I$3:$I$1138</f>
        <v>#ERROR!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hidden="1" customHeight="1">
      <c r="A216" s="47">
        <v>214.0</v>
      </c>
      <c r="B216" s="2" t="s">
        <v>1126</v>
      </c>
      <c r="C216" s="2" t="s">
        <v>2595</v>
      </c>
      <c r="D216" s="2" t="s">
        <v>2944</v>
      </c>
      <c r="E216" s="51"/>
      <c r="F216" s="47"/>
      <c r="G216" s="52">
        <f t="array" ref="G216">MAX(IF(INSTOCK!$H$2:$H$2025=B216,INSTOCK!$K$2:$K$2025))</f>
        <v>0</v>
      </c>
      <c r="H216" s="53">
        <f>SUM(IF(INSTOCK!$H$2:$H$2025=B216,INSTOCK!$I$2:$I$2025))</f>
        <v>0</v>
      </c>
      <c r="I216" s="53" t="str">
        <f>SUM(IF([1]!Table13[ID]=B216,[1]!Table13[QTY]))</f>
        <v>#ERROR!</v>
      </c>
      <c r="J216" s="53" t="str">
        <f>TABLEITEM!$H$3:$H$1138-TABLEITEM!$I$3:$I$1138</f>
        <v>#ERROR!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hidden="1" customHeight="1">
      <c r="A217" s="47">
        <v>215.0</v>
      </c>
      <c r="B217" s="2" t="s">
        <v>1127</v>
      </c>
      <c r="C217" s="2" t="s">
        <v>2595</v>
      </c>
      <c r="D217" s="2" t="s">
        <v>2945</v>
      </c>
      <c r="E217" s="51"/>
      <c r="F217" s="47"/>
      <c r="G217" s="52">
        <f t="array" ref="G217">MAX(IF(INSTOCK!$H$2:$H$2025=B217,INSTOCK!$K$2:$K$2025))</f>
        <v>0</v>
      </c>
      <c r="H217" s="53">
        <f>SUM(IF(INSTOCK!$H$2:$H$2025=B217,INSTOCK!$I$2:$I$2025))</f>
        <v>0</v>
      </c>
      <c r="I217" s="53" t="str">
        <f>SUM(IF([1]!Table13[ID]=B217,[1]!Table13[QTY]))</f>
        <v>#ERROR!</v>
      </c>
      <c r="J217" s="53" t="str">
        <f>TABLEITEM!$H$3:$H$1138-TABLEITEM!$I$3:$I$1138</f>
        <v>#ERROR!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hidden="1" customHeight="1">
      <c r="A218" s="47">
        <v>216.0</v>
      </c>
      <c r="B218" s="2" t="s">
        <v>582</v>
      </c>
      <c r="C218" s="2" t="s">
        <v>2595</v>
      </c>
      <c r="D218" s="2" t="s">
        <v>2946</v>
      </c>
      <c r="E218" s="51"/>
      <c r="F218" s="47"/>
      <c r="G218" s="52">
        <f t="array" ref="G218">MAX(IF(INSTOCK!$H$2:$H$2025=B218,INSTOCK!$K$2:$K$2025))</f>
        <v>0</v>
      </c>
      <c r="H218" s="53">
        <f>SUM(IF(INSTOCK!$H$2:$H$2025=B218,INSTOCK!$I$2:$I$2025))</f>
        <v>0</v>
      </c>
      <c r="I218" s="53" t="str">
        <f>SUM(IF([1]!Table13[ID]=B218,[1]!Table13[QTY]))</f>
        <v>#ERROR!</v>
      </c>
      <c r="J218" s="53" t="str">
        <f>TABLEITEM!$H$3:$H$1138-TABLEITEM!$I$3:$I$1138</f>
        <v>#ERROR!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hidden="1" customHeight="1">
      <c r="A219" s="47">
        <v>217.0</v>
      </c>
      <c r="B219" s="2" t="s">
        <v>2947</v>
      </c>
      <c r="C219" s="2" t="s">
        <v>2595</v>
      </c>
      <c r="D219" s="2" t="s">
        <v>2948</v>
      </c>
      <c r="E219" s="51"/>
      <c r="F219" s="47"/>
      <c r="G219" s="52">
        <f t="array" ref="G219">MAX(IF(INSTOCK!$H$2:$H$2025=B219,INSTOCK!$K$2:$K$2025))</f>
        <v>0</v>
      </c>
      <c r="H219" s="53">
        <f>SUM(IF(INSTOCK!$H$2:$H$2025=B219,INSTOCK!$I$2:$I$2025))</f>
        <v>0</v>
      </c>
      <c r="I219" s="53" t="str">
        <f>SUM(IF([1]!Table13[ID]=B219,[1]!Table13[QTY]))</f>
        <v>#ERROR!</v>
      </c>
      <c r="J219" s="53" t="str">
        <f>TABLEITEM!$H$3:$H$1138-TABLEITEM!$I$3:$I$1138</f>
        <v>#ERROR!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hidden="1" customHeight="1">
      <c r="A220" s="47">
        <v>218.0</v>
      </c>
      <c r="B220" s="2" t="s">
        <v>2949</v>
      </c>
      <c r="C220" s="2" t="s">
        <v>2595</v>
      </c>
      <c r="D220" s="2" t="s">
        <v>2950</v>
      </c>
      <c r="E220" s="51"/>
      <c r="F220" s="47"/>
      <c r="G220" s="52">
        <f t="array" ref="G220">MAX(IF(INSTOCK!$H$2:$H$2025=B220,INSTOCK!$K$2:$K$2025))</f>
        <v>0</v>
      </c>
      <c r="H220" s="53">
        <f>SUM(IF(INSTOCK!$H$2:$H$2025=B220,INSTOCK!$I$2:$I$2025))</f>
        <v>0</v>
      </c>
      <c r="I220" s="53" t="str">
        <f>SUM(IF([1]!Table13[ID]=B220,[1]!Table13[QTY]))</f>
        <v>#ERROR!</v>
      </c>
      <c r="J220" s="53" t="str">
        <f>TABLEITEM!$H$3:$H$1138-TABLEITEM!$I$3:$I$1138</f>
        <v>#ERROR!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hidden="1" customHeight="1">
      <c r="A221" s="47">
        <v>219.0</v>
      </c>
      <c r="B221" s="2" t="s">
        <v>519</v>
      </c>
      <c r="C221" s="2" t="s">
        <v>2595</v>
      </c>
      <c r="D221" s="2" t="s">
        <v>2951</v>
      </c>
      <c r="E221" s="51"/>
      <c r="F221" s="47"/>
      <c r="G221" s="52">
        <f t="array" ref="G221">MAX(IF(INSTOCK!$H$2:$H$2025=B221,INSTOCK!$K$2:$K$2025))</f>
        <v>0</v>
      </c>
      <c r="H221" s="53">
        <f>SUM(IF(INSTOCK!$H$2:$H$2025=B221,INSTOCK!$I$2:$I$2025))</f>
        <v>0</v>
      </c>
      <c r="I221" s="53" t="str">
        <f>SUM(IF([1]!Table13[ID]=B221,[1]!Table13[QTY]))</f>
        <v>#ERROR!</v>
      </c>
      <c r="J221" s="53" t="str">
        <f>TABLEITEM!$H$3:$H$1138-TABLEITEM!$I$3:$I$1138</f>
        <v>#ERROR!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hidden="1" customHeight="1">
      <c r="A222" s="47">
        <v>220.0</v>
      </c>
      <c r="B222" s="2" t="s">
        <v>2952</v>
      </c>
      <c r="C222" s="2" t="s">
        <v>2595</v>
      </c>
      <c r="D222" s="2" t="s">
        <v>2953</v>
      </c>
      <c r="E222" s="51"/>
      <c r="F222" s="47"/>
      <c r="G222" s="52">
        <f t="array" ref="G222">MAX(IF(INSTOCK!$H$2:$H$2025=B222,INSTOCK!$K$2:$K$2025))</f>
        <v>0</v>
      </c>
      <c r="H222" s="53">
        <f>SUM(IF(INSTOCK!$H$2:$H$2025=B222,INSTOCK!$I$2:$I$2025))</f>
        <v>0</v>
      </c>
      <c r="I222" s="53" t="str">
        <f>SUM(IF([1]!Table13[ID]=B222,[1]!Table13[QTY]))</f>
        <v>#ERROR!</v>
      </c>
      <c r="J222" s="53" t="str">
        <f>TABLEITEM!$H$3:$H$1138-TABLEITEM!$I$3:$I$1138</f>
        <v>#ERROR!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hidden="1" customHeight="1">
      <c r="A223" s="47">
        <v>221.0</v>
      </c>
      <c r="B223" s="2" t="s">
        <v>2954</v>
      </c>
      <c r="C223" s="2" t="s">
        <v>2595</v>
      </c>
      <c r="D223" s="2" t="s">
        <v>2955</v>
      </c>
      <c r="E223" s="51"/>
      <c r="F223" s="47"/>
      <c r="G223" s="52">
        <f t="array" ref="G223">MAX(IF(INSTOCK!$H$2:$H$2025=B223,INSTOCK!$K$2:$K$2025))</f>
        <v>0</v>
      </c>
      <c r="H223" s="53">
        <f>SUM(IF(INSTOCK!$H$2:$H$2025=B223,INSTOCK!$I$2:$I$2025))</f>
        <v>0</v>
      </c>
      <c r="I223" s="53" t="str">
        <f>SUM(IF([1]!Table13[ID]=B223,[1]!Table13[QTY]))</f>
        <v>#ERROR!</v>
      </c>
      <c r="J223" s="53" t="str">
        <f>TABLEITEM!$H$3:$H$1138-TABLEITEM!$I$3:$I$1138</f>
        <v>#ERROR!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hidden="1" customHeight="1">
      <c r="A224" s="47">
        <v>222.0</v>
      </c>
      <c r="B224" s="2" t="s">
        <v>2956</v>
      </c>
      <c r="C224" s="2" t="s">
        <v>2595</v>
      </c>
      <c r="D224" s="2" t="s">
        <v>2957</v>
      </c>
      <c r="E224" s="51"/>
      <c r="F224" s="47"/>
      <c r="G224" s="52">
        <f t="array" ref="G224">MAX(IF(INSTOCK!$H$2:$H$2025=B224,INSTOCK!$K$2:$K$2025))</f>
        <v>0</v>
      </c>
      <c r="H224" s="53">
        <f>SUM(IF(INSTOCK!$H$2:$H$2025=B224,INSTOCK!$I$2:$I$2025))</f>
        <v>0</v>
      </c>
      <c r="I224" s="53" t="str">
        <f>SUM(IF([1]!Table13[ID]=B224,[1]!Table13[QTY]))</f>
        <v>#ERROR!</v>
      </c>
      <c r="J224" s="53" t="str">
        <f>TABLEITEM!$H$3:$H$1138-TABLEITEM!$I$3:$I$1138</f>
        <v>#ERROR!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hidden="1" customHeight="1">
      <c r="A225" s="47">
        <v>223.0</v>
      </c>
      <c r="B225" s="2" t="s">
        <v>2958</v>
      </c>
      <c r="C225" s="2" t="s">
        <v>2595</v>
      </c>
      <c r="D225" s="2" t="s">
        <v>2959</v>
      </c>
      <c r="E225" s="51"/>
      <c r="F225" s="47"/>
      <c r="G225" s="52">
        <f t="array" ref="G225">MAX(IF(INSTOCK!$H$2:$H$2025=B225,INSTOCK!$K$2:$K$2025))</f>
        <v>0</v>
      </c>
      <c r="H225" s="53">
        <f>SUM(IF(INSTOCK!$H$2:$H$2025=B225,INSTOCK!$I$2:$I$2025))</f>
        <v>0</v>
      </c>
      <c r="I225" s="53" t="str">
        <f>SUM(IF([1]!Table13[ID]=B225,[1]!Table13[QTY]))</f>
        <v>#ERROR!</v>
      </c>
      <c r="J225" s="53" t="str">
        <f>TABLEITEM!$H$3:$H$1138-TABLEITEM!$I$3:$I$1138</f>
        <v>#ERROR!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hidden="1" customHeight="1">
      <c r="A226" s="47">
        <v>224.0</v>
      </c>
      <c r="B226" s="2" t="s">
        <v>2960</v>
      </c>
      <c r="C226" s="2" t="s">
        <v>2595</v>
      </c>
      <c r="D226" s="2" t="s">
        <v>2961</v>
      </c>
      <c r="E226" s="51"/>
      <c r="F226" s="47"/>
      <c r="G226" s="52">
        <f t="array" ref="G226">MAX(IF(INSTOCK!$H$2:$H$2025=B226,INSTOCK!$K$2:$K$2025))</f>
        <v>0</v>
      </c>
      <c r="H226" s="53">
        <f>SUM(IF(INSTOCK!$H$2:$H$2025=B226,INSTOCK!$I$2:$I$2025))</f>
        <v>0</v>
      </c>
      <c r="I226" s="53" t="str">
        <f>SUM(IF([1]!Table13[ID]=B226,[1]!Table13[QTY]))</f>
        <v>#ERROR!</v>
      </c>
      <c r="J226" s="53" t="str">
        <f>TABLEITEM!$H$3:$H$1138-TABLEITEM!$I$3:$I$1138</f>
        <v>#ERROR!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hidden="1" customHeight="1">
      <c r="A227" s="47">
        <v>225.0</v>
      </c>
      <c r="B227" s="2" t="s">
        <v>2962</v>
      </c>
      <c r="C227" s="2" t="s">
        <v>2595</v>
      </c>
      <c r="D227" s="2" t="s">
        <v>2963</v>
      </c>
      <c r="E227" s="51"/>
      <c r="F227" s="47"/>
      <c r="G227" s="52">
        <f t="array" ref="G227">MAX(IF(INSTOCK!$H$2:$H$2025=B227,INSTOCK!$K$2:$K$2025))</f>
        <v>0</v>
      </c>
      <c r="H227" s="53">
        <f>SUM(IF(INSTOCK!$H$2:$H$2025=B227,INSTOCK!$I$2:$I$2025))</f>
        <v>0</v>
      </c>
      <c r="I227" s="53" t="str">
        <f>SUM(IF([1]!Table13[ID]=B227,[1]!Table13[QTY]))</f>
        <v>#ERROR!</v>
      </c>
      <c r="J227" s="53" t="str">
        <f>TABLEITEM!$H$3:$H$1138-TABLEITEM!$I$3:$I$1138</f>
        <v>#ERROR!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hidden="1" customHeight="1">
      <c r="A228" s="47">
        <v>226.0</v>
      </c>
      <c r="B228" s="2" t="s">
        <v>2964</v>
      </c>
      <c r="C228" s="2" t="s">
        <v>2595</v>
      </c>
      <c r="D228" s="2" t="s">
        <v>2965</v>
      </c>
      <c r="E228" s="51"/>
      <c r="F228" s="47"/>
      <c r="G228" s="52">
        <f t="array" ref="G228">MAX(IF(INSTOCK!$H$2:$H$2025=B228,INSTOCK!$K$2:$K$2025))</f>
        <v>0</v>
      </c>
      <c r="H228" s="53">
        <f>SUM(IF(INSTOCK!$H$2:$H$2025=B228,INSTOCK!$I$2:$I$2025))</f>
        <v>0</v>
      </c>
      <c r="I228" s="53" t="str">
        <f>SUM(IF([1]!Table13[ID]=B228,[1]!Table13[QTY]))</f>
        <v>#ERROR!</v>
      </c>
      <c r="J228" s="53" t="str">
        <f>TABLEITEM!$H$3:$H$1138-TABLEITEM!$I$3:$I$1138</f>
        <v>#ERROR!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hidden="1" customHeight="1">
      <c r="A229" s="47">
        <v>227.0</v>
      </c>
      <c r="B229" s="2" t="s">
        <v>2966</v>
      </c>
      <c r="C229" s="2" t="s">
        <v>2595</v>
      </c>
      <c r="D229" s="2" t="s">
        <v>2967</v>
      </c>
      <c r="E229" s="51"/>
      <c r="F229" s="47"/>
      <c r="G229" s="52">
        <f t="array" ref="G229">MAX(IF(INSTOCK!$H$2:$H$2025=B229,INSTOCK!$K$2:$K$2025))</f>
        <v>0</v>
      </c>
      <c r="H229" s="53">
        <f>SUM(IF(INSTOCK!$H$2:$H$2025=B229,INSTOCK!$I$2:$I$2025))</f>
        <v>0</v>
      </c>
      <c r="I229" s="53" t="str">
        <f>SUM(IF([1]!Table13[ID]=B229,[1]!Table13[QTY]))</f>
        <v>#ERROR!</v>
      </c>
      <c r="J229" s="53" t="str">
        <f>TABLEITEM!$H$3:$H$1138-TABLEITEM!$I$3:$I$1138</f>
        <v>#ERROR!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hidden="1" customHeight="1">
      <c r="A230" s="47">
        <v>228.0</v>
      </c>
      <c r="B230" s="2" t="s">
        <v>2968</v>
      </c>
      <c r="C230" s="2" t="s">
        <v>2595</v>
      </c>
      <c r="D230" s="2" t="s">
        <v>2969</v>
      </c>
      <c r="E230" s="51"/>
      <c r="F230" s="47"/>
      <c r="G230" s="52">
        <f t="array" ref="G230">MAX(IF(INSTOCK!$H$2:$H$2025=B230,INSTOCK!$K$2:$K$2025))</f>
        <v>0</v>
      </c>
      <c r="H230" s="53">
        <f>SUM(IF(INSTOCK!$H$2:$H$2025=B230,INSTOCK!$I$2:$I$2025))</f>
        <v>0</v>
      </c>
      <c r="I230" s="53" t="str">
        <f>SUM(IF([1]!Table13[ID]=B230,[1]!Table13[QTY]))</f>
        <v>#ERROR!</v>
      </c>
      <c r="J230" s="53" t="str">
        <f>TABLEITEM!$H$3:$H$1138-TABLEITEM!$I$3:$I$1138</f>
        <v>#ERROR!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hidden="1" customHeight="1">
      <c r="A231" s="47">
        <v>229.0</v>
      </c>
      <c r="B231" s="2" t="s">
        <v>2970</v>
      </c>
      <c r="C231" s="2" t="s">
        <v>2595</v>
      </c>
      <c r="D231" s="2" t="s">
        <v>2971</v>
      </c>
      <c r="E231" s="51"/>
      <c r="F231" s="47"/>
      <c r="G231" s="52">
        <f t="array" ref="G231">MAX(IF(INSTOCK!$H$2:$H$2025=B231,INSTOCK!$K$2:$K$2025))</f>
        <v>0</v>
      </c>
      <c r="H231" s="53">
        <f>SUM(IF(INSTOCK!$H$2:$H$2025=B231,INSTOCK!$I$2:$I$2025))</f>
        <v>0</v>
      </c>
      <c r="I231" s="53" t="str">
        <f>SUM(IF([1]!Table13[ID]=B231,[1]!Table13[QTY]))</f>
        <v>#ERROR!</v>
      </c>
      <c r="J231" s="53" t="str">
        <f>TABLEITEM!$H$3:$H$1138-TABLEITEM!$I$3:$I$1138</f>
        <v>#ERROR!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hidden="1" customHeight="1">
      <c r="A232" s="47">
        <v>230.0</v>
      </c>
      <c r="B232" s="2" t="s">
        <v>2972</v>
      </c>
      <c r="C232" s="2" t="s">
        <v>2595</v>
      </c>
      <c r="D232" s="2" t="s">
        <v>2973</v>
      </c>
      <c r="E232" s="51"/>
      <c r="F232" s="47"/>
      <c r="G232" s="52">
        <f t="array" ref="G232">MAX(IF(INSTOCK!$H$2:$H$2025=B232,INSTOCK!$K$2:$K$2025))</f>
        <v>0</v>
      </c>
      <c r="H232" s="53">
        <f>SUM(IF(INSTOCK!$H$2:$H$2025=B232,INSTOCK!$I$2:$I$2025))</f>
        <v>0</v>
      </c>
      <c r="I232" s="53" t="str">
        <f>SUM(IF([1]!Table13[ID]=B232,[1]!Table13[QTY]))</f>
        <v>#ERROR!</v>
      </c>
      <c r="J232" s="53" t="str">
        <f>TABLEITEM!$H$3:$H$1138-TABLEITEM!$I$3:$I$1138</f>
        <v>#ERROR!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hidden="1" customHeight="1">
      <c r="A233" s="47">
        <v>231.0</v>
      </c>
      <c r="B233" s="2" t="s">
        <v>2974</v>
      </c>
      <c r="C233" s="2" t="s">
        <v>2595</v>
      </c>
      <c r="D233" s="2" t="s">
        <v>2975</v>
      </c>
      <c r="E233" s="51"/>
      <c r="F233" s="47"/>
      <c r="G233" s="52">
        <f t="array" ref="G233">MAX(IF(INSTOCK!$H$2:$H$2025=B233,INSTOCK!$K$2:$K$2025))</f>
        <v>0</v>
      </c>
      <c r="H233" s="53">
        <f>SUM(IF(INSTOCK!$H$2:$H$2025=B233,INSTOCK!$I$2:$I$2025))</f>
        <v>0</v>
      </c>
      <c r="I233" s="53" t="str">
        <f>SUM(IF([1]!Table13[ID]=B233,[1]!Table13[QTY]))</f>
        <v>#ERROR!</v>
      </c>
      <c r="J233" s="53" t="str">
        <f>TABLEITEM!$H$3:$H$1138-TABLEITEM!$I$3:$I$1138</f>
        <v>#ERROR!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hidden="1" customHeight="1">
      <c r="A234" s="47">
        <v>232.0</v>
      </c>
      <c r="B234" s="2" t="s">
        <v>2976</v>
      </c>
      <c r="C234" s="2" t="s">
        <v>2595</v>
      </c>
      <c r="D234" s="2" t="s">
        <v>2977</v>
      </c>
      <c r="E234" s="51"/>
      <c r="F234" s="47"/>
      <c r="G234" s="52">
        <f t="array" ref="G234">MAX(IF(INSTOCK!$H$2:$H$2025=B234,INSTOCK!$K$2:$K$2025))</f>
        <v>0</v>
      </c>
      <c r="H234" s="53">
        <f>SUM(IF(INSTOCK!$H$2:$H$2025=B234,INSTOCK!$I$2:$I$2025))</f>
        <v>0</v>
      </c>
      <c r="I234" s="53" t="str">
        <f>SUM(IF([1]!Table13[ID]=B234,[1]!Table13[QTY]))</f>
        <v>#ERROR!</v>
      </c>
      <c r="J234" s="53" t="str">
        <f>TABLEITEM!$H$3:$H$1138-TABLEITEM!$I$3:$I$1138</f>
        <v>#ERROR!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hidden="1" customHeight="1">
      <c r="A235" s="47">
        <v>233.0</v>
      </c>
      <c r="B235" s="2" t="s">
        <v>603</v>
      </c>
      <c r="C235" s="2" t="s">
        <v>2595</v>
      </c>
      <c r="D235" s="2" t="s">
        <v>2978</v>
      </c>
      <c r="E235" s="51"/>
      <c r="F235" s="47"/>
      <c r="G235" s="52">
        <f t="array" ref="G235">MAX(IF(INSTOCK!$H$2:$H$2025=B235,INSTOCK!$K$2:$K$2025))</f>
        <v>0</v>
      </c>
      <c r="H235" s="53">
        <f>SUM(IF(INSTOCK!$H$2:$H$2025=B235,INSTOCK!$I$2:$I$2025))</f>
        <v>0</v>
      </c>
      <c r="I235" s="53" t="str">
        <f>SUM(IF([1]!Table13[ID]=B235,[1]!Table13[QTY]))</f>
        <v>#ERROR!</v>
      </c>
      <c r="J235" s="53" t="str">
        <f>TABLEITEM!$H$3:$H$1138-TABLEITEM!$I$3:$I$1138</f>
        <v>#ERROR!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hidden="1" customHeight="1">
      <c r="A236" s="47">
        <v>234.0</v>
      </c>
      <c r="B236" s="2" t="s">
        <v>547</v>
      </c>
      <c r="C236" s="2" t="s">
        <v>2595</v>
      </c>
      <c r="D236" s="2" t="s">
        <v>2979</v>
      </c>
      <c r="E236" s="51"/>
      <c r="F236" s="47"/>
      <c r="G236" s="52">
        <f t="array" ref="G236">MAX(IF(INSTOCK!$H$2:$H$2025=B236,INSTOCK!$K$2:$K$2025))</f>
        <v>0</v>
      </c>
      <c r="H236" s="53">
        <f>SUM(IF(INSTOCK!$H$2:$H$2025=B236,INSTOCK!$I$2:$I$2025))</f>
        <v>0</v>
      </c>
      <c r="I236" s="53" t="str">
        <f>SUM(IF([1]!Table13[ID]=B236,[1]!Table13[QTY]))</f>
        <v>#ERROR!</v>
      </c>
      <c r="J236" s="53" t="str">
        <f>TABLEITEM!$H$3:$H$1138-TABLEITEM!$I$3:$I$1138</f>
        <v>#ERROR!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hidden="1" customHeight="1">
      <c r="A237" s="47">
        <v>235.0</v>
      </c>
      <c r="B237" s="2" t="s">
        <v>2980</v>
      </c>
      <c r="C237" s="2" t="s">
        <v>2595</v>
      </c>
      <c r="D237" s="2" t="s">
        <v>2981</v>
      </c>
      <c r="E237" s="51"/>
      <c r="F237" s="47"/>
      <c r="G237" s="52">
        <f t="array" ref="G237">MAX(IF(INSTOCK!$H$2:$H$2025=B237,INSTOCK!$K$2:$K$2025))</f>
        <v>0</v>
      </c>
      <c r="H237" s="53">
        <f>SUM(IF(INSTOCK!$H$2:$H$2025=B237,INSTOCK!$I$2:$I$2025))</f>
        <v>0</v>
      </c>
      <c r="I237" s="53" t="str">
        <f>SUM(IF([1]!Table13[ID]=B237,[1]!Table13[QTY]))</f>
        <v>#ERROR!</v>
      </c>
      <c r="J237" s="53" t="str">
        <f>TABLEITEM!$H$3:$H$1138-TABLEITEM!$I$3:$I$1138</f>
        <v>#ERROR!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hidden="1" customHeight="1">
      <c r="A238" s="47">
        <v>236.0</v>
      </c>
      <c r="B238" s="2" t="s">
        <v>2982</v>
      </c>
      <c r="C238" s="2" t="s">
        <v>2595</v>
      </c>
      <c r="D238" s="2" t="s">
        <v>2983</v>
      </c>
      <c r="E238" s="51"/>
      <c r="F238" s="47"/>
      <c r="G238" s="52">
        <f t="array" ref="G238">MAX(IF(INSTOCK!$H$2:$H$2025=B238,INSTOCK!$K$2:$K$2025))</f>
        <v>0</v>
      </c>
      <c r="H238" s="53">
        <f>SUM(IF(INSTOCK!$H$2:$H$2025=B238,INSTOCK!$I$2:$I$2025))</f>
        <v>0</v>
      </c>
      <c r="I238" s="53" t="str">
        <f>SUM(IF([1]!Table13[ID]=B238,[1]!Table13[QTY]))</f>
        <v>#ERROR!</v>
      </c>
      <c r="J238" s="53" t="str">
        <f>TABLEITEM!$H$3:$H$1138-TABLEITEM!$I$3:$I$1138</f>
        <v>#ERROR!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hidden="1" customHeight="1">
      <c r="A239" s="47">
        <v>237.0</v>
      </c>
      <c r="B239" s="2" t="s">
        <v>2984</v>
      </c>
      <c r="C239" s="2" t="s">
        <v>2595</v>
      </c>
      <c r="D239" s="2" t="s">
        <v>2985</v>
      </c>
      <c r="E239" s="51"/>
      <c r="F239" s="47"/>
      <c r="G239" s="52">
        <f t="array" ref="G239">MAX(IF(INSTOCK!$H$2:$H$2025=B239,INSTOCK!$K$2:$K$2025))</f>
        <v>0</v>
      </c>
      <c r="H239" s="53">
        <f>SUM(IF(INSTOCK!$H$2:$H$2025=B239,INSTOCK!$I$2:$I$2025))</f>
        <v>0</v>
      </c>
      <c r="I239" s="53" t="str">
        <f>SUM(IF([1]!Table13[ID]=B239,[1]!Table13[QTY]))</f>
        <v>#ERROR!</v>
      </c>
      <c r="J239" s="53" t="str">
        <f>TABLEITEM!$H$3:$H$1138-TABLEITEM!$I$3:$I$1138</f>
        <v>#ERROR!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hidden="1" customHeight="1">
      <c r="A240" s="47">
        <v>238.0</v>
      </c>
      <c r="B240" s="2" t="s">
        <v>472</v>
      </c>
      <c r="C240" s="2" t="s">
        <v>2595</v>
      </c>
      <c r="D240" s="2" t="s">
        <v>2986</v>
      </c>
      <c r="E240" s="51"/>
      <c r="F240" s="47"/>
      <c r="G240" s="52">
        <f t="array" ref="G240">MAX(IF(INSTOCK!$H$2:$H$2025=B240,INSTOCK!$K$2:$K$2025))</f>
        <v>0</v>
      </c>
      <c r="H240" s="53">
        <f>SUM(IF(INSTOCK!$H$2:$H$2025=B240,INSTOCK!$I$2:$I$2025))</f>
        <v>0</v>
      </c>
      <c r="I240" s="53" t="str">
        <f>SUM(IF([1]!Table13[ID]=B240,[1]!Table13[QTY]))</f>
        <v>#ERROR!</v>
      </c>
      <c r="J240" s="53" t="str">
        <f>TABLEITEM!$H$3:$H$1138-TABLEITEM!$I$3:$I$1138</f>
        <v>#ERROR!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hidden="1" customHeight="1">
      <c r="A241" s="47">
        <v>239.0</v>
      </c>
      <c r="B241" s="2" t="s">
        <v>459</v>
      </c>
      <c r="C241" s="2" t="s">
        <v>2595</v>
      </c>
      <c r="D241" s="2" t="s">
        <v>2987</v>
      </c>
      <c r="E241" s="51"/>
      <c r="F241" s="47"/>
      <c r="G241" s="52">
        <f t="array" ref="G241">MAX(IF(INSTOCK!$H$2:$H$2025=B241,INSTOCK!$K$2:$K$2025))</f>
        <v>0</v>
      </c>
      <c r="H241" s="53">
        <f>SUM(IF(INSTOCK!$H$2:$H$2025=B241,INSTOCK!$I$2:$I$2025))</f>
        <v>0</v>
      </c>
      <c r="I241" s="53" t="str">
        <f>SUM(IF([1]!Table13[ID]=B241,[1]!Table13[QTY]))</f>
        <v>#ERROR!</v>
      </c>
      <c r="J241" s="53" t="str">
        <f>TABLEITEM!$H$3:$H$1138-TABLEITEM!$I$3:$I$1138</f>
        <v>#ERROR!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hidden="1" customHeight="1">
      <c r="A242" s="47">
        <v>240.0</v>
      </c>
      <c r="B242" s="2" t="s">
        <v>620</v>
      </c>
      <c r="C242" s="2" t="s">
        <v>2595</v>
      </c>
      <c r="D242" s="2" t="s">
        <v>2988</v>
      </c>
      <c r="E242" s="51"/>
      <c r="F242" s="47"/>
      <c r="G242" s="52">
        <f t="array" ref="G242">MAX(IF(INSTOCK!$H$2:$H$2025=B242,INSTOCK!$K$2:$K$2025))</f>
        <v>0</v>
      </c>
      <c r="H242" s="53">
        <f>SUM(IF(INSTOCK!$H$2:$H$2025=B242,INSTOCK!$I$2:$I$2025))</f>
        <v>0</v>
      </c>
      <c r="I242" s="53" t="str">
        <f>SUM(IF([1]!Table13[ID]=B242,[1]!Table13[QTY]))</f>
        <v>#ERROR!</v>
      </c>
      <c r="J242" s="53" t="str">
        <f>TABLEITEM!$H$3:$H$1138-TABLEITEM!$I$3:$I$1138</f>
        <v>#ERROR!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hidden="1" customHeight="1">
      <c r="A243" s="47">
        <v>241.0</v>
      </c>
      <c r="B243" s="2" t="s">
        <v>484</v>
      </c>
      <c r="C243" s="2" t="s">
        <v>2595</v>
      </c>
      <c r="D243" s="2" t="s">
        <v>2989</v>
      </c>
      <c r="E243" s="51"/>
      <c r="F243" s="47"/>
      <c r="G243" s="52">
        <f t="array" ref="G243">MAX(IF(INSTOCK!$H$2:$H$2025=B243,INSTOCK!$K$2:$K$2025))</f>
        <v>0</v>
      </c>
      <c r="H243" s="53">
        <f>SUM(IF(INSTOCK!$H$2:$H$2025=B243,INSTOCK!$I$2:$I$2025))</f>
        <v>0</v>
      </c>
      <c r="I243" s="53" t="str">
        <f>SUM(IF([1]!Table13[ID]=B243,[1]!Table13[QTY]))</f>
        <v>#ERROR!</v>
      </c>
      <c r="J243" s="53" t="str">
        <f>TABLEITEM!$H$3:$H$1138-TABLEITEM!$I$3:$I$1138</f>
        <v>#ERROR!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hidden="1" customHeight="1">
      <c r="A244" s="47">
        <v>242.0</v>
      </c>
      <c r="B244" s="2" t="s">
        <v>2990</v>
      </c>
      <c r="C244" s="2" t="s">
        <v>2595</v>
      </c>
      <c r="D244" s="2" t="s">
        <v>2991</v>
      </c>
      <c r="E244" s="51"/>
      <c r="F244" s="47"/>
      <c r="G244" s="52">
        <f t="array" ref="G244">MAX(IF(INSTOCK!$H$2:$H$2025=B244,INSTOCK!$K$2:$K$2025))</f>
        <v>0</v>
      </c>
      <c r="H244" s="53">
        <f>SUM(IF(INSTOCK!$H$2:$H$2025=B244,INSTOCK!$I$2:$I$2025))</f>
        <v>0</v>
      </c>
      <c r="I244" s="53" t="str">
        <f>SUM(IF([1]!Table13[ID]=B244,[1]!Table13[QTY]))</f>
        <v>#ERROR!</v>
      </c>
      <c r="J244" s="53" t="str">
        <f>TABLEITEM!$H$3:$H$1138-TABLEITEM!$I$3:$I$1138</f>
        <v>#ERROR!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hidden="1" customHeight="1">
      <c r="A245" s="47">
        <v>243.0</v>
      </c>
      <c r="B245" s="2" t="s">
        <v>715</v>
      </c>
      <c r="C245" s="2" t="s">
        <v>2595</v>
      </c>
      <c r="D245" s="2" t="s">
        <v>2992</v>
      </c>
      <c r="E245" s="51"/>
      <c r="F245" s="47"/>
      <c r="G245" s="52">
        <f t="array" ref="G245">MAX(IF(INSTOCK!$H$2:$H$2025=B245,INSTOCK!$K$2:$K$2025))</f>
        <v>0</v>
      </c>
      <c r="H245" s="53">
        <f>SUM(IF(INSTOCK!$H$2:$H$2025=B245,INSTOCK!$I$2:$I$2025))</f>
        <v>0</v>
      </c>
      <c r="I245" s="53" t="str">
        <f>SUM(IF([1]!Table13[ID]=B245,[1]!Table13[QTY]))</f>
        <v>#ERROR!</v>
      </c>
      <c r="J245" s="53" t="str">
        <f>TABLEITEM!$H$3:$H$1138-TABLEITEM!$I$3:$I$1138</f>
        <v>#ERROR!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hidden="1" customHeight="1">
      <c r="A246" s="47">
        <v>244.0</v>
      </c>
      <c r="B246" s="2" t="s">
        <v>623</v>
      </c>
      <c r="C246" s="2" t="s">
        <v>2595</v>
      </c>
      <c r="D246" s="2" t="s">
        <v>2993</v>
      </c>
      <c r="E246" s="51"/>
      <c r="F246" s="47"/>
      <c r="G246" s="52">
        <f t="array" ref="G246">MAX(IF(INSTOCK!$H$2:$H$2025=B246,INSTOCK!$K$2:$K$2025))</f>
        <v>0</v>
      </c>
      <c r="H246" s="53">
        <f>SUM(IF(INSTOCK!$H$2:$H$2025=B246,INSTOCK!$I$2:$I$2025))</f>
        <v>0</v>
      </c>
      <c r="I246" s="53" t="str">
        <f>SUM(IF([1]!Table13[ID]=B246,[1]!Table13[QTY]))</f>
        <v>#ERROR!</v>
      </c>
      <c r="J246" s="53" t="str">
        <f>TABLEITEM!$H$3:$H$1138-TABLEITEM!$I$3:$I$1138</f>
        <v>#ERROR!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hidden="1" customHeight="1">
      <c r="A247" s="47">
        <v>245.0</v>
      </c>
      <c r="B247" s="2" t="s">
        <v>1265</v>
      </c>
      <c r="C247" s="2" t="s">
        <v>2595</v>
      </c>
      <c r="D247" s="2" t="s">
        <v>2994</v>
      </c>
      <c r="E247" s="51"/>
      <c r="F247" s="47"/>
      <c r="G247" s="52">
        <f t="array" ref="G247">MAX(IF(INSTOCK!$H$2:$H$2025=B247,INSTOCK!$K$2:$K$2025))</f>
        <v>0</v>
      </c>
      <c r="H247" s="53">
        <f>SUM(IF(INSTOCK!$H$2:$H$2025=B247,INSTOCK!$I$2:$I$2025))</f>
        <v>0</v>
      </c>
      <c r="I247" s="53" t="str">
        <f>SUM(IF([1]!Table13[ID]=B247,[1]!Table13[QTY]))</f>
        <v>#ERROR!</v>
      </c>
      <c r="J247" s="53" t="str">
        <f>TABLEITEM!$H$3:$H$1138-TABLEITEM!$I$3:$I$1138</f>
        <v>#ERROR!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hidden="1" customHeight="1">
      <c r="A248" s="47">
        <v>246.0</v>
      </c>
      <c r="B248" s="2" t="s">
        <v>2995</v>
      </c>
      <c r="C248" s="2" t="s">
        <v>2595</v>
      </c>
      <c r="D248" s="2" t="s">
        <v>2996</v>
      </c>
      <c r="E248" s="51"/>
      <c r="F248" s="47"/>
      <c r="G248" s="52">
        <f t="array" ref="G248">MAX(IF(INSTOCK!$H$2:$H$2025=B248,INSTOCK!$K$2:$K$2025))</f>
        <v>0</v>
      </c>
      <c r="H248" s="53">
        <f>SUM(IF(INSTOCK!$H$2:$H$2025=B248,INSTOCK!$I$2:$I$2025))</f>
        <v>0</v>
      </c>
      <c r="I248" s="53" t="str">
        <f>SUM(IF([1]!Table13[ID]=B248,[1]!Table13[QTY]))</f>
        <v>#ERROR!</v>
      </c>
      <c r="J248" s="53" t="str">
        <f>TABLEITEM!$H$3:$H$1138-TABLEITEM!$I$3:$I$1138</f>
        <v>#ERROR!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hidden="1" customHeight="1">
      <c r="A249" s="47">
        <v>247.0</v>
      </c>
      <c r="B249" s="2" t="s">
        <v>2997</v>
      </c>
      <c r="C249" s="2" t="s">
        <v>2595</v>
      </c>
      <c r="D249" s="2" t="s">
        <v>2998</v>
      </c>
      <c r="E249" s="51"/>
      <c r="F249" s="47"/>
      <c r="G249" s="52">
        <f t="array" ref="G249">MAX(IF(INSTOCK!$H$2:$H$2025=B249,INSTOCK!$K$2:$K$2025))</f>
        <v>0</v>
      </c>
      <c r="H249" s="53">
        <f>SUM(IF(INSTOCK!$H$2:$H$2025=B249,INSTOCK!$I$2:$I$2025))</f>
        <v>0</v>
      </c>
      <c r="I249" s="53" t="str">
        <f>SUM(IF([1]!Table13[ID]=B249,[1]!Table13[QTY]))</f>
        <v>#ERROR!</v>
      </c>
      <c r="J249" s="53" t="str">
        <f>TABLEITEM!$H$3:$H$1138-TABLEITEM!$I$3:$I$1138</f>
        <v>#ERROR!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hidden="1" customHeight="1">
      <c r="A250" s="47">
        <v>248.0</v>
      </c>
      <c r="B250" s="2" t="s">
        <v>605</v>
      </c>
      <c r="C250" s="2" t="s">
        <v>2595</v>
      </c>
      <c r="D250" s="2" t="s">
        <v>2999</v>
      </c>
      <c r="E250" s="51"/>
      <c r="F250" s="47"/>
      <c r="G250" s="52">
        <f t="array" ref="G250">MAX(IF(INSTOCK!$H$2:$H$2025=B250,INSTOCK!$K$2:$K$2025))</f>
        <v>0</v>
      </c>
      <c r="H250" s="53">
        <f>SUM(IF(INSTOCK!$H$2:$H$2025=B250,INSTOCK!$I$2:$I$2025))</f>
        <v>0</v>
      </c>
      <c r="I250" s="53" t="str">
        <f>SUM(IF([1]!Table13[ID]=B250,[1]!Table13[QTY]))</f>
        <v>#ERROR!</v>
      </c>
      <c r="J250" s="53" t="str">
        <f>TABLEITEM!$H$3:$H$1138-TABLEITEM!$I$3:$I$1138</f>
        <v>#ERROR!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hidden="1" customHeight="1">
      <c r="A251" s="47">
        <v>249.0</v>
      </c>
      <c r="B251" s="2" t="s">
        <v>3000</v>
      </c>
      <c r="C251" s="2" t="s">
        <v>2595</v>
      </c>
      <c r="D251" s="2" t="s">
        <v>3001</v>
      </c>
      <c r="E251" s="51"/>
      <c r="F251" s="47"/>
      <c r="G251" s="52">
        <f t="array" ref="G251">MAX(IF(INSTOCK!$H$2:$H$2025=B251,INSTOCK!$K$2:$K$2025))</f>
        <v>0</v>
      </c>
      <c r="H251" s="53">
        <f>SUM(IF(INSTOCK!$H$2:$H$2025=B251,INSTOCK!$I$2:$I$2025))</f>
        <v>0</v>
      </c>
      <c r="I251" s="53" t="str">
        <f>SUM(IF([1]!Table13[ID]=B251,[1]!Table13[QTY]))</f>
        <v>#ERROR!</v>
      </c>
      <c r="J251" s="53" t="str">
        <f>TABLEITEM!$H$3:$H$1138-TABLEITEM!$I$3:$I$1138</f>
        <v>#ERROR!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hidden="1" customHeight="1">
      <c r="A252" s="47">
        <v>250.0</v>
      </c>
      <c r="B252" s="2" t="s">
        <v>464</v>
      </c>
      <c r="C252" s="2" t="s">
        <v>2595</v>
      </c>
      <c r="D252" s="2" t="s">
        <v>3002</v>
      </c>
      <c r="E252" s="51"/>
      <c r="F252" s="47"/>
      <c r="G252" s="52">
        <f t="array" ref="G252">MAX(IF(INSTOCK!$H$2:$H$2025=B252,INSTOCK!$K$2:$K$2025))</f>
        <v>0</v>
      </c>
      <c r="H252" s="53">
        <f>SUM(IF(INSTOCK!$H$2:$H$2025=B252,INSTOCK!$I$2:$I$2025))</f>
        <v>0</v>
      </c>
      <c r="I252" s="53" t="str">
        <f>SUM(IF([1]!Table13[ID]=B252,[1]!Table13[QTY]))</f>
        <v>#ERROR!</v>
      </c>
      <c r="J252" s="53" t="str">
        <f>TABLEITEM!$H$3:$H$1138-TABLEITEM!$I$3:$I$1138</f>
        <v>#ERROR!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hidden="1" customHeight="1">
      <c r="A253" s="47">
        <v>251.0</v>
      </c>
      <c r="B253" s="2" t="s">
        <v>548</v>
      </c>
      <c r="C253" s="2" t="s">
        <v>2595</v>
      </c>
      <c r="D253" s="2" t="s">
        <v>3003</v>
      </c>
      <c r="E253" s="51"/>
      <c r="F253" s="47"/>
      <c r="G253" s="52">
        <f t="array" ref="G253">MAX(IF(INSTOCK!$H$2:$H$2025=B253,INSTOCK!$K$2:$K$2025))</f>
        <v>0</v>
      </c>
      <c r="H253" s="53">
        <f>SUM(IF(INSTOCK!$H$2:$H$2025=B253,INSTOCK!$I$2:$I$2025))</f>
        <v>0</v>
      </c>
      <c r="I253" s="53" t="str">
        <f>SUM(IF([1]!Table13[ID]=B253,[1]!Table13[QTY]))</f>
        <v>#ERROR!</v>
      </c>
      <c r="J253" s="53" t="str">
        <f>TABLEITEM!$H$3:$H$1138-TABLEITEM!$I$3:$I$1138</f>
        <v>#ERROR!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hidden="1" customHeight="1">
      <c r="A254" s="47">
        <v>252.0</v>
      </c>
      <c r="B254" s="2" t="s">
        <v>621</v>
      </c>
      <c r="C254" s="2" t="s">
        <v>2595</v>
      </c>
      <c r="D254" s="2" t="s">
        <v>3004</v>
      </c>
      <c r="E254" s="51"/>
      <c r="F254" s="47"/>
      <c r="G254" s="52">
        <f t="array" ref="G254">MAX(IF(INSTOCK!$H$2:$H$2025=B254,INSTOCK!$K$2:$K$2025))</f>
        <v>0</v>
      </c>
      <c r="H254" s="53">
        <f>SUM(IF(INSTOCK!$H$2:$H$2025=B254,INSTOCK!$I$2:$I$2025))</f>
        <v>0</v>
      </c>
      <c r="I254" s="53" t="str">
        <f>SUM(IF([1]!Table13[ID]=B254,[1]!Table13[QTY]))</f>
        <v>#ERROR!</v>
      </c>
      <c r="J254" s="53" t="str">
        <f>TABLEITEM!$H$3:$H$1138-TABLEITEM!$I$3:$I$1138</f>
        <v>#ERROR!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hidden="1" customHeight="1">
      <c r="A255" s="47">
        <v>253.0</v>
      </c>
      <c r="B255" s="2" t="s">
        <v>1332</v>
      </c>
      <c r="C255" s="2" t="s">
        <v>2595</v>
      </c>
      <c r="D255" s="2" t="s">
        <v>3005</v>
      </c>
      <c r="E255" s="51"/>
      <c r="F255" s="47"/>
      <c r="G255" s="52">
        <f t="array" ref="G255">MAX(IF(INSTOCK!$H$2:$H$2025=B255,INSTOCK!$K$2:$K$2025))</f>
        <v>0</v>
      </c>
      <c r="H255" s="53">
        <f>SUM(IF(INSTOCK!$H$2:$H$2025=B255,INSTOCK!$I$2:$I$2025))</f>
        <v>0</v>
      </c>
      <c r="I255" s="53" t="str">
        <f>SUM(IF([1]!Table13[ID]=B255,[1]!Table13[QTY]))</f>
        <v>#ERROR!</v>
      </c>
      <c r="J255" s="53" t="str">
        <f>TABLEITEM!$H$3:$H$1138-TABLEITEM!$I$3:$I$1138</f>
        <v>#ERROR!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hidden="1" customHeight="1">
      <c r="A256" s="47">
        <v>254.0</v>
      </c>
      <c r="B256" s="2" t="s">
        <v>2138</v>
      </c>
      <c r="C256" s="2" t="s">
        <v>2595</v>
      </c>
      <c r="D256" s="2" t="s">
        <v>3006</v>
      </c>
      <c r="E256" s="51"/>
      <c r="F256" s="47"/>
      <c r="G256" s="52">
        <f t="array" ref="G256">MAX(IF(INSTOCK!$H$2:$H$2025=B256,INSTOCK!$K$2:$K$2025))</f>
        <v>0</v>
      </c>
      <c r="H256" s="53">
        <f>SUM(IF(INSTOCK!$H$2:$H$2025=B256,INSTOCK!$I$2:$I$2025))</f>
        <v>0</v>
      </c>
      <c r="I256" s="53" t="str">
        <f>SUM(IF([1]!Table13[ID]=B256,[1]!Table13[QTY]))</f>
        <v>#ERROR!</v>
      </c>
      <c r="J256" s="53" t="str">
        <f>TABLEITEM!$H$3:$H$1138-TABLEITEM!$I$3:$I$1138</f>
        <v>#ERROR!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hidden="1" customHeight="1">
      <c r="A257" s="47">
        <v>255.0</v>
      </c>
      <c r="B257" s="2" t="s">
        <v>624</v>
      </c>
      <c r="C257" s="2" t="s">
        <v>2595</v>
      </c>
      <c r="D257" s="2" t="s">
        <v>3007</v>
      </c>
      <c r="E257" s="51"/>
      <c r="F257" s="47"/>
      <c r="G257" s="52">
        <f t="array" ref="G257">MAX(IF(INSTOCK!$H$2:$H$2025=B257,INSTOCK!$K$2:$K$2025))</f>
        <v>0</v>
      </c>
      <c r="H257" s="53">
        <f>SUM(IF(INSTOCK!$H$2:$H$2025=B257,INSTOCK!$I$2:$I$2025))</f>
        <v>0</v>
      </c>
      <c r="I257" s="53" t="str">
        <f>SUM(IF([1]!Table13[ID]=B257,[1]!Table13[QTY]))</f>
        <v>#ERROR!</v>
      </c>
      <c r="J257" s="53" t="str">
        <f>TABLEITEM!$H$3:$H$1138-TABLEITEM!$I$3:$I$1138</f>
        <v>#ERROR!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hidden="1" customHeight="1">
      <c r="A258" s="47">
        <v>256.0</v>
      </c>
      <c r="B258" s="2" t="s">
        <v>3008</v>
      </c>
      <c r="C258" s="2" t="s">
        <v>2595</v>
      </c>
      <c r="D258" s="2" t="s">
        <v>3009</v>
      </c>
      <c r="E258" s="51"/>
      <c r="F258" s="47"/>
      <c r="G258" s="52">
        <f t="array" ref="G258">MAX(IF(INSTOCK!$H$2:$H$2025=B258,INSTOCK!$K$2:$K$2025))</f>
        <v>0</v>
      </c>
      <c r="H258" s="53">
        <f>SUM(IF(INSTOCK!$H$2:$H$2025=B258,INSTOCK!$I$2:$I$2025))</f>
        <v>0</v>
      </c>
      <c r="I258" s="53" t="str">
        <f>SUM(IF([1]!Table13[ID]=B258,[1]!Table13[QTY]))</f>
        <v>#ERROR!</v>
      </c>
      <c r="J258" s="53" t="str">
        <f>TABLEITEM!$H$3:$H$1138-TABLEITEM!$I$3:$I$1138</f>
        <v>#ERROR!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hidden="1" customHeight="1">
      <c r="A259" s="47">
        <v>257.0</v>
      </c>
      <c r="B259" s="2" t="s">
        <v>3010</v>
      </c>
      <c r="C259" s="2" t="s">
        <v>2595</v>
      </c>
      <c r="D259" s="2" t="s">
        <v>3011</v>
      </c>
      <c r="E259" s="51"/>
      <c r="F259" s="47"/>
      <c r="G259" s="52">
        <f t="array" ref="G259">MAX(IF(INSTOCK!$H$2:$H$2025=B259,INSTOCK!$K$2:$K$2025))</f>
        <v>0</v>
      </c>
      <c r="H259" s="53">
        <f>SUM(IF(INSTOCK!$H$2:$H$2025=B259,INSTOCK!$I$2:$I$2025))</f>
        <v>0</v>
      </c>
      <c r="I259" s="53" t="str">
        <f>SUM(IF([1]!Table13[ID]=B259,[1]!Table13[QTY]))</f>
        <v>#ERROR!</v>
      </c>
      <c r="J259" s="53" t="str">
        <f>TABLEITEM!$H$3:$H$1138-TABLEITEM!$I$3:$I$1138</f>
        <v>#ERROR!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hidden="1" customHeight="1">
      <c r="A260" s="47">
        <v>258.0</v>
      </c>
      <c r="B260" s="2" t="s">
        <v>3012</v>
      </c>
      <c r="C260" s="2" t="s">
        <v>2595</v>
      </c>
      <c r="D260" s="2" t="s">
        <v>3013</v>
      </c>
      <c r="E260" s="51"/>
      <c r="F260" s="47"/>
      <c r="G260" s="52">
        <f t="array" ref="G260">MAX(IF(INSTOCK!$H$2:$H$2025=B260,INSTOCK!$K$2:$K$2025))</f>
        <v>0</v>
      </c>
      <c r="H260" s="53">
        <f>SUM(IF(INSTOCK!$H$2:$H$2025=B260,INSTOCK!$I$2:$I$2025))</f>
        <v>0</v>
      </c>
      <c r="I260" s="53" t="str">
        <f>SUM(IF([1]!Table13[ID]=B260,[1]!Table13[QTY]))</f>
        <v>#ERROR!</v>
      </c>
      <c r="J260" s="53" t="str">
        <f>TABLEITEM!$H$3:$H$1138-TABLEITEM!$I$3:$I$1138</f>
        <v>#ERROR!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hidden="1" customHeight="1">
      <c r="A261" s="47">
        <v>259.0</v>
      </c>
      <c r="B261" s="2" t="s">
        <v>3014</v>
      </c>
      <c r="C261" s="2" t="s">
        <v>2595</v>
      </c>
      <c r="D261" s="2" t="s">
        <v>3015</v>
      </c>
      <c r="E261" s="51"/>
      <c r="F261" s="47"/>
      <c r="G261" s="52">
        <f t="array" ref="G261">MAX(IF(INSTOCK!$H$2:$H$2025=B261,INSTOCK!$K$2:$K$2025))</f>
        <v>0</v>
      </c>
      <c r="H261" s="53">
        <f>SUM(IF(INSTOCK!$H$2:$H$2025=B261,INSTOCK!$I$2:$I$2025))</f>
        <v>0</v>
      </c>
      <c r="I261" s="53" t="str">
        <f>SUM(IF([1]!Table13[ID]=B261,[1]!Table13[QTY]))</f>
        <v>#ERROR!</v>
      </c>
      <c r="J261" s="53" t="str">
        <f>TABLEITEM!$H$3:$H$1138-TABLEITEM!$I$3:$I$1138</f>
        <v>#ERROR!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hidden="1" customHeight="1">
      <c r="A262" s="47">
        <v>260.0</v>
      </c>
      <c r="B262" s="2" t="s">
        <v>483</v>
      </c>
      <c r="C262" s="2" t="s">
        <v>2595</v>
      </c>
      <c r="D262" s="2" t="s">
        <v>3016</v>
      </c>
      <c r="E262" s="51"/>
      <c r="F262" s="47"/>
      <c r="G262" s="52">
        <f t="array" ref="G262">MAX(IF(INSTOCK!$H$2:$H$2025=B262,INSTOCK!$K$2:$K$2025))</f>
        <v>0</v>
      </c>
      <c r="H262" s="53">
        <f>SUM(IF(INSTOCK!$H$2:$H$2025=B262,INSTOCK!$I$2:$I$2025))</f>
        <v>0</v>
      </c>
      <c r="I262" s="53" t="str">
        <f>SUM(IF([1]!Table13[ID]=B262,[1]!Table13[QTY]))</f>
        <v>#ERROR!</v>
      </c>
      <c r="J262" s="53" t="str">
        <f>TABLEITEM!$H$3:$H$1138-TABLEITEM!$I$3:$I$1138</f>
        <v>#ERROR!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hidden="1" customHeight="1">
      <c r="A263" s="47">
        <v>261.0</v>
      </c>
      <c r="B263" s="2" t="s">
        <v>2118</v>
      </c>
      <c r="C263" s="2" t="s">
        <v>2595</v>
      </c>
      <c r="D263" s="2" t="s">
        <v>3017</v>
      </c>
      <c r="E263" s="51"/>
      <c r="F263" s="47"/>
      <c r="G263" s="52">
        <f t="array" ref="G263">MAX(IF(INSTOCK!$H$2:$H$2025=B263,INSTOCK!$K$2:$K$2025))</f>
        <v>0</v>
      </c>
      <c r="H263" s="53">
        <f>SUM(IF(INSTOCK!$H$2:$H$2025=B263,INSTOCK!$I$2:$I$2025))</f>
        <v>0</v>
      </c>
      <c r="I263" s="53" t="str">
        <f>SUM(IF([1]!Table13[ID]=B263,[1]!Table13[QTY]))</f>
        <v>#ERROR!</v>
      </c>
      <c r="J263" s="53" t="str">
        <f>TABLEITEM!$H$3:$H$1138-TABLEITEM!$I$3:$I$1138</f>
        <v>#ERROR!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hidden="1" customHeight="1">
      <c r="A264" s="47">
        <v>262.0</v>
      </c>
      <c r="B264" s="2" t="s">
        <v>3018</v>
      </c>
      <c r="C264" s="2" t="s">
        <v>2595</v>
      </c>
      <c r="D264" s="2" t="s">
        <v>3019</v>
      </c>
      <c r="E264" s="51"/>
      <c r="F264" s="47"/>
      <c r="G264" s="52">
        <f t="array" ref="G264">MAX(IF(INSTOCK!$H$2:$H$2025=B264,INSTOCK!$K$2:$K$2025))</f>
        <v>0</v>
      </c>
      <c r="H264" s="53">
        <f>SUM(IF(INSTOCK!$H$2:$H$2025=B264,INSTOCK!$I$2:$I$2025))</f>
        <v>0</v>
      </c>
      <c r="I264" s="53" t="str">
        <f>SUM(IF([1]!Table13[ID]=B264,[1]!Table13[QTY]))</f>
        <v>#ERROR!</v>
      </c>
      <c r="J264" s="53" t="str">
        <f>TABLEITEM!$H$3:$H$1138-TABLEITEM!$I$3:$I$1138</f>
        <v>#ERROR!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hidden="1" customHeight="1">
      <c r="A265" s="47">
        <v>263.0</v>
      </c>
      <c r="B265" s="2" t="s">
        <v>3020</v>
      </c>
      <c r="C265" s="2" t="s">
        <v>2595</v>
      </c>
      <c r="D265" s="2" t="s">
        <v>3021</v>
      </c>
      <c r="E265" s="51"/>
      <c r="F265" s="47"/>
      <c r="G265" s="52">
        <f t="array" ref="G265">MAX(IF(INSTOCK!$H$2:$H$2025=B265,INSTOCK!$K$2:$K$2025))</f>
        <v>0</v>
      </c>
      <c r="H265" s="53">
        <f>SUM(IF(INSTOCK!$H$2:$H$2025=B265,INSTOCK!$I$2:$I$2025))</f>
        <v>0</v>
      </c>
      <c r="I265" s="53" t="str">
        <f>SUM(IF([1]!Table13[ID]=B265,[1]!Table13[QTY]))</f>
        <v>#ERROR!</v>
      </c>
      <c r="J265" s="53" t="str">
        <f>TABLEITEM!$H$3:$H$1138-TABLEITEM!$I$3:$I$1138</f>
        <v>#ERROR!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hidden="1" customHeight="1">
      <c r="A266" s="47">
        <v>264.0</v>
      </c>
      <c r="B266" s="2" t="s">
        <v>3022</v>
      </c>
      <c r="C266" s="2" t="s">
        <v>2595</v>
      </c>
      <c r="D266" s="2" t="s">
        <v>3023</v>
      </c>
      <c r="E266" s="51"/>
      <c r="F266" s="47"/>
      <c r="G266" s="52">
        <f t="array" ref="G266">MAX(IF(INSTOCK!$H$2:$H$2025=B266,INSTOCK!$K$2:$K$2025))</f>
        <v>0</v>
      </c>
      <c r="H266" s="53">
        <f>SUM(IF(INSTOCK!$H$2:$H$2025=B266,INSTOCK!$I$2:$I$2025))</f>
        <v>0</v>
      </c>
      <c r="I266" s="53" t="str">
        <f>SUM(IF([1]!Table13[ID]=B266,[1]!Table13[QTY]))</f>
        <v>#ERROR!</v>
      </c>
      <c r="J266" s="53" t="str">
        <f>TABLEITEM!$H$3:$H$1138-TABLEITEM!$I$3:$I$1138</f>
        <v>#ERROR!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hidden="1" customHeight="1">
      <c r="A267" s="47">
        <v>265.0</v>
      </c>
      <c r="B267" s="2" t="s">
        <v>523</v>
      </c>
      <c r="C267" s="2" t="s">
        <v>2595</v>
      </c>
      <c r="D267" s="2" t="s">
        <v>3024</v>
      </c>
      <c r="E267" s="51"/>
      <c r="F267" s="47"/>
      <c r="G267" s="52">
        <f t="array" ref="G267">MAX(IF(INSTOCK!$H$2:$H$2025=B267,INSTOCK!$K$2:$K$2025))</f>
        <v>0</v>
      </c>
      <c r="H267" s="53">
        <f>SUM(IF(INSTOCK!$H$2:$H$2025=B267,INSTOCK!$I$2:$I$2025))</f>
        <v>0</v>
      </c>
      <c r="I267" s="53" t="str">
        <f>SUM(IF([1]!Table13[ID]=B267,[1]!Table13[QTY]))</f>
        <v>#ERROR!</v>
      </c>
      <c r="J267" s="53" t="str">
        <f>TABLEITEM!$H$3:$H$1138-TABLEITEM!$I$3:$I$1138</f>
        <v>#ERROR!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hidden="1" customHeight="1">
      <c r="A268" s="47">
        <v>266.0</v>
      </c>
      <c r="B268" s="2" t="s">
        <v>1419</v>
      </c>
      <c r="C268" s="2" t="s">
        <v>2595</v>
      </c>
      <c r="D268" s="2" t="s">
        <v>3025</v>
      </c>
      <c r="E268" s="51"/>
      <c r="F268" s="47"/>
      <c r="G268" s="52">
        <f t="array" ref="G268">MAX(IF(INSTOCK!$H$2:$H$2025=B268,INSTOCK!$K$2:$K$2025))</f>
        <v>0</v>
      </c>
      <c r="H268" s="53">
        <f>SUM(IF(INSTOCK!$H$2:$H$2025=B268,INSTOCK!$I$2:$I$2025))</f>
        <v>0</v>
      </c>
      <c r="I268" s="53" t="str">
        <f>SUM(IF([1]!Table13[ID]=B268,[1]!Table13[QTY]))</f>
        <v>#ERROR!</v>
      </c>
      <c r="J268" s="53" t="str">
        <f>TABLEITEM!$H$3:$H$1138-TABLEITEM!$I$3:$I$1138</f>
        <v>#ERROR!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hidden="1" customHeight="1">
      <c r="A269" s="47">
        <v>267.0</v>
      </c>
      <c r="B269" s="2" t="s">
        <v>3026</v>
      </c>
      <c r="C269" s="2" t="s">
        <v>2595</v>
      </c>
      <c r="D269" s="2" t="s">
        <v>3027</v>
      </c>
      <c r="E269" s="51"/>
      <c r="F269" s="47"/>
      <c r="G269" s="52">
        <f t="array" ref="G269">MAX(IF(INSTOCK!$H$2:$H$2025=B269,INSTOCK!$K$2:$K$2025))</f>
        <v>0</v>
      </c>
      <c r="H269" s="53">
        <f>SUM(IF(INSTOCK!$H$2:$H$2025=B269,INSTOCK!$I$2:$I$2025))</f>
        <v>0</v>
      </c>
      <c r="I269" s="53" t="str">
        <f>SUM(IF([1]!Table13[ID]=B269,[1]!Table13[QTY]))</f>
        <v>#ERROR!</v>
      </c>
      <c r="J269" s="53" t="str">
        <f>TABLEITEM!$H$3:$H$1138-TABLEITEM!$I$3:$I$1138</f>
        <v>#ERROR!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hidden="1" customHeight="1">
      <c r="A270" s="47">
        <v>268.0</v>
      </c>
      <c r="B270" s="2" t="s">
        <v>3028</v>
      </c>
      <c r="C270" s="2" t="s">
        <v>2595</v>
      </c>
      <c r="D270" s="2" t="s">
        <v>3029</v>
      </c>
      <c r="E270" s="51"/>
      <c r="F270" s="47"/>
      <c r="G270" s="52">
        <f t="array" ref="G270">MAX(IF(INSTOCK!$H$2:$H$2025=B270,INSTOCK!$K$2:$K$2025))</f>
        <v>0</v>
      </c>
      <c r="H270" s="53">
        <f>SUM(IF(INSTOCK!$H$2:$H$2025=B270,INSTOCK!$I$2:$I$2025))</f>
        <v>0</v>
      </c>
      <c r="I270" s="53" t="str">
        <f>SUM(IF([1]!Table13[ID]=B270,[1]!Table13[QTY]))</f>
        <v>#ERROR!</v>
      </c>
      <c r="J270" s="53" t="str">
        <f>TABLEITEM!$H$3:$H$1138-TABLEITEM!$I$3:$I$1138</f>
        <v>#ERROR!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hidden="1" customHeight="1">
      <c r="A271" s="47">
        <v>269.0</v>
      </c>
      <c r="B271" s="2" t="s">
        <v>3030</v>
      </c>
      <c r="C271" s="2" t="s">
        <v>2595</v>
      </c>
      <c r="D271" s="2" t="s">
        <v>3031</v>
      </c>
      <c r="E271" s="51"/>
      <c r="F271" s="47"/>
      <c r="G271" s="52">
        <f t="array" ref="G271">MAX(IF(INSTOCK!$H$2:$H$2025=B271,INSTOCK!$K$2:$K$2025))</f>
        <v>0</v>
      </c>
      <c r="H271" s="53">
        <f>SUM(IF(INSTOCK!$H$2:$H$2025=B271,INSTOCK!$I$2:$I$2025))</f>
        <v>0</v>
      </c>
      <c r="I271" s="53" t="str">
        <f>SUM(IF([1]!Table13[ID]=B271,[1]!Table13[QTY]))</f>
        <v>#ERROR!</v>
      </c>
      <c r="J271" s="53" t="str">
        <f>TABLEITEM!$H$3:$H$1138-TABLEITEM!$I$3:$I$1138</f>
        <v>#ERROR!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hidden="1" customHeight="1">
      <c r="A272" s="47">
        <v>270.0</v>
      </c>
      <c r="B272" s="2" t="s">
        <v>1190</v>
      </c>
      <c r="C272" s="2" t="s">
        <v>2595</v>
      </c>
      <c r="D272" s="2" t="s">
        <v>3032</v>
      </c>
      <c r="E272" s="51"/>
      <c r="F272" s="47"/>
      <c r="G272" s="52">
        <f t="array" ref="G272">MAX(IF(INSTOCK!$H$2:$H$2025=B272,INSTOCK!$K$2:$K$2025))</f>
        <v>0</v>
      </c>
      <c r="H272" s="53">
        <f>SUM(IF(INSTOCK!$H$2:$H$2025=B272,INSTOCK!$I$2:$I$2025))</f>
        <v>0</v>
      </c>
      <c r="I272" s="53" t="str">
        <f>SUM(IF([1]!Table13[ID]=B272,[1]!Table13[QTY]))</f>
        <v>#ERROR!</v>
      </c>
      <c r="J272" s="53" t="str">
        <f>TABLEITEM!$H$3:$H$1138-TABLEITEM!$I$3:$I$1138</f>
        <v>#ERROR!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hidden="1" customHeight="1">
      <c r="A273" s="47">
        <v>271.0</v>
      </c>
      <c r="B273" s="2" t="s">
        <v>723</v>
      </c>
      <c r="C273" s="2" t="s">
        <v>2595</v>
      </c>
      <c r="D273" s="2" t="s">
        <v>3033</v>
      </c>
      <c r="E273" s="51"/>
      <c r="F273" s="47"/>
      <c r="G273" s="52">
        <f t="array" ref="G273">MAX(IF(INSTOCK!$H$2:$H$2025=B273,INSTOCK!$K$2:$K$2025))</f>
        <v>0</v>
      </c>
      <c r="H273" s="53">
        <f>SUM(IF(INSTOCK!$H$2:$H$2025=B273,INSTOCK!$I$2:$I$2025))</f>
        <v>0</v>
      </c>
      <c r="I273" s="53" t="str">
        <f>SUM(IF([1]!Table13[ID]=B273,[1]!Table13[QTY]))</f>
        <v>#ERROR!</v>
      </c>
      <c r="J273" s="53" t="str">
        <f>TABLEITEM!$H$3:$H$1138-TABLEITEM!$I$3:$I$1138</f>
        <v>#ERROR!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hidden="1" customHeight="1">
      <c r="A274" s="47">
        <v>272.0</v>
      </c>
      <c r="B274" s="2" t="s">
        <v>1192</v>
      </c>
      <c r="C274" s="2" t="s">
        <v>2595</v>
      </c>
      <c r="D274" s="2" t="s">
        <v>3034</v>
      </c>
      <c r="E274" s="51"/>
      <c r="F274" s="47"/>
      <c r="G274" s="52">
        <f t="array" ref="G274">MAX(IF(INSTOCK!$H$2:$H$2025=B274,INSTOCK!$K$2:$K$2025))</f>
        <v>0</v>
      </c>
      <c r="H274" s="53">
        <f>SUM(IF(INSTOCK!$H$2:$H$2025=B274,INSTOCK!$I$2:$I$2025))</f>
        <v>0</v>
      </c>
      <c r="I274" s="53" t="str">
        <f>SUM(IF([1]!Table13[ID]=B274,[1]!Table13[QTY]))</f>
        <v>#ERROR!</v>
      </c>
      <c r="J274" s="53" t="str">
        <f>TABLEITEM!$H$3:$H$1138-TABLEITEM!$I$3:$I$1138</f>
        <v>#ERROR!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hidden="1" customHeight="1">
      <c r="A275" s="47">
        <v>273.0</v>
      </c>
      <c r="B275" s="2" t="s">
        <v>495</v>
      </c>
      <c r="C275" s="2" t="s">
        <v>2595</v>
      </c>
      <c r="D275" s="2" t="s">
        <v>3035</v>
      </c>
      <c r="E275" s="51"/>
      <c r="F275" s="47"/>
      <c r="G275" s="52">
        <f t="array" ref="G275">MAX(IF(INSTOCK!$H$2:$H$2025=B275,INSTOCK!$K$2:$K$2025))</f>
        <v>0</v>
      </c>
      <c r="H275" s="53">
        <f>SUM(IF(INSTOCK!$H$2:$H$2025=B275,INSTOCK!$I$2:$I$2025))</f>
        <v>0</v>
      </c>
      <c r="I275" s="53" t="str">
        <f>SUM(IF([1]!Table13[ID]=B275,[1]!Table13[QTY]))</f>
        <v>#ERROR!</v>
      </c>
      <c r="J275" s="53" t="str">
        <f>TABLEITEM!$H$3:$H$1138-TABLEITEM!$I$3:$I$1138</f>
        <v>#ERROR!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hidden="1" customHeight="1">
      <c r="A276" s="47">
        <v>274.0</v>
      </c>
      <c r="B276" s="2" t="s">
        <v>3036</v>
      </c>
      <c r="C276" s="2" t="s">
        <v>2595</v>
      </c>
      <c r="D276" s="2" t="s">
        <v>3037</v>
      </c>
      <c r="E276" s="51"/>
      <c r="F276" s="47"/>
      <c r="G276" s="52">
        <f t="array" ref="G276">MAX(IF(INSTOCK!$H$2:$H$2025=B276,INSTOCK!$K$2:$K$2025))</f>
        <v>0</v>
      </c>
      <c r="H276" s="53">
        <f>SUM(IF(INSTOCK!$H$2:$H$2025=B276,INSTOCK!$I$2:$I$2025))</f>
        <v>0</v>
      </c>
      <c r="I276" s="53" t="str">
        <f>SUM(IF([1]!Table13[ID]=B276,[1]!Table13[QTY]))</f>
        <v>#ERROR!</v>
      </c>
      <c r="J276" s="53" t="str">
        <f>TABLEITEM!$H$3:$H$1138-TABLEITEM!$I$3:$I$1138</f>
        <v>#ERROR!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hidden="1" customHeight="1">
      <c r="A277" s="47">
        <v>275.0</v>
      </c>
      <c r="B277" s="2" t="s">
        <v>3038</v>
      </c>
      <c r="C277" s="2" t="s">
        <v>2595</v>
      </c>
      <c r="D277" s="2" t="s">
        <v>3039</v>
      </c>
      <c r="E277" s="51"/>
      <c r="F277" s="47"/>
      <c r="G277" s="52">
        <f t="array" ref="G277">MAX(IF(INSTOCK!$H$2:$H$2025=B277,INSTOCK!$K$2:$K$2025))</f>
        <v>0</v>
      </c>
      <c r="H277" s="53">
        <f>SUM(IF(INSTOCK!$H$2:$H$2025=B277,INSTOCK!$I$2:$I$2025))</f>
        <v>0</v>
      </c>
      <c r="I277" s="53" t="str">
        <f>SUM(IF([1]!Table13[ID]=B277,[1]!Table13[QTY]))</f>
        <v>#ERROR!</v>
      </c>
      <c r="J277" s="53" t="str">
        <f>TABLEITEM!$H$3:$H$1138-TABLEITEM!$I$3:$I$1138</f>
        <v>#ERROR!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hidden="1" customHeight="1">
      <c r="A278" s="47">
        <v>276.0</v>
      </c>
      <c r="B278" s="2" t="s">
        <v>513</v>
      </c>
      <c r="C278" s="2" t="s">
        <v>2595</v>
      </c>
      <c r="D278" s="2" t="s">
        <v>3040</v>
      </c>
      <c r="E278" s="51"/>
      <c r="F278" s="47"/>
      <c r="G278" s="52">
        <f t="array" ref="G278">MAX(IF(INSTOCK!$H$2:$H$2025=B278,INSTOCK!$K$2:$K$2025))</f>
        <v>0</v>
      </c>
      <c r="H278" s="53">
        <f>SUM(IF(INSTOCK!$H$2:$H$2025=B278,INSTOCK!$I$2:$I$2025))</f>
        <v>0</v>
      </c>
      <c r="I278" s="53" t="str">
        <f>SUM(IF([1]!Table13[ID]=B278,[1]!Table13[QTY]))</f>
        <v>#ERROR!</v>
      </c>
      <c r="J278" s="53" t="str">
        <f>TABLEITEM!$H$3:$H$1138-TABLEITEM!$I$3:$I$1138</f>
        <v>#ERROR!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hidden="1" customHeight="1">
      <c r="A279" s="47">
        <v>277.0</v>
      </c>
      <c r="B279" s="2" t="s">
        <v>3041</v>
      </c>
      <c r="C279" s="2" t="s">
        <v>2595</v>
      </c>
      <c r="D279" s="2" t="s">
        <v>3042</v>
      </c>
      <c r="E279" s="51"/>
      <c r="F279" s="47"/>
      <c r="G279" s="52">
        <f t="array" ref="G279">MAX(IF(INSTOCK!$H$2:$H$2025=B279,INSTOCK!$K$2:$K$2025))</f>
        <v>0</v>
      </c>
      <c r="H279" s="53">
        <f>SUM(IF(INSTOCK!$H$2:$H$2025=B279,INSTOCK!$I$2:$I$2025))</f>
        <v>0</v>
      </c>
      <c r="I279" s="53" t="str">
        <f>SUM(IF([1]!Table13[ID]=B279,[1]!Table13[QTY]))</f>
        <v>#ERROR!</v>
      </c>
      <c r="J279" s="53" t="str">
        <f>TABLEITEM!$H$3:$H$1138-TABLEITEM!$I$3:$I$1138</f>
        <v>#ERROR!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hidden="1" customHeight="1">
      <c r="A280" s="47">
        <v>278.0</v>
      </c>
      <c r="B280" s="2" t="s">
        <v>493</v>
      </c>
      <c r="C280" s="2" t="s">
        <v>2595</v>
      </c>
      <c r="D280" s="2" t="s">
        <v>3043</v>
      </c>
      <c r="E280" s="51"/>
      <c r="F280" s="47"/>
      <c r="G280" s="52">
        <f t="array" ref="G280">MAX(IF(INSTOCK!$H$2:$H$2025=B280,INSTOCK!$K$2:$K$2025))</f>
        <v>0</v>
      </c>
      <c r="H280" s="53">
        <f>SUM(IF(INSTOCK!$H$2:$H$2025=B280,INSTOCK!$I$2:$I$2025))</f>
        <v>0</v>
      </c>
      <c r="I280" s="53" t="str">
        <f>SUM(IF([1]!Table13[ID]=B280,[1]!Table13[QTY]))</f>
        <v>#ERROR!</v>
      </c>
      <c r="J280" s="53" t="str">
        <f>TABLEITEM!$H$3:$H$1138-TABLEITEM!$I$3:$I$1138</f>
        <v>#ERROR!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hidden="1" customHeight="1">
      <c r="A281" s="47">
        <v>279.0</v>
      </c>
      <c r="B281" s="2" t="s">
        <v>525</v>
      </c>
      <c r="C281" s="2" t="s">
        <v>2595</v>
      </c>
      <c r="D281" s="2" t="s">
        <v>3044</v>
      </c>
      <c r="E281" s="51"/>
      <c r="F281" s="47"/>
      <c r="G281" s="52">
        <f t="array" ref="G281">MAX(IF(INSTOCK!$H$2:$H$2025=B281,INSTOCK!$K$2:$K$2025))</f>
        <v>0</v>
      </c>
      <c r="H281" s="53">
        <f>SUM(IF(INSTOCK!$H$2:$H$2025=B281,INSTOCK!$I$2:$I$2025))</f>
        <v>0</v>
      </c>
      <c r="I281" s="53" t="str">
        <f>SUM(IF([1]!Table13[ID]=B281,[1]!Table13[QTY]))</f>
        <v>#ERROR!</v>
      </c>
      <c r="J281" s="53" t="str">
        <f>TABLEITEM!$H$3:$H$1138-TABLEITEM!$I$3:$I$1138</f>
        <v>#ERROR!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hidden="1" customHeight="1">
      <c r="A282" s="47">
        <v>280.0</v>
      </c>
      <c r="B282" s="2" t="s">
        <v>3045</v>
      </c>
      <c r="C282" s="2" t="s">
        <v>2595</v>
      </c>
      <c r="D282" s="2" t="s">
        <v>3046</v>
      </c>
      <c r="E282" s="51"/>
      <c r="F282" s="47"/>
      <c r="G282" s="52">
        <f t="array" ref="G282">MAX(IF(INSTOCK!$H$2:$H$2025=B282,INSTOCK!$K$2:$K$2025))</f>
        <v>0</v>
      </c>
      <c r="H282" s="53">
        <f>SUM(IF(INSTOCK!$H$2:$H$2025=B282,INSTOCK!$I$2:$I$2025))</f>
        <v>0</v>
      </c>
      <c r="I282" s="53" t="str">
        <f>SUM(IF([1]!Table13[ID]=B282,[1]!Table13[QTY]))</f>
        <v>#ERROR!</v>
      </c>
      <c r="J282" s="53" t="str">
        <f>TABLEITEM!$H$3:$H$1138-TABLEITEM!$I$3:$I$1138</f>
        <v>#ERROR!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hidden="1" customHeight="1">
      <c r="A283" s="47">
        <v>281.0</v>
      </c>
      <c r="B283" s="2" t="s">
        <v>3047</v>
      </c>
      <c r="C283" s="2" t="s">
        <v>2595</v>
      </c>
      <c r="D283" s="2" t="s">
        <v>3048</v>
      </c>
      <c r="E283" s="51"/>
      <c r="F283" s="47"/>
      <c r="G283" s="52">
        <f t="array" ref="G283">MAX(IF(INSTOCK!$H$2:$H$2025=B283,INSTOCK!$K$2:$K$2025))</f>
        <v>0</v>
      </c>
      <c r="H283" s="53">
        <f>SUM(IF(INSTOCK!$H$2:$H$2025=B283,INSTOCK!$I$2:$I$2025))</f>
        <v>0</v>
      </c>
      <c r="I283" s="53" t="str">
        <f>SUM(IF([1]!Table13[ID]=B283,[1]!Table13[QTY]))</f>
        <v>#ERROR!</v>
      </c>
      <c r="J283" s="53" t="str">
        <f>TABLEITEM!$H$3:$H$1138-TABLEITEM!$I$3:$I$1138</f>
        <v>#ERROR!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hidden="1" customHeight="1">
      <c r="A284" s="47">
        <v>282.0</v>
      </c>
      <c r="B284" s="2" t="s">
        <v>3049</v>
      </c>
      <c r="C284" s="2" t="s">
        <v>2595</v>
      </c>
      <c r="D284" s="2" t="s">
        <v>3050</v>
      </c>
      <c r="E284" s="51"/>
      <c r="F284" s="47"/>
      <c r="G284" s="52">
        <f t="array" ref="G284">MAX(IF(INSTOCK!$H$2:$H$2025=B284,INSTOCK!$K$2:$K$2025))</f>
        <v>0</v>
      </c>
      <c r="H284" s="53">
        <f>SUM(IF(INSTOCK!$H$2:$H$2025=B284,INSTOCK!$I$2:$I$2025))</f>
        <v>0</v>
      </c>
      <c r="I284" s="53" t="str">
        <f>SUM(IF([1]!Table13[ID]=B284,[1]!Table13[QTY]))</f>
        <v>#ERROR!</v>
      </c>
      <c r="J284" s="53" t="str">
        <f>TABLEITEM!$H$3:$H$1138-TABLEITEM!$I$3:$I$1138</f>
        <v>#ERROR!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hidden="1" customHeight="1">
      <c r="A285" s="47">
        <v>283.0</v>
      </c>
      <c r="B285" s="2" t="s">
        <v>1230</v>
      </c>
      <c r="C285" s="2" t="s">
        <v>2595</v>
      </c>
      <c r="D285" s="2" t="s">
        <v>3051</v>
      </c>
      <c r="E285" s="51"/>
      <c r="F285" s="47"/>
      <c r="G285" s="52">
        <f t="array" ref="G285">MAX(IF(INSTOCK!$H$2:$H$2025=B285,INSTOCK!$K$2:$K$2025))</f>
        <v>0</v>
      </c>
      <c r="H285" s="53">
        <f>SUM(IF(INSTOCK!$H$2:$H$2025=B285,INSTOCK!$I$2:$I$2025))</f>
        <v>0</v>
      </c>
      <c r="I285" s="53" t="str">
        <f>SUM(IF([1]!Table13[ID]=B285,[1]!Table13[QTY]))</f>
        <v>#ERROR!</v>
      </c>
      <c r="J285" s="53" t="str">
        <f>TABLEITEM!$H$3:$H$1138-TABLEITEM!$I$3:$I$1138</f>
        <v>#ERROR!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hidden="1" customHeight="1">
      <c r="A286" s="47">
        <v>284.0</v>
      </c>
      <c r="B286" s="2" t="s">
        <v>561</v>
      </c>
      <c r="C286" s="2" t="s">
        <v>2595</v>
      </c>
      <c r="D286" s="2" t="s">
        <v>3052</v>
      </c>
      <c r="E286" s="51"/>
      <c r="F286" s="47"/>
      <c r="G286" s="52">
        <f t="array" ref="G286">MAX(IF(INSTOCK!$H$2:$H$2025=B286,INSTOCK!$K$2:$K$2025))</f>
        <v>0</v>
      </c>
      <c r="H286" s="53">
        <f>SUM(IF(INSTOCK!$H$2:$H$2025=B286,INSTOCK!$I$2:$I$2025))</f>
        <v>0</v>
      </c>
      <c r="I286" s="53" t="str">
        <f>SUM(IF([1]!Table13[ID]=B286,[1]!Table13[QTY]))</f>
        <v>#ERROR!</v>
      </c>
      <c r="J286" s="53" t="str">
        <f>TABLEITEM!$H$3:$H$1138-TABLEITEM!$I$3:$I$1138</f>
        <v>#ERROR!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hidden="1" customHeight="1">
      <c r="A287" s="47">
        <v>285.0</v>
      </c>
      <c r="B287" s="2" t="s">
        <v>731</v>
      </c>
      <c r="C287" s="2" t="s">
        <v>2595</v>
      </c>
      <c r="D287" s="2" t="s">
        <v>3053</v>
      </c>
      <c r="E287" s="51"/>
      <c r="F287" s="47"/>
      <c r="G287" s="52">
        <f t="array" ref="G287">MAX(IF(INSTOCK!$H$2:$H$2025=B287,INSTOCK!$K$2:$K$2025))</f>
        <v>0</v>
      </c>
      <c r="H287" s="53">
        <f>SUM(IF(INSTOCK!$H$2:$H$2025=B287,INSTOCK!$I$2:$I$2025))</f>
        <v>0</v>
      </c>
      <c r="I287" s="53" t="str">
        <f>SUM(IF([1]!Table13[ID]=B287,[1]!Table13[QTY]))</f>
        <v>#ERROR!</v>
      </c>
      <c r="J287" s="53" t="str">
        <f>TABLEITEM!$H$3:$H$1138-TABLEITEM!$I$3:$I$1138</f>
        <v>#ERROR!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hidden="1" customHeight="1">
      <c r="A288" s="47">
        <v>286.0</v>
      </c>
      <c r="B288" s="2" t="s">
        <v>3054</v>
      </c>
      <c r="C288" s="2" t="s">
        <v>2595</v>
      </c>
      <c r="D288" s="2" t="s">
        <v>3055</v>
      </c>
      <c r="E288" s="51"/>
      <c r="F288" s="47"/>
      <c r="G288" s="52">
        <f t="array" ref="G288">MAX(IF(INSTOCK!$H$2:$H$2025=B288,INSTOCK!$K$2:$K$2025))</f>
        <v>0</v>
      </c>
      <c r="H288" s="53">
        <f>SUM(IF(INSTOCK!$H$2:$H$2025=B288,INSTOCK!$I$2:$I$2025))</f>
        <v>0</v>
      </c>
      <c r="I288" s="53" t="str">
        <f>SUM(IF([1]!Table13[ID]=B288,[1]!Table13[QTY]))</f>
        <v>#ERROR!</v>
      </c>
      <c r="J288" s="53" t="str">
        <f>TABLEITEM!$H$3:$H$1138-TABLEITEM!$I$3:$I$1138</f>
        <v>#ERROR!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hidden="1" customHeight="1">
      <c r="A289" s="47">
        <v>287.0</v>
      </c>
      <c r="B289" s="2" t="s">
        <v>2213</v>
      </c>
      <c r="C289" s="2" t="s">
        <v>2595</v>
      </c>
      <c r="D289" s="2" t="s">
        <v>3056</v>
      </c>
      <c r="E289" s="51"/>
      <c r="F289" s="47"/>
      <c r="G289" s="52">
        <f t="array" ref="G289">MAX(IF(INSTOCK!$H$2:$H$2025=B289,INSTOCK!$K$2:$K$2025))</f>
        <v>0</v>
      </c>
      <c r="H289" s="53">
        <f>SUM(IF(INSTOCK!$H$2:$H$2025=B289,INSTOCK!$I$2:$I$2025))</f>
        <v>0</v>
      </c>
      <c r="I289" s="53" t="str">
        <f>SUM(IF([1]!Table13[ID]=B289,[1]!Table13[QTY]))</f>
        <v>#ERROR!</v>
      </c>
      <c r="J289" s="53" t="str">
        <f>TABLEITEM!$H$3:$H$1138-TABLEITEM!$I$3:$I$1138</f>
        <v>#ERROR!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hidden="1" customHeight="1">
      <c r="A290" s="47">
        <v>288.0</v>
      </c>
      <c r="B290" s="2" t="s">
        <v>3057</v>
      </c>
      <c r="C290" s="2" t="s">
        <v>2595</v>
      </c>
      <c r="D290" s="2" t="s">
        <v>3058</v>
      </c>
      <c r="E290" s="51"/>
      <c r="F290" s="47"/>
      <c r="G290" s="52">
        <f t="array" ref="G290">MAX(IF(INSTOCK!$H$2:$H$2025=B290,INSTOCK!$K$2:$K$2025))</f>
        <v>0</v>
      </c>
      <c r="H290" s="53">
        <f>SUM(IF(INSTOCK!$H$2:$H$2025=B290,INSTOCK!$I$2:$I$2025))</f>
        <v>0</v>
      </c>
      <c r="I290" s="53" t="str">
        <f>SUM(IF([1]!Table13[ID]=B290,[1]!Table13[QTY]))</f>
        <v>#ERROR!</v>
      </c>
      <c r="J290" s="53" t="str">
        <f>TABLEITEM!$H$3:$H$1138-TABLEITEM!$I$3:$I$1138</f>
        <v>#ERROR!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hidden="1" customHeight="1">
      <c r="A291" s="47">
        <v>289.0</v>
      </c>
      <c r="B291" s="2" t="s">
        <v>3059</v>
      </c>
      <c r="C291" s="2" t="s">
        <v>2595</v>
      </c>
      <c r="D291" s="2" t="s">
        <v>3060</v>
      </c>
      <c r="E291" s="51"/>
      <c r="F291" s="47"/>
      <c r="G291" s="52">
        <f t="array" ref="G291">MAX(IF(INSTOCK!$H$2:$H$2025=B291,INSTOCK!$K$2:$K$2025))</f>
        <v>0</v>
      </c>
      <c r="H291" s="53">
        <f>SUM(IF(INSTOCK!$H$2:$H$2025=B291,INSTOCK!$I$2:$I$2025))</f>
        <v>0</v>
      </c>
      <c r="I291" s="53" t="str">
        <f>SUM(IF([1]!Table13[ID]=B291,[1]!Table13[QTY]))</f>
        <v>#ERROR!</v>
      </c>
      <c r="J291" s="53" t="str">
        <f>TABLEITEM!$H$3:$H$1138-TABLEITEM!$I$3:$I$1138</f>
        <v>#ERROR!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hidden="1" customHeight="1">
      <c r="A292" s="47">
        <v>290.0</v>
      </c>
      <c r="B292" s="2" t="s">
        <v>3061</v>
      </c>
      <c r="C292" s="2" t="s">
        <v>2595</v>
      </c>
      <c r="D292" s="2" t="s">
        <v>3062</v>
      </c>
      <c r="E292" s="51"/>
      <c r="F292" s="47"/>
      <c r="G292" s="52">
        <f t="array" ref="G292">MAX(IF(INSTOCK!$H$2:$H$2025=B292,INSTOCK!$K$2:$K$2025))</f>
        <v>0</v>
      </c>
      <c r="H292" s="53">
        <f>SUM(IF(INSTOCK!$H$2:$H$2025=B292,INSTOCK!$I$2:$I$2025))</f>
        <v>0</v>
      </c>
      <c r="I292" s="53" t="str">
        <f>SUM(IF([1]!Table13[ID]=B292,[1]!Table13[QTY]))</f>
        <v>#ERROR!</v>
      </c>
      <c r="J292" s="53" t="str">
        <f>TABLEITEM!$H$3:$H$1138-TABLEITEM!$I$3:$I$1138</f>
        <v>#ERROR!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hidden="1" customHeight="1">
      <c r="A293" s="47">
        <v>291.0</v>
      </c>
      <c r="B293" s="2" t="s">
        <v>571</v>
      </c>
      <c r="C293" s="2" t="s">
        <v>2595</v>
      </c>
      <c r="D293" s="2" t="s">
        <v>3063</v>
      </c>
      <c r="E293" s="51"/>
      <c r="F293" s="47"/>
      <c r="G293" s="52">
        <f t="array" ref="G293">MAX(IF(INSTOCK!$H$2:$H$2025=B293,INSTOCK!$K$2:$K$2025))</f>
        <v>0</v>
      </c>
      <c r="H293" s="53">
        <f>SUM(IF(INSTOCK!$H$2:$H$2025=B293,INSTOCK!$I$2:$I$2025))</f>
        <v>0</v>
      </c>
      <c r="I293" s="53" t="str">
        <f>SUM(IF([1]!Table13[ID]=B293,[1]!Table13[QTY]))</f>
        <v>#ERROR!</v>
      </c>
      <c r="J293" s="53" t="str">
        <f>TABLEITEM!$H$3:$H$1138-TABLEITEM!$I$3:$I$1138</f>
        <v>#ERROR!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hidden="1" customHeight="1">
      <c r="A294" s="47">
        <v>292.0</v>
      </c>
      <c r="B294" s="2" t="s">
        <v>3064</v>
      </c>
      <c r="C294" s="2" t="s">
        <v>2595</v>
      </c>
      <c r="D294" s="2" t="s">
        <v>3065</v>
      </c>
      <c r="E294" s="51"/>
      <c r="F294" s="47"/>
      <c r="G294" s="52">
        <f t="array" ref="G294">MAX(IF(INSTOCK!$H$2:$H$2025=B294,INSTOCK!$K$2:$K$2025))</f>
        <v>0</v>
      </c>
      <c r="H294" s="53">
        <f>SUM(IF(INSTOCK!$H$2:$H$2025=B294,INSTOCK!$I$2:$I$2025))</f>
        <v>0</v>
      </c>
      <c r="I294" s="53" t="str">
        <f>SUM(IF([1]!Table13[ID]=B294,[1]!Table13[QTY]))</f>
        <v>#ERROR!</v>
      </c>
      <c r="J294" s="53" t="str">
        <f>TABLEITEM!$H$3:$H$1138-TABLEITEM!$I$3:$I$1138</f>
        <v>#ERROR!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hidden="1" customHeight="1">
      <c r="A295" s="47">
        <v>293.0</v>
      </c>
      <c r="B295" s="2" t="s">
        <v>511</v>
      </c>
      <c r="C295" s="2" t="s">
        <v>2595</v>
      </c>
      <c r="D295" s="2" t="s">
        <v>3066</v>
      </c>
      <c r="E295" s="51"/>
      <c r="F295" s="47"/>
      <c r="G295" s="52">
        <f t="array" ref="G295">MAX(IF(INSTOCK!$H$2:$H$2025=B295,INSTOCK!$K$2:$K$2025))</f>
        <v>0</v>
      </c>
      <c r="H295" s="53">
        <f>SUM(IF(INSTOCK!$H$2:$H$2025=B295,INSTOCK!$I$2:$I$2025))</f>
        <v>0</v>
      </c>
      <c r="I295" s="53" t="str">
        <f>SUM(IF([1]!Table13[ID]=B295,[1]!Table13[QTY]))</f>
        <v>#ERROR!</v>
      </c>
      <c r="J295" s="53" t="str">
        <f>TABLEITEM!$H$3:$H$1138-TABLEITEM!$I$3:$I$1138</f>
        <v>#ERROR!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hidden="1" customHeight="1">
      <c r="A296" s="47">
        <v>294.0</v>
      </c>
      <c r="B296" s="2" t="s">
        <v>3067</v>
      </c>
      <c r="C296" s="2" t="s">
        <v>2595</v>
      </c>
      <c r="D296" s="2" t="s">
        <v>3068</v>
      </c>
      <c r="E296" s="51"/>
      <c r="F296" s="47"/>
      <c r="G296" s="52">
        <f t="array" ref="G296">MAX(IF(INSTOCK!$H$2:$H$2025=B296,INSTOCK!$K$2:$K$2025))</f>
        <v>0</v>
      </c>
      <c r="H296" s="53">
        <f>SUM(IF(INSTOCK!$H$2:$H$2025=B296,INSTOCK!$I$2:$I$2025))</f>
        <v>0</v>
      </c>
      <c r="I296" s="53" t="str">
        <f>SUM(IF([1]!Table13[ID]=B296,[1]!Table13[QTY]))</f>
        <v>#ERROR!</v>
      </c>
      <c r="J296" s="53" t="str">
        <f>TABLEITEM!$H$3:$H$1138-TABLEITEM!$I$3:$I$1138</f>
        <v>#ERROR!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hidden="1" customHeight="1">
      <c r="A297" s="47">
        <v>295.0</v>
      </c>
      <c r="B297" s="2" t="s">
        <v>491</v>
      </c>
      <c r="C297" s="2" t="s">
        <v>2595</v>
      </c>
      <c r="D297" s="2" t="s">
        <v>3069</v>
      </c>
      <c r="E297" s="51"/>
      <c r="F297" s="47"/>
      <c r="G297" s="52">
        <f t="array" ref="G297">MAX(IF(INSTOCK!$H$2:$H$2025=B297,INSTOCK!$K$2:$K$2025))</f>
        <v>0</v>
      </c>
      <c r="H297" s="53">
        <f>SUM(IF(INSTOCK!$H$2:$H$2025=B297,INSTOCK!$I$2:$I$2025))</f>
        <v>0</v>
      </c>
      <c r="I297" s="53" t="str">
        <f>SUM(IF([1]!Table13[ID]=B297,[1]!Table13[QTY]))</f>
        <v>#ERROR!</v>
      </c>
      <c r="J297" s="53" t="str">
        <f>TABLEITEM!$H$3:$H$1138-TABLEITEM!$I$3:$I$1138</f>
        <v>#ERROR!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hidden="1" customHeight="1">
      <c r="A298" s="47">
        <v>296.0</v>
      </c>
      <c r="B298" s="2" t="s">
        <v>3070</v>
      </c>
      <c r="C298" s="2" t="s">
        <v>2595</v>
      </c>
      <c r="D298" s="2" t="s">
        <v>3071</v>
      </c>
      <c r="E298" s="51"/>
      <c r="F298" s="47"/>
      <c r="G298" s="52">
        <f t="array" ref="G298">MAX(IF(INSTOCK!$H$2:$H$2025=B298,INSTOCK!$K$2:$K$2025))</f>
        <v>0</v>
      </c>
      <c r="H298" s="53">
        <f>SUM(IF(INSTOCK!$H$2:$H$2025=B298,INSTOCK!$I$2:$I$2025))</f>
        <v>0</v>
      </c>
      <c r="I298" s="53" t="str">
        <f>SUM(IF([1]!Table13[ID]=B298,[1]!Table13[QTY]))</f>
        <v>#ERROR!</v>
      </c>
      <c r="J298" s="53" t="str">
        <f>TABLEITEM!$H$3:$H$1138-TABLEITEM!$I$3:$I$1138</f>
        <v>#ERROR!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hidden="1" customHeight="1">
      <c r="A299" s="47">
        <v>297.0</v>
      </c>
      <c r="B299" s="2" t="s">
        <v>3072</v>
      </c>
      <c r="C299" s="2" t="s">
        <v>2595</v>
      </c>
      <c r="D299" s="2" t="s">
        <v>3073</v>
      </c>
      <c r="E299" s="51"/>
      <c r="F299" s="47"/>
      <c r="G299" s="52">
        <f t="array" ref="G299">MAX(IF(INSTOCK!$H$2:$H$2025=B299,INSTOCK!$K$2:$K$2025))</f>
        <v>0</v>
      </c>
      <c r="H299" s="53">
        <f>SUM(IF(INSTOCK!$H$2:$H$2025=B299,INSTOCK!$I$2:$I$2025))</f>
        <v>0</v>
      </c>
      <c r="I299" s="53" t="str">
        <f>SUM(IF([1]!Table13[ID]=B299,[1]!Table13[QTY]))</f>
        <v>#ERROR!</v>
      </c>
      <c r="J299" s="53" t="str">
        <f>TABLEITEM!$H$3:$H$1138-TABLEITEM!$I$3:$I$1138</f>
        <v>#ERROR!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hidden="1" customHeight="1">
      <c r="A300" s="47">
        <v>298.0</v>
      </c>
      <c r="B300" s="2" t="s">
        <v>3074</v>
      </c>
      <c r="C300" s="2" t="s">
        <v>2595</v>
      </c>
      <c r="D300" s="2" t="s">
        <v>3075</v>
      </c>
      <c r="E300" s="51"/>
      <c r="F300" s="47"/>
      <c r="G300" s="52">
        <f t="array" ref="G300">MAX(IF(INSTOCK!$H$2:$H$2025=B300,INSTOCK!$K$2:$K$2025))</f>
        <v>0</v>
      </c>
      <c r="H300" s="53">
        <f>SUM(IF(INSTOCK!$H$2:$H$2025=B300,INSTOCK!$I$2:$I$2025))</f>
        <v>0</v>
      </c>
      <c r="I300" s="53" t="str">
        <f>SUM(IF([1]!Table13[ID]=B300,[1]!Table13[QTY]))</f>
        <v>#ERROR!</v>
      </c>
      <c r="J300" s="53" t="str">
        <f>TABLEITEM!$H$3:$H$1138-TABLEITEM!$I$3:$I$1138</f>
        <v>#ERROR!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hidden="1" customHeight="1">
      <c r="A301" s="47">
        <v>299.0</v>
      </c>
      <c r="B301" s="2" t="s">
        <v>3076</v>
      </c>
      <c r="C301" s="2" t="s">
        <v>2595</v>
      </c>
      <c r="D301" s="2" t="s">
        <v>3077</v>
      </c>
      <c r="E301" s="51"/>
      <c r="F301" s="47"/>
      <c r="G301" s="52">
        <f t="array" ref="G301">MAX(IF(INSTOCK!$H$2:$H$2025=B301,INSTOCK!$K$2:$K$2025))</f>
        <v>0</v>
      </c>
      <c r="H301" s="53">
        <f>SUM(IF(INSTOCK!$H$2:$H$2025=B301,INSTOCK!$I$2:$I$2025))</f>
        <v>0</v>
      </c>
      <c r="I301" s="53" t="str">
        <f>SUM(IF([1]!Table13[ID]=B301,[1]!Table13[QTY]))</f>
        <v>#ERROR!</v>
      </c>
      <c r="J301" s="53" t="str">
        <f>TABLEITEM!$H$3:$H$1138-TABLEITEM!$I$3:$I$1138</f>
        <v>#ERROR!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hidden="1" customHeight="1">
      <c r="A302" s="47">
        <v>300.0</v>
      </c>
      <c r="B302" s="2" t="s">
        <v>3078</v>
      </c>
      <c r="C302" s="2" t="s">
        <v>2595</v>
      </c>
      <c r="D302" s="2" t="s">
        <v>3079</v>
      </c>
      <c r="E302" s="51"/>
      <c r="F302" s="47"/>
      <c r="G302" s="52">
        <f t="array" ref="G302">MAX(IF(INSTOCK!$H$2:$H$2025=B302,INSTOCK!$K$2:$K$2025))</f>
        <v>0</v>
      </c>
      <c r="H302" s="53">
        <f>SUM(IF(INSTOCK!$H$2:$H$2025=B302,INSTOCK!$I$2:$I$2025))</f>
        <v>0</v>
      </c>
      <c r="I302" s="53" t="str">
        <f>SUM(IF([1]!Table13[ID]=B302,[1]!Table13[QTY]))</f>
        <v>#ERROR!</v>
      </c>
      <c r="J302" s="53" t="str">
        <f>TABLEITEM!$H$3:$H$1138-TABLEITEM!$I$3:$I$1138</f>
        <v>#ERROR!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hidden="1" customHeight="1">
      <c r="A303" s="47">
        <v>301.0</v>
      </c>
      <c r="B303" s="2" t="s">
        <v>3080</v>
      </c>
      <c r="C303" s="2" t="s">
        <v>2595</v>
      </c>
      <c r="D303" s="2" t="s">
        <v>3081</v>
      </c>
      <c r="E303" s="51"/>
      <c r="F303" s="47"/>
      <c r="G303" s="52">
        <f t="array" ref="G303">MAX(IF(INSTOCK!$H$2:$H$2025=B303,INSTOCK!$K$2:$K$2025))</f>
        <v>0</v>
      </c>
      <c r="H303" s="53">
        <f>SUM(IF(INSTOCK!$H$2:$H$2025=B303,INSTOCK!$I$2:$I$2025))</f>
        <v>0</v>
      </c>
      <c r="I303" s="53" t="str">
        <f>SUM(IF([1]!Table13[ID]=B303,[1]!Table13[QTY]))</f>
        <v>#ERROR!</v>
      </c>
      <c r="J303" s="53" t="str">
        <f>TABLEITEM!$H$3:$H$1138-TABLEITEM!$I$3:$I$1138</f>
        <v>#ERROR!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hidden="1" customHeight="1">
      <c r="A304" s="47">
        <v>302.0</v>
      </c>
      <c r="B304" s="2" t="s">
        <v>3082</v>
      </c>
      <c r="C304" s="2" t="s">
        <v>2595</v>
      </c>
      <c r="D304" s="2" t="s">
        <v>3083</v>
      </c>
      <c r="E304" s="51"/>
      <c r="F304" s="47"/>
      <c r="G304" s="52">
        <f t="array" ref="G304">MAX(IF(INSTOCK!$H$2:$H$2025=B304,INSTOCK!$K$2:$K$2025))</f>
        <v>0</v>
      </c>
      <c r="H304" s="53">
        <f>SUM(IF(INSTOCK!$H$2:$H$2025=B304,INSTOCK!$I$2:$I$2025))</f>
        <v>0</v>
      </c>
      <c r="I304" s="53" t="str">
        <f>SUM(IF([1]!Table13[ID]=B304,[1]!Table13[QTY]))</f>
        <v>#ERROR!</v>
      </c>
      <c r="J304" s="53" t="str">
        <f>TABLEITEM!$H$3:$H$1138-TABLEITEM!$I$3:$I$1138</f>
        <v>#ERROR!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hidden="1" customHeight="1">
      <c r="A305" s="47">
        <v>303.0</v>
      </c>
      <c r="B305" s="2" t="s">
        <v>734</v>
      </c>
      <c r="C305" s="2" t="s">
        <v>2599</v>
      </c>
      <c r="D305" s="2" t="s">
        <v>3084</v>
      </c>
      <c r="E305" s="51"/>
      <c r="F305" s="47"/>
      <c r="G305" s="52">
        <f t="array" ref="G305">MAX(IF(INSTOCK!$H$2:$H$2025=B305,INSTOCK!$K$2:$K$2025))</f>
        <v>25</v>
      </c>
      <c r="H305" s="53">
        <f>SUM(IF(INSTOCK!$H$2:$H$2025=B305,INSTOCK!$I$2:$I$2025))</f>
        <v>0</v>
      </c>
      <c r="I305" s="53" t="str">
        <f>SUM(IF([1]!Table13[ID]=B305,[1]!Table13[QTY]))</f>
        <v>#ERROR!</v>
      </c>
      <c r="J305" s="53" t="str">
        <f>TABLEITEM!$H$3:$H$1138-TABLEITEM!$I$3:$I$1138</f>
        <v>#ERROR!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hidden="1" customHeight="1">
      <c r="A306" s="47">
        <v>304.0</v>
      </c>
      <c r="B306" s="2" t="s">
        <v>3085</v>
      </c>
      <c r="C306" s="2" t="s">
        <v>2599</v>
      </c>
      <c r="D306" s="2" t="s">
        <v>3086</v>
      </c>
      <c r="E306" s="51" t="s">
        <v>3087</v>
      </c>
      <c r="F306" s="47"/>
      <c r="G306" s="52">
        <f t="array" ref="G306">MAX(IF(INSTOCK!$H$2:$H$2025=B306,INSTOCK!$K$2:$K$2025))</f>
        <v>25</v>
      </c>
      <c r="H306" s="53">
        <f>SUM(IF(INSTOCK!$H$2:$H$2025=B306,INSTOCK!$I$2:$I$2025))</f>
        <v>0</v>
      </c>
      <c r="I306" s="53" t="str">
        <f>SUM(IF([1]!Table13[ID]=B306,[1]!Table13[QTY]))</f>
        <v>#ERROR!</v>
      </c>
      <c r="J306" s="53" t="str">
        <f>TABLEITEM!$H$3:$H$1138-TABLEITEM!$I$3:$I$1138</f>
        <v>#ERROR!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hidden="1" customHeight="1">
      <c r="A307" s="47">
        <v>305.0</v>
      </c>
      <c r="B307" s="2" t="s">
        <v>746</v>
      </c>
      <c r="C307" s="2" t="s">
        <v>2599</v>
      </c>
      <c r="D307" s="2" t="s">
        <v>3088</v>
      </c>
      <c r="E307" s="51" t="s">
        <v>3087</v>
      </c>
      <c r="F307" s="47"/>
      <c r="G307" s="52">
        <f t="array" ref="G307">MAX(IF(INSTOCK!$H$2:$H$2025=B307,INSTOCK!$K$2:$K$2025))</f>
        <v>35</v>
      </c>
      <c r="H307" s="53">
        <f>SUM(IF(INSTOCK!$H$2:$H$2025=B307,INSTOCK!$I$2:$I$2025))</f>
        <v>0</v>
      </c>
      <c r="I307" s="53" t="str">
        <f>SUM(IF([1]!Table13[ID]=B307,[1]!Table13[QTY]))</f>
        <v>#ERROR!</v>
      </c>
      <c r="J307" s="53" t="str">
        <f>TABLEITEM!$H$3:$H$1138-TABLEITEM!$I$3:$I$1138</f>
        <v>#ERROR!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hidden="1" customHeight="1">
      <c r="A308" s="47">
        <v>306.0</v>
      </c>
      <c r="B308" s="2" t="s">
        <v>750</v>
      </c>
      <c r="C308" s="2" t="s">
        <v>2599</v>
      </c>
      <c r="D308" s="2" t="s">
        <v>3089</v>
      </c>
      <c r="E308" s="51" t="s">
        <v>3087</v>
      </c>
      <c r="F308" s="47"/>
      <c r="G308" s="52">
        <f t="array" ref="G308">MAX(IF(INSTOCK!$H$2:$H$2025=B308,INSTOCK!$K$2:$K$2025))</f>
        <v>25</v>
      </c>
      <c r="H308" s="53">
        <f>SUM(IF(INSTOCK!$H$2:$H$2025=B308,INSTOCK!$I$2:$I$2025))</f>
        <v>0</v>
      </c>
      <c r="I308" s="53" t="str">
        <f>SUM(IF([1]!Table13[ID]=B308,[1]!Table13[QTY]))</f>
        <v>#ERROR!</v>
      </c>
      <c r="J308" s="53" t="str">
        <f>TABLEITEM!$H$3:$H$1138-TABLEITEM!$I$3:$I$1138</f>
        <v>#ERROR!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hidden="1" customHeight="1">
      <c r="A309" s="47">
        <v>307.0</v>
      </c>
      <c r="B309" s="2" t="s">
        <v>751</v>
      </c>
      <c r="C309" s="2" t="s">
        <v>2599</v>
      </c>
      <c r="D309" s="2" t="s">
        <v>3090</v>
      </c>
      <c r="E309" s="51" t="s">
        <v>3087</v>
      </c>
      <c r="F309" s="47"/>
      <c r="G309" s="52">
        <f t="array" ref="G309">MAX(IF(INSTOCK!$H$2:$H$2025=B309,INSTOCK!$K$2:$K$2025))</f>
        <v>38</v>
      </c>
      <c r="H309" s="53">
        <f>SUM(IF(INSTOCK!$H$2:$H$2025=B309,INSTOCK!$I$2:$I$2025))</f>
        <v>0</v>
      </c>
      <c r="I309" s="53" t="str">
        <f>SUM(IF([1]!Table13[ID]=B309,[1]!Table13[QTY]))</f>
        <v>#ERROR!</v>
      </c>
      <c r="J309" s="53" t="str">
        <f>TABLEITEM!$H$3:$H$1138-TABLEITEM!$I$3:$I$1138</f>
        <v>#ERROR!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hidden="1" customHeight="1">
      <c r="A310" s="47">
        <v>308.0</v>
      </c>
      <c r="B310" s="2" t="s">
        <v>763</v>
      </c>
      <c r="C310" s="2" t="s">
        <v>2599</v>
      </c>
      <c r="D310" s="2" t="s">
        <v>3091</v>
      </c>
      <c r="E310" s="51" t="s">
        <v>3087</v>
      </c>
      <c r="F310" s="47"/>
      <c r="G310" s="52">
        <f t="array" ref="G310">MAX(IF(INSTOCK!$H$2:$H$2025=B310,INSTOCK!$K$2:$K$2025))</f>
        <v>25</v>
      </c>
      <c r="H310" s="53">
        <f>SUM(IF(INSTOCK!$H$2:$H$2025=B310,INSTOCK!$I$2:$I$2025))</f>
        <v>0</v>
      </c>
      <c r="I310" s="53" t="str">
        <f>SUM(IF([1]!Table13[ID]=B310,[1]!Table13[QTY]))</f>
        <v>#ERROR!</v>
      </c>
      <c r="J310" s="53" t="str">
        <f>TABLEITEM!$H$3:$H$1138-TABLEITEM!$I$3:$I$1138</f>
        <v>#ERROR!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hidden="1" customHeight="1">
      <c r="A311" s="47">
        <v>310.0</v>
      </c>
      <c r="B311" s="2" t="s">
        <v>766</v>
      </c>
      <c r="C311" s="2" t="s">
        <v>2599</v>
      </c>
      <c r="D311" s="2" t="s">
        <v>3092</v>
      </c>
      <c r="E311" s="51" t="s">
        <v>3087</v>
      </c>
      <c r="F311" s="47"/>
      <c r="G311" s="52">
        <f t="array" ref="G311">MAX(IF(INSTOCK!$H$2:$H$2025=B311,INSTOCK!$K$2:$K$2025))</f>
        <v>25</v>
      </c>
      <c r="H311" s="53">
        <f>SUM(IF(INSTOCK!$H$2:$H$2025=B311,INSTOCK!$I$2:$I$2025))</f>
        <v>0</v>
      </c>
      <c r="I311" s="53" t="str">
        <f>SUM(IF([1]!Table13[ID]=B311,[1]!Table13[QTY]))</f>
        <v>#ERROR!</v>
      </c>
      <c r="J311" s="53" t="str">
        <f>TABLEITEM!$H$3:$H$1138-TABLEITEM!$I$3:$I$1138</f>
        <v>#ERROR!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hidden="1" customHeight="1">
      <c r="A312" s="47">
        <v>311.0</v>
      </c>
      <c r="B312" s="2" t="s">
        <v>3093</v>
      </c>
      <c r="C312" s="2" t="s">
        <v>2599</v>
      </c>
      <c r="D312" s="2" t="s">
        <v>3094</v>
      </c>
      <c r="E312" s="51" t="s">
        <v>3087</v>
      </c>
      <c r="F312" s="47"/>
      <c r="G312" s="52">
        <f t="array" ref="G312">MAX(IF(INSTOCK!$H$2:$H$2025=B312,INSTOCK!$K$2:$K$2025))</f>
        <v>38</v>
      </c>
      <c r="H312" s="53">
        <f>SUM(IF(INSTOCK!$H$2:$H$2025=B312,INSTOCK!$I$2:$I$2025))</f>
        <v>0</v>
      </c>
      <c r="I312" s="53" t="str">
        <f>SUM(IF([1]!Table13[ID]=B312,[1]!Table13[QTY]))</f>
        <v>#ERROR!</v>
      </c>
      <c r="J312" s="53" t="str">
        <f>TABLEITEM!$H$3:$H$1138-TABLEITEM!$I$3:$I$1138</f>
        <v>#ERROR!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hidden="1" customHeight="1">
      <c r="A313" s="47">
        <v>312.0</v>
      </c>
      <c r="B313" s="2" t="s">
        <v>774</v>
      </c>
      <c r="C313" s="2" t="s">
        <v>2599</v>
      </c>
      <c r="D313" s="2" t="s">
        <v>3095</v>
      </c>
      <c r="E313" s="51" t="s">
        <v>3087</v>
      </c>
      <c r="F313" s="47"/>
      <c r="G313" s="52">
        <f t="array" ref="G313">MAX(IF(INSTOCK!$H$2:$H$2025=B313,INSTOCK!$K$2:$K$2025))</f>
        <v>40</v>
      </c>
      <c r="H313" s="53">
        <f>SUM(IF(INSTOCK!$H$2:$H$2025=B313,INSTOCK!$I$2:$I$2025))</f>
        <v>0</v>
      </c>
      <c r="I313" s="53" t="str">
        <f>SUM(IF([1]!Table13[ID]=B313,[1]!Table13[QTY]))</f>
        <v>#ERROR!</v>
      </c>
      <c r="J313" s="53" t="str">
        <f>TABLEITEM!$H$3:$H$1138-TABLEITEM!$I$3:$I$1138</f>
        <v>#ERROR!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hidden="1" customHeight="1">
      <c r="A314" s="47">
        <v>313.0</v>
      </c>
      <c r="B314" s="2" t="s">
        <v>3096</v>
      </c>
      <c r="C314" s="2" t="s">
        <v>2599</v>
      </c>
      <c r="D314" s="2" t="s">
        <v>3097</v>
      </c>
      <c r="E314" s="51" t="s">
        <v>3087</v>
      </c>
      <c r="F314" s="47"/>
      <c r="G314" s="52">
        <f t="array" ref="G314">MAX(IF(INSTOCK!$H$2:$H$2025=B314,INSTOCK!$K$2:$K$2025))</f>
        <v>0</v>
      </c>
      <c r="H314" s="53">
        <f>SUM(IF(INSTOCK!$H$2:$H$2025=B314,INSTOCK!$I$2:$I$2025))</f>
        <v>0</v>
      </c>
      <c r="I314" s="53" t="str">
        <f>SUM(IF([1]!Table13[ID]=B314,[1]!Table13[QTY]))</f>
        <v>#ERROR!</v>
      </c>
      <c r="J314" s="53" t="str">
        <f>TABLEITEM!$H$3:$H$1138-TABLEITEM!$I$3:$I$1138</f>
        <v>#ERROR!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hidden="1" customHeight="1">
      <c r="A315" s="47">
        <v>314.0</v>
      </c>
      <c r="B315" s="2" t="s">
        <v>3098</v>
      </c>
      <c r="C315" s="2" t="s">
        <v>2599</v>
      </c>
      <c r="D315" s="2" t="s">
        <v>3099</v>
      </c>
      <c r="E315" s="51" t="s">
        <v>3087</v>
      </c>
      <c r="F315" s="47"/>
      <c r="G315" s="52">
        <f t="array" ref="G315">MAX(IF(INSTOCK!$H$2:$H$2025=B315,INSTOCK!$K$2:$K$2025))</f>
        <v>0</v>
      </c>
      <c r="H315" s="53">
        <f>SUM(IF(INSTOCK!$H$2:$H$2025=B315,INSTOCK!$I$2:$I$2025))</f>
        <v>0</v>
      </c>
      <c r="I315" s="53" t="str">
        <f>SUM(IF([1]!Table13[ID]=B315,[1]!Table13[QTY]))</f>
        <v>#ERROR!</v>
      </c>
      <c r="J315" s="53" t="str">
        <f>TABLEITEM!$H$3:$H$1138-TABLEITEM!$I$3:$I$1138</f>
        <v>#ERROR!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hidden="1" customHeight="1">
      <c r="A316" s="47">
        <v>315.0</v>
      </c>
      <c r="B316" s="2" t="s">
        <v>795</v>
      </c>
      <c r="C316" s="2" t="s">
        <v>2599</v>
      </c>
      <c r="D316" s="2" t="s">
        <v>3100</v>
      </c>
      <c r="E316" s="51" t="s">
        <v>3087</v>
      </c>
      <c r="F316" s="47"/>
      <c r="G316" s="52">
        <f t="array" ref="G316">MAX(IF(INSTOCK!$H$2:$H$2025=B316,INSTOCK!$K$2:$K$2025))</f>
        <v>50</v>
      </c>
      <c r="H316" s="53">
        <f>SUM(IF(INSTOCK!$H$2:$H$2025=B316,INSTOCK!$I$2:$I$2025))</f>
        <v>0</v>
      </c>
      <c r="I316" s="53" t="str">
        <f>SUM(IF([1]!Table13[ID]=B316,[1]!Table13[QTY]))</f>
        <v>#ERROR!</v>
      </c>
      <c r="J316" s="53" t="str">
        <f>TABLEITEM!$H$3:$H$1138-TABLEITEM!$I$3:$I$1138</f>
        <v>#ERROR!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hidden="1" customHeight="1">
      <c r="A317" s="47">
        <v>316.0</v>
      </c>
      <c r="B317" s="2" t="s">
        <v>797</v>
      </c>
      <c r="C317" s="2" t="s">
        <v>2599</v>
      </c>
      <c r="D317" s="2" t="s">
        <v>3101</v>
      </c>
      <c r="E317" s="51" t="s">
        <v>3087</v>
      </c>
      <c r="F317" s="47"/>
      <c r="G317" s="52">
        <f t="array" ref="G317">MAX(IF(INSTOCK!$H$2:$H$2025=B317,INSTOCK!$K$2:$K$2025))</f>
        <v>50</v>
      </c>
      <c r="H317" s="53">
        <f>SUM(IF(INSTOCK!$H$2:$H$2025=B317,INSTOCK!$I$2:$I$2025))</f>
        <v>0</v>
      </c>
      <c r="I317" s="53" t="str">
        <f>SUM(IF([1]!Table13[ID]=B317,[1]!Table13[QTY]))</f>
        <v>#ERROR!</v>
      </c>
      <c r="J317" s="53" t="str">
        <f>TABLEITEM!$H$3:$H$1138-TABLEITEM!$I$3:$I$1138</f>
        <v>#ERROR!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hidden="1" customHeight="1">
      <c r="A318" s="47">
        <v>317.0</v>
      </c>
      <c r="B318" s="2" t="s">
        <v>798</v>
      </c>
      <c r="C318" s="2" t="s">
        <v>2599</v>
      </c>
      <c r="D318" s="2" t="s">
        <v>3102</v>
      </c>
      <c r="E318" s="51" t="s">
        <v>3087</v>
      </c>
      <c r="F318" s="47"/>
      <c r="G318" s="52">
        <f t="array" ref="G318">MAX(IF(INSTOCK!$H$2:$H$2025=B318,INSTOCK!$K$2:$K$2025))</f>
        <v>50</v>
      </c>
      <c r="H318" s="53">
        <f>SUM(IF(INSTOCK!$H$2:$H$2025=B318,INSTOCK!$I$2:$I$2025))</f>
        <v>0</v>
      </c>
      <c r="I318" s="53" t="str">
        <f>SUM(IF([1]!Table13[ID]=B318,[1]!Table13[QTY]))</f>
        <v>#ERROR!</v>
      </c>
      <c r="J318" s="53" t="str">
        <f>TABLEITEM!$H$3:$H$1138-TABLEITEM!$I$3:$I$1138</f>
        <v>#ERROR!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hidden="1" customHeight="1">
      <c r="A319" s="47">
        <v>318.0</v>
      </c>
      <c r="B319" s="2" t="s">
        <v>800</v>
      </c>
      <c r="C319" s="2" t="s">
        <v>2599</v>
      </c>
      <c r="D319" s="2" t="s">
        <v>3103</v>
      </c>
      <c r="E319" s="51" t="s">
        <v>3087</v>
      </c>
      <c r="F319" s="47"/>
      <c r="G319" s="52">
        <f t="array" ref="G319">MAX(IF(INSTOCK!$H$2:$H$2025=B319,INSTOCK!$K$2:$K$2025))</f>
        <v>65</v>
      </c>
      <c r="H319" s="53">
        <f>SUM(IF(INSTOCK!$H$2:$H$2025=B319,INSTOCK!$I$2:$I$2025))</f>
        <v>0</v>
      </c>
      <c r="I319" s="53" t="str">
        <f>SUM(IF([1]!Table13[ID]=B319,[1]!Table13[QTY]))</f>
        <v>#ERROR!</v>
      </c>
      <c r="J319" s="53" t="str">
        <f>TABLEITEM!$H$3:$H$1138-TABLEITEM!$I$3:$I$1138</f>
        <v>#ERROR!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hidden="1" customHeight="1">
      <c r="A320" s="47">
        <v>319.0</v>
      </c>
      <c r="B320" s="2" t="s">
        <v>3104</v>
      </c>
      <c r="C320" s="2" t="s">
        <v>2599</v>
      </c>
      <c r="D320" s="2" t="s">
        <v>3105</v>
      </c>
      <c r="E320" s="51" t="s">
        <v>3087</v>
      </c>
      <c r="F320" s="47"/>
      <c r="G320" s="52">
        <f t="array" ref="G320">MAX(IF(INSTOCK!$H$2:$H$2025=B320,INSTOCK!$K$2:$K$2025))</f>
        <v>0</v>
      </c>
      <c r="H320" s="53">
        <f>SUM(IF(INSTOCK!$H$2:$H$2025=B320,INSTOCK!$I$2:$I$2025))</f>
        <v>0</v>
      </c>
      <c r="I320" s="53" t="str">
        <f>SUM(IF([1]!Table13[ID]=B320,[1]!Table13[QTY]))</f>
        <v>#ERROR!</v>
      </c>
      <c r="J320" s="53" t="str">
        <f>TABLEITEM!$H$3:$H$1138-TABLEITEM!$I$3:$I$1138</f>
        <v>#ERROR!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hidden="1" customHeight="1">
      <c r="A321" s="47">
        <v>320.0</v>
      </c>
      <c r="B321" s="2" t="s">
        <v>3106</v>
      </c>
      <c r="C321" s="2" t="s">
        <v>2599</v>
      </c>
      <c r="D321" s="2" t="s">
        <v>3107</v>
      </c>
      <c r="E321" s="51" t="s">
        <v>3087</v>
      </c>
      <c r="F321" s="47"/>
      <c r="G321" s="52">
        <f t="array" ref="G321">MAX(IF(INSTOCK!$H$2:$H$2025=B321,INSTOCK!$K$2:$K$2025))</f>
        <v>0</v>
      </c>
      <c r="H321" s="53">
        <f>SUM(IF(INSTOCK!$H$2:$H$2025=B321,INSTOCK!$I$2:$I$2025))</f>
        <v>0</v>
      </c>
      <c r="I321" s="53" t="str">
        <f>SUM(IF([1]!Table13[ID]=B321,[1]!Table13[QTY]))</f>
        <v>#ERROR!</v>
      </c>
      <c r="J321" s="53" t="str">
        <f>TABLEITEM!$H$3:$H$1138-TABLEITEM!$I$3:$I$1138</f>
        <v>#ERROR!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hidden="1" customHeight="1">
      <c r="A322" s="47">
        <v>321.0</v>
      </c>
      <c r="B322" s="2" t="s">
        <v>805</v>
      </c>
      <c r="C322" s="2" t="s">
        <v>2599</v>
      </c>
      <c r="D322" s="2" t="s">
        <v>3108</v>
      </c>
      <c r="E322" s="51" t="s">
        <v>3087</v>
      </c>
      <c r="F322" s="47"/>
      <c r="G322" s="52">
        <f t="array" ref="G322">MAX(IF(INSTOCK!$H$2:$H$2025=B322,INSTOCK!$K$2:$K$2025))</f>
        <v>50</v>
      </c>
      <c r="H322" s="53">
        <f>SUM(IF(INSTOCK!$H$2:$H$2025=B322,INSTOCK!$I$2:$I$2025))</f>
        <v>0</v>
      </c>
      <c r="I322" s="53" t="str">
        <f>SUM(IF([1]!Table13[ID]=B322,[1]!Table13[QTY]))</f>
        <v>#ERROR!</v>
      </c>
      <c r="J322" s="53" t="str">
        <f>TABLEITEM!$H$3:$H$1138-TABLEITEM!$I$3:$I$1138</f>
        <v>#ERROR!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hidden="1" customHeight="1">
      <c r="A323" s="47">
        <v>322.0</v>
      </c>
      <c r="B323" s="2" t="s">
        <v>867</v>
      </c>
      <c r="C323" s="2" t="s">
        <v>2599</v>
      </c>
      <c r="D323" s="2" t="s">
        <v>3109</v>
      </c>
      <c r="E323" s="51" t="s">
        <v>3087</v>
      </c>
      <c r="F323" s="47"/>
      <c r="G323" s="52">
        <f t="array" ref="G323">MAX(IF(INSTOCK!$H$2:$H$2025=B323,INSTOCK!$K$2:$K$2025))</f>
        <v>60</v>
      </c>
      <c r="H323" s="53">
        <f>SUM(IF(INSTOCK!$H$2:$H$2025=B323,INSTOCK!$I$2:$I$2025))</f>
        <v>0</v>
      </c>
      <c r="I323" s="53" t="str">
        <f>SUM(IF([1]!Table13[ID]=B323,[1]!Table13[QTY]))</f>
        <v>#ERROR!</v>
      </c>
      <c r="J323" s="53" t="str">
        <f>TABLEITEM!$H$3:$H$1138-TABLEITEM!$I$3:$I$1138</f>
        <v>#ERROR!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hidden="1" customHeight="1">
      <c r="A324" s="47">
        <v>323.0</v>
      </c>
      <c r="B324" s="2" t="s">
        <v>806</v>
      </c>
      <c r="C324" s="2" t="s">
        <v>2599</v>
      </c>
      <c r="D324" s="2" t="s">
        <v>3110</v>
      </c>
      <c r="E324" s="51" t="s">
        <v>3087</v>
      </c>
      <c r="F324" s="47"/>
      <c r="G324" s="52">
        <f t="array" ref="G324">MAX(IF(INSTOCK!$H$2:$H$2025=B324,INSTOCK!$K$2:$K$2025))</f>
        <v>30</v>
      </c>
      <c r="H324" s="53">
        <f>SUM(IF(INSTOCK!$H$2:$H$2025=B324,INSTOCK!$I$2:$I$2025))</f>
        <v>0</v>
      </c>
      <c r="I324" s="53" t="str">
        <f>SUM(IF([1]!Table13[ID]=B324,[1]!Table13[QTY]))</f>
        <v>#ERROR!</v>
      </c>
      <c r="J324" s="53" t="str">
        <f>TABLEITEM!$H$3:$H$1138-TABLEITEM!$I$3:$I$1138</f>
        <v>#ERROR!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hidden="1" customHeight="1">
      <c r="A325" s="47">
        <v>324.0</v>
      </c>
      <c r="B325" s="2" t="s">
        <v>3111</v>
      </c>
      <c r="C325" s="2" t="s">
        <v>2599</v>
      </c>
      <c r="D325" s="2" t="s">
        <v>3112</v>
      </c>
      <c r="E325" s="51" t="s">
        <v>3087</v>
      </c>
      <c r="F325" s="47"/>
      <c r="G325" s="52">
        <f t="array" ref="G325">MAX(IF(INSTOCK!$H$2:$H$2025=B325,INSTOCK!$K$2:$K$2025))</f>
        <v>0</v>
      </c>
      <c r="H325" s="53">
        <f>SUM(IF(INSTOCK!$H$2:$H$2025=B325,INSTOCK!$I$2:$I$2025))</f>
        <v>0</v>
      </c>
      <c r="I325" s="53" t="str">
        <f>SUM(IF([1]!Table13[ID]=B325,[1]!Table13[QTY]))</f>
        <v>#ERROR!</v>
      </c>
      <c r="J325" s="53" t="str">
        <f>TABLEITEM!$H$3:$H$1138-TABLEITEM!$I$3:$I$1138</f>
        <v>#ERROR!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hidden="1" customHeight="1">
      <c r="A326" s="47">
        <v>325.0</v>
      </c>
      <c r="B326" s="2" t="s">
        <v>809</v>
      </c>
      <c r="C326" s="2" t="s">
        <v>2599</v>
      </c>
      <c r="D326" s="2" t="s">
        <v>3113</v>
      </c>
      <c r="E326" s="51" t="s">
        <v>3087</v>
      </c>
      <c r="F326" s="47"/>
      <c r="G326" s="52">
        <f t="array" ref="G326">MAX(IF(INSTOCK!$H$2:$H$2025=B326,INSTOCK!$K$2:$K$2025))</f>
        <v>50</v>
      </c>
      <c r="H326" s="53">
        <f>SUM(IF(INSTOCK!$H$2:$H$2025=B326,INSTOCK!$I$2:$I$2025))</f>
        <v>0</v>
      </c>
      <c r="I326" s="53" t="str">
        <f>SUM(IF([1]!Table13[ID]=B326,[1]!Table13[QTY]))</f>
        <v>#ERROR!</v>
      </c>
      <c r="J326" s="53" t="str">
        <f>TABLEITEM!$H$3:$H$1138-TABLEITEM!$I$3:$I$1138</f>
        <v>#ERROR!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hidden="1" customHeight="1">
      <c r="A327" s="47">
        <v>326.0</v>
      </c>
      <c r="B327" s="2" t="s">
        <v>811</v>
      </c>
      <c r="C327" s="2" t="s">
        <v>2599</v>
      </c>
      <c r="D327" s="2" t="s">
        <v>3114</v>
      </c>
      <c r="E327" s="51" t="s">
        <v>3087</v>
      </c>
      <c r="F327" s="47"/>
      <c r="G327" s="52">
        <f t="array" ref="G327">MAX(IF(INSTOCK!$H$2:$H$2025=B327,INSTOCK!$K$2:$K$2025))</f>
        <v>75</v>
      </c>
      <c r="H327" s="53">
        <f>SUM(IF(INSTOCK!$H$2:$H$2025=B327,INSTOCK!$I$2:$I$2025))</f>
        <v>0</v>
      </c>
      <c r="I327" s="53" t="str">
        <f>SUM(IF([1]!Table13[ID]=B327,[1]!Table13[QTY]))</f>
        <v>#ERROR!</v>
      </c>
      <c r="J327" s="53" t="str">
        <f>TABLEITEM!$H$3:$H$1138-TABLEITEM!$I$3:$I$1138</f>
        <v>#ERROR!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hidden="1" customHeight="1">
      <c r="A328" s="47">
        <v>327.0</v>
      </c>
      <c r="B328" s="2" t="s">
        <v>871</v>
      </c>
      <c r="C328" s="2" t="s">
        <v>2599</v>
      </c>
      <c r="D328" s="2" t="s">
        <v>3115</v>
      </c>
      <c r="E328" s="51" t="s">
        <v>3087</v>
      </c>
      <c r="F328" s="47"/>
      <c r="G328" s="52">
        <f t="array" ref="G328">MAX(IF(INSTOCK!$H$2:$H$2025=B328,INSTOCK!$K$2:$K$2025))</f>
        <v>50</v>
      </c>
      <c r="H328" s="53">
        <f>SUM(IF(INSTOCK!$H$2:$H$2025=B328,INSTOCK!$I$2:$I$2025))</f>
        <v>0</v>
      </c>
      <c r="I328" s="53" t="str">
        <f>SUM(IF([1]!Table13[ID]=B328,[1]!Table13[QTY]))</f>
        <v>#ERROR!</v>
      </c>
      <c r="J328" s="53" t="str">
        <f>TABLEITEM!$H$3:$H$1138-TABLEITEM!$I$3:$I$1138</f>
        <v>#ERROR!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hidden="1" customHeight="1">
      <c r="A329" s="47">
        <v>328.0</v>
      </c>
      <c r="B329" s="2" t="s">
        <v>3116</v>
      </c>
      <c r="C329" s="2" t="s">
        <v>2599</v>
      </c>
      <c r="D329" s="22" t="s">
        <v>3117</v>
      </c>
      <c r="E329" s="51" t="s">
        <v>3087</v>
      </c>
      <c r="F329" s="47"/>
      <c r="G329" s="52">
        <f t="array" ref="G329">MAX(IF(INSTOCK!$H$2:$H$2025=B329,INSTOCK!$K$2:$K$2025))</f>
        <v>0</v>
      </c>
      <c r="H329" s="53">
        <f>SUM(IF(INSTOCK!$H$2:$H$2025=B329,INSTOCK!$I$2:$I$2025))</f>
        <v>0</v>
      </c>
      <c r="I329" s="53" t="str">
        <f>SUM(IF([1]!Table13[ID]=B329,[1]!Table13[QTY]))</f>
        <v>#ERROR!</v>
      </c>
      <c r="J329" s="53" t="str">
        <f>TABLEITEM!$H$3:$H$1138-TABLEITEM!$I$3:$I$1138</f>
        <v>#ERROR!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hidden="1" customHeight="1">
      <c r="A330" s="47">
        <v>329.0</v>
      </c>
      <c r="B330" s="2" t="s">
        <v>816</v>
      </c>
      <c r="C330" s="2" t="s">
        <v>2599</v>
      </c>
      <c r="D330" s="2" t="s">
        <v>3118</v>
      </c>
      <c r="E330" s="51" t="s">
        <v>3087</v>
      </c>
      <c r="F330" s="47"/>
      <c r="G330" s="52">
        <f t="array" ref="G330">MAX(IF(INSTOCK!$H$2:$H$2025=B330,INSTOCK!$K$2:$K$2025))</f>
        <v>50</v>
      </c>
      <c r="H330" s="53">
        <f>SUM(IF(INSTOCK!$H$2:$H$2025=B330,INSTOCK!$I$2:$I$2025))</f>
        <v>0</v>
      </c>
      <c r="I330" s="53" t="str">
        <f>SUM(IF([1]!Table13[ID]=B330,[1]!Table13[QTY]))</f>
        <v>#ERROR!</v>
      </c>
      <c r="J330" s="53" t="str">
        <f>TABLEITEM!$H$3:$H$1138-TABLEITEM!$I$3:$I$1138</f>
        <v>#ERROR!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hidden="1" customHeight="1">
      <c r="A331" s="47">
        <v>330.0</v>
      </c>
      <c r="B331" s="2" t="s">
        <v>3119</v>
      </c>
      <c r="C331" s="2" t="s">
        <v>2599</v>
      </c>
      <c r="D331" s="2" t="s">
        <v>3120</v>
      </c>
      <c r="E331" s="51" t="s">
        <v>3087</v>
      </c>
      <c r="F331" s="47"/>
      <c r="G331" s="52">
        <f t="array" ref="G331">MAX(IF(INSTOCK!$H$2:$H$2025=B331,INSTOCK!$K$2:$K$2025))</f>
        <v>0</v>
      </c>
      <c r="H331" s="53">
        <f>SUM(IF(INSTOCK!$H$2:$H$2025=B331,INSTOCK!$I$2:$I$2025))</f>
        <v>0</v>
      </c>
      <c r="I331" s="53" t="str">
        <f>SUM(IF([1]!Table13[ID]=B331,[1]!Table13[QTY]))</f>
        <v>#ERROR!</v>
      </c>
      <c r="J331" s="53" t="str">
        <f>TABLEITEM!$H$3:$H$1138-TABLEITEM!$I$3:$I$1138</f>
        <v>#ERROR!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hidden="1" customHeight="1">
      <c r="A332" s="47">
        <v>331.0</v>
      </c>
      <c r="B332" s="2" t="s">
        <v>3121</v>
      </c>
      <c r="C332" s="2" t="s">
        <v>2599</v>
      </c>
      <c r="D332" s="2" t="s">
        <v>3122</v>
      </c>
      <c r="E332" s="51" t="s">
        <v>3087</v>
      </c>
      <c r="F332" s="47"/>
      <c r="G332" s="52">
        <f t="array" ref="G332">MAX(IF(INSTOCK!$H$2:$H$2025=B332,INSTOCK!$K$2:$K$2025))</f>
        <v>0</v>
      </c>
      <c r="H332" s="53">
        <f>SUM(IF(INSTOCK!$H$2:$H$2025=B332,INSTOCK!$I$2:$I$2025))</f>
        <v>0</v>
      </c>
      <c r="I332" s="53" t="str">
        <f>SUM(IF([1]!Table13[ID]=B332,[1]!Table13[QTY]))</f>
        <v>#ERROR!</v>
      </c>
      <c r="J332" s="53" t="str">
        <f>TABLEITEM!$H$3:$H$1138-TABLEITEM!$I$3:$I$1138</f>
        <v>#ERROR!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hidden="1" customHeight="1">
      <c r="A333" s="47">
        <v>332.0</v>
      </c>
      <c r="B333" s="2" t="s">
        <v>3123</v>
      </c>
      <c r="C333" s="2" t="s">
        <v>2599</v>
      </c>
      <c r="D333" s="2" t="s">
        <v>3124</v>
      </c>
      <c r="E333" s="51" t="s">
        <v>3087</v>
      </c>
      <c r="F333" s="47"/>
      <c r="G333" s="52">
        <f t="array" ref="G333">MAX(IF(INSTOCK!$H$2:$H$2025=B333,INSTOCK!$K$2:$K$2025))</f>
        <v>0</v>
      </c>
      <c r="H333" s="53">
        <f>SUM(IF(INSTOCK!$H$2:$H$2025=B333,INSTOCK!$I$2:$I$2025))</f>
        <v>0</v>
      </c>
      <c r="I333" s="53" t="str">
        <f>SUM(IF([1]!Table13[ID]=B333,[1]!Table13[QTY]))</f>
        <v>#ERROR!</v>
      </c>
      <c r="J333" s="53" t="str">
        <f>TABLEITEM!$H$3:$H$1138-TABLEITEM!$I$3:$I$1138</f>
        <v>#ERROR!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hidden="1" customHeight="1">
      <c r="A334" s="47">
        <v>333.0</v>
      </c>
      <c r="B334" s="2" t="s">
        <v>3125</v>
      </c>
      <c r="C334" s="2" t="s">
        <v>2599</v>
      </c>
      <c r="D334" s="2" t="s">
        <v>3126</v>
      </c>
      <c r="E334" s="51" t="s">
        <v>3087</v>
      </c>
      <c r="F334" s="47"/>
      <c r="G334" s="52">
        <f t="array" ref="G334">MAX(IF(INSTOCK!$H$2:$H$2025=B334,INSTOCK!$K$2:$K$2025))</f>
        <v>0</v>
      </c>
      <c r="H334" s="53">
        <f>SUM(IF(INSTOCK!$H$2:$H$2025=B334,INSTOCK!$I$2:$I$2025))</f>
        <v>0</v>
      </c>
      <c r="I334" s="53" t="str">
        <f>SUM(IF([1]!Table13[ID]=B334,[1]!Table13[QTY]))</f>
        <v>#ERROR!</v>
      </c>
      <c r="J334" s="53" t="str">
        <f>TABLEITEM!$H$3:$H$1138-TABLEITEM!$I$3:$I$1138</f>
        <v>#ERROR!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hidden="1" customHeight="1">
      <c r="A335" s="47">
        <v>334.0</v>
      </c>
      <c r="B335" s="2" t="s">
        <v>820</v>
      </c>
      <c r="C335" s="2" t="s">
        <v>2599</v>
      </c>
      <c r="D335" s="2" t="s">
        <v>3127</v>
      </c>
      <c r="E335" s="51" t="s">
        <v>3087</v>
      </c>
      <c r="F335" s="47"/>
      <c r="G335" s="52">
        <f t="array" ref="G335">MAX(IF(INSTOCK!$H$2:$H$2025=B335,INSTOCK!$K$2:$K$2025))</f>
        <v>75</v>
      </c>
      <c r="H335" s="53">
        <f>SUM(IF(INSTOCK!$H$2:$H$2025=B335,INSTOCK!$I$2:$I$2025))</f>
        <v>0</v>
      </c>
      <c r="I335" s="53" t="str">
        <f>SUM(IF([1]!Table13[ID]=B335,[1]!Table13[QTY]))</f>
        <v>#ERROR!</v>
      </c>
      <c r="J335" s="53" t="str">
        <f>TABLEITEM!$H$3:$H$1138-TABLEITEM!$I$3:$I$1138</f>
        <v>#ERROR!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hidden="1" customHeight="1">
      <c r="A336" s="47">
        <v>335.0</v>
      </c>
      <c r="B336" s="2" t="s">
        <v>882</v>
      </c>
      <c r="C336" s="2" t="s">
        <v>2599</v>
      </c>
      <c r="D336" s="2" t="s">
        <v>3128</v>
      </c>
      <c r="E336" s="51" t="s">
        <v>3087</v>
      </c>
      <c r="F336" s="47"/>
      <c r="G336" s="52">
        <f t="array" ref="G336">MAX(IF(INSTOCK!$H$2:$H$2025=B336,INSTOCK!$K$2:$K$2025))</f>
        <v>75</v>
      </c>
      <c r="H336" s="53">
        <f>SUM(IF(INSTOCK!$H$2:$H$2025=B336,INSTOCK!$I$2:$I$2025))</f>
        <v>0</v>
      </c>
      <c r="I336" s="53" t="str">
        <f>SUM(IF([1]!Table13[ID]=B336,[1]!Table13[QTY]))</f>
        <v>#ERROR!</v>
      </c>
      <c r="J336" s="53" t="str">
        <f>TABLEITEM!$H$3:$H$1138-TABLEITEM!$I$3:$I$1138</f>
        <v>#ERROR!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hidden="1" customHeight="1">
      <c r="A337" s="47">
        <v>336.0</v>
      </c>
      <c r="B337" s="2" t="s">
        <v>970</v>
      </c>
      <c r="C337" s="2" t="s">
        <v>2599</v>
      </c>
      <c r="D337" s="2" t="s">
        <v>3129</v>
      </c>
      <c r="E337" s="51" t="s">
        <v>3087</v>
      </c>
      <c r="F337" s="47"/>
      <c r="G337" s="52">
        <f t="array" ref="G337">MAX(IF(INSTOCK!$H$2:$H$2025=B337,INSTOCK!$K$2:$K$2025))</f>
        <v>1200</v>
      </c>
      <c r="H337" s="53">
        <f>SUM(IF(INSTOCK!$H$2:$H$2025=B337,INSTOCK!$I$2:$I$2025))</f>
        <v>0</v>
      </c>
      <c r="I337" s="53" t="str">
        <f>SUM(IF([1]!Table13[ID]=B337,[1]!Table13[QTY]))</f>
        <v>#ERROR!</v>
      </c>
      <c r="J337" s="53" t="str">
        <f>TABLEITEM!$H$3:$H$1138-TABLEITEM!$I$3:$I$1138</f>
        <v>#ERROR!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hidden="1" customHeight="1">
      <c r="A338" s="47">
        <v>337.0</v>
      </c>
      <c r="B338" s="2" t="s">
        <v>3130</v>
      </c>
      <c r="C338" s="2" t="s">
        <v>2599</v>
      </c>
      <c r="D338" s="2" t="s">
        <v>3131</v>
      </c>
      <c r="E338" s="51" t="s">
        <v>3087</v>
      </c>
      <c r="F338" s="47"/>
      <c r="G338" s="52">
        <f t="array" ref="G338">MAX(IF(INSTOCK!$H$2:$H$2025=B338,INSTOCK!$K$2:$K$2025))</f>
        <v>0</v>
      </c>
      <c r="H338" s="53">
        <f>SUM(IF(INSTOCK!$H$2:$H$2025=B338,INSTOCK!$I$2:$I$2025))</f>
        <v>0</v>
      </c>
      <c r="I338" s="53" t="str">
        <f>SUM(IF([1]!Table13[ID]=B338,[1]!Table13[QTY]))</f>
        <v>#ERROR!</v>
      </c>
      <c r="J338" s="53" t="str">
        <f>TABLEITEM!$H$3:$H$1138-TABLEITEM!$I$3:$I$1138</f>
        <v>#ERROR!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hidden="1" customHeight="1">
      <c r="A339" s="47">
        <v>338.0</v>
      </c>
      <c r="B339" s="2" t="s">
        <v>3132</v>
      </c>
      <c r="C339" s="2" t="s">
        <v>2599</v>
      </c>
      <c r="D339" s="2" t="s">
        <v>3133</v>
      </c>
      <c r="E339" s="51" t="s">
        <v>3087</v>
      </c>
      <c r="F339" s="47"/>
      <c r="G339" s="52">
        <f t="array" ref="G339">MAX(IF(INSTOCK!$H$2:$H$2025=B339,INSTOCK!$K$2:$K$2025))</f>
        <v>0</v>
      </c>
      <c r="H339" s="53">
        <f>SUM(IF(INSTOCK!$H$2:$H$2025=B339,INSTOCK!$I$2:$I$2025))</f>
        <v>0</v>
      </c>
      <c r="I339" s="53" t="str">
        <f>SUM(IF([1]!Table13[ID]=B339,[1]!Table13[QTY]))</f>
        <v>#ERROR!</v>
      </c>
      <c r="J339" s="53" t="str">
        <f>TABLEITEM!$H$3:$H$1138-TABLEITEM!$I$3:$I$1138</f>
        <v>#ERROR!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hidden="1" customHeight="1">
      <c r="A340" s="47">
        <v>339.0</v>
      </c>
      <c r="B340" s="2" t="s">
        <v>822</v>
      </c>
      <c r="C340" s="2" t="s">
        <v>2599</v>
      </c>
      <c r="D340" s="2" t="s">
        <v>3134</v>
      </c>
      <c r="E340" s="51" t="s">
        <v>3087</v>
      </c>
      <c r="F340" s="47"/>
      <c r="G340" s="52">
        <f t="array" ref="G340">MAX(IF(INSTOCK!$H$2:$H$2025=B340,INSTOCK!$K$2:$K$2025))</f>
        <v>75</v>
      </c>
      <c r="H340" s="53">
        <f>SUM(IF(INSTOCK!$H$2:$H$2025=B340,INSTOCK!$I$2:$I$2025))</f>
        <v>0</v>
      </c>
      <c r="I340" s="53" t="str">
        <f>SUM(IF([1]!Table13[ID]=B340,[1]!Table13[QTY]))</f>
        <v>#ERROR!</v>
      </c>
      <c r="J340" s="53" t="str">
        <f>TABLEITEM!$H$3:$H$1138-TABLEITEM!$I$3:$I$1138</f>
        <v>#ERROR!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hidden="1" customHeight="1">
      <c r="A341" s="47">
        <v>340.0</v>
      </c>
      <c r="B341" s="2" t="s">
        <v>824</v>
      </c>
      <c r="C341" s="2" t="s">
        <v>2599</v>
      </c>
      <c r="D341" s="2" t="s">
        <v>3135</v>
      </c>
      <c r="E341" s="51" t="s">
        <v>3087</v>
      </c>
      <c r="F341" s="47"/>
      <c r="G341" s="52">
        <f t="array" ref="G341">MAX(IF(INSTOCK!$H$2:$H$2025=B341,INSTOCK!$K$2:$K$2025))</f>
        <v>75</v>
      </c>
      <c r="H341" s="53">
        <f>SUM(IF(INSTOCK!$H$2:$H$2025=B341,INSTOCK!$I$2:$I$2025))</f>
        <v>0</v>
      </c>
      <c r="I341" s="53" t="str">
        <f>SUM(IF([1]!Table13[ID]=B341,[1]!Table13[QTY]))</f>
        <v>#ERROR!</v>
      </c>
      <c r="J341" s="53" t="str">
        <f>TABLEITEM!$H$3:$H$1138-TABLEITEM!$I$3:$I$1138</f>
        <v>#ERROR!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hidden="1" customHeight="1">
      <c r="A342" s="47">
        <v>341.0</v>
      </c>
      <c r="B342" s="2" t="s">
        <v>974</v>
      </c>
      <c r="C342" s="2" t="s">
        <v>2599</v>
      </c>
      <c r="D342" s="2" t="s">
        <v>3136</v>
      </c>
      <c r="E342" s="51" t="s">
        <v>3087</v>
      </c>
      <c r="F342" s="47"/>
      <c r="G342" s="52">
        <f t="array" ref="G342">MAX(IF(INSTOCK!$H$2:$H$2025=B342,INSTOCK!$K$2:$K$2025))</f>
        <v>350</v>
      </c>
      <c r="H342" s="53">
        <f>SUM(IF(INSTOCK!$H$2:$H$2025=B342,INSTOCK!$I$2:$I$2025))</f>
        <v>0</v>
      </c>
      <c r="I342" s="53" t="str">
        <f>SUM(IF([1]!Table13[ID]=B342,[1]!Table13[QTY]))</f>
        <v>#ERROR!</v>
      </c>
      <c r="J342" s="53" t="str">
        <f>TABLEITEM!$H$3:$H$1138-TABLEITEM!$I$3:$I$1138</f>
        <v>#ERROR!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hidden="1" customHeight="1">
      <c r="A343" s="47">
        <v>342.0</v>
      </c>
      <c r="B343" s="2" t="s">
        <v>3137</v>
      </c>
      <c r="C343" s="2" t="s">
        <v>2599</v>
      </c>
      <c r="D343" s="2" t="s">
        <v>3138</v>
      </c>
      <c r="E343" s="51" t="s">
        <v>3087</v>
      </c>
      <c r="F343" s="47"/>
      <c r="G343" s="52">
        <f t="array" ref="G343">MAX(IF(INSTOCK!$H$2:$H$2025=B343,INSTOCK!$K$2:$K$2025))</f>
        <v>0</v>
      </c>
      <c r="H343" s="53">
        <f>SUM(IF(INSTOCK!$H$2:$H$2025=B343,INSTOCK!$I$2:$I$2025))</f>
        <v>0</v>
      </c>
      <c r="I343" s="53" t="str">
        <f>SUM(IF([1]!Table13[ID]=B343,[1]!Table13[QTY]))</f>
        <v>#ERROR!</v>
      </c>
      <c r="J343" s="53" t="str">
        <f>TABLEITEM!$H$3:$H$1138-TABLEITEM!$I$3:$I$1138</f>
        <v>#ERROR!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hidden="1" customHeight="1">
      <c r="A344" s="47">
        <v>343.0</v>
      </c>
      <c r="B344" s="2" t="s">
        <v>825</v>
      </c>
      <c r="C344" s="2" t="s">
        <v>2599</v>
      </c>
      <c r="D344" s="2" t="s">
        <v>3139</v>
      </c>
      <c r="E344" s="51" t="s">
        <v>3087</v>
      </c>
      <c r="F344" s="47"/>
      <c r="G344" s="52">
        <f t="array" ref="G344">MAX(IF(INSTOCK!$H$2:$H$2025=B344,INSTOCK!$K$2:$K$2025))</f>
        <v>75</v>
      </c>
      <c r="H344" s="53">
        <f>SUM(IF(INSTOCK!$H$2:$H$2025=B344,INSTOCK!$I$2:$I$2025))</f>
        <v>0</v>
      </c>
      <c r="I344" s="53" t="str">
        <f>SUM(IF([1]!Table13[ID]=B344,[1]!Table13[QTY]))</f>
        <v>#ERROR!</v>
      </c>
      <c r="J344" s="53" t="str">
        <f>TABLEITEM!$H$3:$H$1138-TABLEITEM!$I$3:$I$1138</f>
        <v>#ERROR!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hidden="1" customHeight="1">
      <c r="A345" s="47">
        <v>344.0</v>
      </c>
      <c r="B345" s="2" t="s">
        <v>3140</v>
      </c>
      <c r="C345" s="2" t="s">
        <v>2599</v>
      </c>
      <c r="D345" s="2" t="s">
        <v>3141</v>
      </c>
      <c r="E345" s="51" t="s">
        <v>3087</v>
      </c>
      <c r="F345" s="47"/>
      <c r="G345" s="52">
        <f t="array" ref="G345">MAX(IF(INSTOCK!$H$2:$H$2025=B345,INSTOCK!$K$2:$K$2025))</f>
        <v>0</v>
      </c>
      <c r="H345" s="53">
        <f>SUM(IF(INSTOCK!$H$2:$H$2025=B345,INSTOCK!$I$2:$I$2025))</f>
        <v>0</v>
      </c>
      <c r="I345" s="53" t="str">
        <f>SUM(IF([1]!Table13[ID]=B345,[1]!Table13[QTY]))</f>
        <v>#ERROR!</v>
      </c>
      <c r="J345" s="53" t="str">
        <f>TABLEITEM!$H$3:$H$1138-TABLEITEM!$I$3:$I$1138</f>
        <v>#ERROR!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hidden="1" customHeight="1">
      <c r="A346" s="47">
        <v>345.0</v>
      </c>
      <c r="B346" s="2" t="s">
        <v>3142</v>
      </c>
      <c r="C346" s="2" t="s">
        <v>2599</v>
      </c>
      <c r="D346" s="2" t="s">
        <v>3143</v>
      </c>
      <c r="E346" s="51" t="s">
        <v>3087</v>
      </c>
      <c r="F346" s="47"/>
      <c r="G346" s="52">
        <f t="array" ref="G346">MAX(IF(INSTOCK!$H$2:$H$2025=B346,INSTOCK!$K$2:$K$2025))</f>
        <v>0</v>
      </c>
      <c r="H346" s="53">
        <f>SUM(IF(INSTOCK!$H$2:$H$2025=B346,INSTOCK!$I$2:$I$2025))</f>
        <v>0</v>
      </c>
      <c r="I346" s="53" t="str">
        <f>SUM(IF([1]!Table13[ID]=B346,[1]!Table13[QTY]))</f>
        <v>#ERROR!</v>
      </c>
      <c r="J346" s="53" t="str">
        <f>TABLEITEM!$H$3:$H$1138-TABLEITEM!$I$3:$I$1138</f>
        <v>#ERROR!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hidden="1" customHeight="1">
      <c r="A347" s="47">
        <v>346.0</v>
      </c>
      <c r="B347" s="2" t="s">
        <v>893</v>
      </c>
      <c r="C347" s="2" t="s">
        <v>2599</v>
      </c>
      <c r="D347" s="2" t="s">
        <v>3144</v>
      </c>
      <c r="E347" s="51" t="s">
        <v>3087</v>
      </c>
      <c r="F347" s="47"/>
      <c r="G347" s="52">
        <f t="array" ref="G347">MAX(IF(INSTOCK!$H$2:$H$2025=B347,INSTOCK!$K$2:$K$2025))</f>
        <v>85</v>
      </c>
      <c r="H347" s="53">
        <f>SUM(IF(INSTOCK!$H$2:$H$2025=B347,INSTOCK!$I$2:$I$2025))</f>
        <v>0</v>
      </c>
      <c r="I347" s="53" t="str">
        <f>SUM(IF([1]!Table13[ID]=B347,[1]!Table13[QTY]))</f>
        <v>#ERROR!</v>
      </c>
      <c r="J347" s="53" t="str">
        <f>TABLEITEM!$H$3:$H$1138-TABLEITEM!$I$3:$I$1138</f>
        <v>#ERROR!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hidden="1" customHeight="1">
      <c r="A348" s="47">
        <v>347.0</v>
      </c>
      <c r="B348" s="2" t="s">
        <v>895</v>
      </c>
      <c r="C348" s="2" t="s">
        <v>2599</v>
      </c>
      <c r="D348" s="2" t="s">
        <v>3145</v>
      </c>
      <c r="E348" s="51" t="s">
        <v>3087</v>
      </c>
      <c r="F348" s="47"/>
      <c r="G348" s="52">
        <f t="array" ref="G348">MAX(IF(INSTOCK!$H$2:$H$2025=B348,INSTOCK!$K$2:$K$2025))</f>
        <v>90</v>
      </c>
      <c r="H348" s="53">
        <f>SUM(IF(INSTOCK!$H$2:$H$2025=B348,INSTOCK!$I$2:$I$2025))</f>
        <v>0</v>
      </c>
      <c r="I348" s="53" t="str">
        <f>SUM(IF([1]!Table13[ID]=B348,[1]!Table13[QTY]))</f>
        <v>#ERROR!</v>
      </c>
      <c r="J348" s="53" t="str">
        <f>TABLEITEM!$H$3:$H$1138-TABLEITEM!$I$3:$I$1138</f>
        <v>#ERROR!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hidden="1" customHeight="1">
      <c r="A349" s="47">
        <v>348.0</v>
      </c>
      <c r="B349" s="2" t="s">
        <v>900</v>
      </c>
      <c r="C349" s="2" t="s">
        <v>2599</v>
      </c>
      <c r="D349" s="2" t="s">
        <v>3146</v>
      </c>
      <c r="E349" s="51" t="s">
        <v>3087</v>
      </c>
      <c r="F349" s="47"/>
      <c r="G349" s="52">
        <f t="array" ref="G349">MAX(IF(INSTOCK!$H$2:$H$2025=B349,INSTOCK!$K$2:$K$2025))</f>
        <v>240</v>
      </c>
      <c r="H349" s="53">
        <f>SUM(IF(INSTOCK!$H$2:$H$2025=B349,INSTOCK!$I$2:$I$2025))</f>
        <v>0</v>
      </c>
      <c r="I349" s="53" t="str">
        <f>SUM(IF([1]!Table13[ID]=B349,[1]!Table13[QTY]))</f>
        <v>#ERROR!</v>
      </c>
      <c r="J349" s="53" t="str">
        <f>TABLEITEM!$H$3:$H$1138-TABLEITEM!$I$3:$I$1138</f>
        <v>#ERROR!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hidden="1" customHeight="1">
      <c r="A350" s="47">
        <v>349.0</v>
      </c>
      <c r="B350" s="2" t="s">
        <v>3147</v>
      </c>
      <c r="C350" s="2" t="s">
        <v>2599</v>
      </c>
      <c r="D350" s="2" t="s">
        <v>3148</v>
      </c>
      <c r="E350" s="51" t="s">
        <v>3087</v>
      </c>
      <c r="F350" s="47"/>
      <c r="G350" s="52">
        <f t="array" ref="G350">MAX(IF(INSTOCK!$H$2:$H$2025=B350,INSTOCK!$K$2:$K$2025))</f>
        <v>0</v>
      </c>
      <c r="H350" s="53">
        <f>SUM(IF(INSTOCK!$H$2:$H$2025=B350,INSTOCK!$I$2:$I$2025))</f>
        <v>0</v>
      </c>
      <c r="I350" s="53" t="str">
        <f>SUM(IF([1]!Table13[ID]=B350,[1]!Table13[QTY]))</f>
        <v>#ERROR!</v>
      </c>
      <c r="J350" s="53" t="str">
        <f>TABLEITEM!$H$3:$H$1138-TABLEITEM!$I$3:$I$1138</f>
        <v>#ERROR!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hidden="1" customHeight="1">
      <c r="A351" s="47">
        <v>350.0</v>
      </c>
      <c r="B351" s="2" t="s">
        <v>829</v>
      </c>
      <c r="C351" s="2" t="s">
        <v>2599</v>
      </c>
      <c r="D351" s="2" t="s">
        <v>3149</v>
      </c>
      <c r="E351" s="51" t="s">
        <v>3087</v>
      </c>
      <c r="F351" s="47"/>
      <c r="G351" s="52">
        <f t="array" ref="G351">MAX(IF(INSTOCK!$H$2:$H$2025=B351,INSTOCK!$K$2:$K$2025))</f>
        <v>75</v>
      </c>
      <c r="H351" s="53">
        <f>SUM(IF(INSTOCK!$H$2:$H$2025=B351,INSTOCK!$I$2:$I$2025))</f>
        <v>0</v>
      </c>
      <c r="I351" s="53" t="str">
        <f>SUM(IF([1]!Table13[ID]=B351,[1]!Table13[QTY]))</f>
        <v>#ERROR!</v>
      </c>
      <c r="J351" s="53" t="str">
        <f>TABLEITEM!$H$3:$H$1138-TABLEITEM!$I$3:$I$1138</f>
        <v>#ERROR!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hidden="1" customHeight="1">
      <c r="A352" s="47">
        <v>351.0</v>
      </c>
      <c r="B352" s="2" t="s">
        <v>830</v>
      </c>
      <c r="C352" s="2" t="s">
        <v>2599</v>
      </c>
      <c r="D352" s="2" t="s">
        <v>3150</v>
      </c>
      <c r="E352" s="51" t="s">
        <v>3087</v>
      </c>
      <c r="F352" s="47"/>
      <c r="G352" s="52">
        <f t="array" ref="G352">MAX(IF(INSTOCK!$H$2:$H$2025=B352,INSTOCK!$K$2:$K$2025))</f>
        <v>75</v>
      </c>
      <c r="H352" s="53">
        <f>SUM(IF(INSTOCK!$H$2:$H$2025=B352,INSTOCK!$I$2:$I$2025))</f>
        <v>0</v>
      </c>
      <c r="I352" s="53" t="str">
        <f>SUM(IF([1]!Table13[ID]=B352,[1]!Table13[QTY]))</f>
        <v>#ERROR!</v>
      </c>
      <c r="J352" s="53" t="str">
        <f>TABLEITEM!$H$3:$H$1138-TABLEITEM!$I$3:$I$1138</f>
        <v>#ERROR!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hidden="1" customHeight="1">
      <c r="A353" s="47">
        <v>352.0</v>
      </c>
      <c r="B353" s="2" t="s">
        <v>902</v>
      </c>
      <c r="C353" s="2" t="s">
        <v>2599</v>
      </c>
      <c r="D353" s="2" t="s">
        <v>3151</v>
      </c>
      <c r="E353" s="51" t="s">
        <v>3087</v>
      </c>
      <c r="F353" s="47"/>
      <c r="G353" s="52">
        <f t="array" ref="G353">MAX(IF(INSTOCK!$H$2:$H$2025=B353,INSTOCK!$K$2:$K$2025))</f>
        <v>120</v>
      </c>
      <c r="H353" s="53">
        <f>SUM(IF(INSTOCK!$H$2:$H$2025=B353,INSTOCK!$I$2:$I$2025))</f>
        <v>0</v>
      </c>
      <c r="I353" s="53" t="str">
        <f>SUM(IF([1]!Table13[ID]=B353,[1]!Table13[QTY]))</f>
        <v>#ERROR!</v>
      </c>
      <c r="J353" s="53" t="str">
        <f>TABLEITEM!$H$3:$H$1138-TABLEITEM!$I$3:$I$1138</f>
        <v>#ERROR!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hidden="1" customHeight="1">
      <c r="A354" s="47">
        <v>353.0</v>
      </c>
      <c r="B354" s="2" t="s">
        <v>3152</v>
      </c>
      <c r="C354" s="2" t="s">
        <v>2599</v>
      </c>
      <c r="D354" s="2" t="s">
        <v>3153</v>
      </c>
      <c r="E354" s="51" t="s">
        <v>3087</v>
      </c>
      <c r="F354" s="47"/>
      <c r="G354" s="52">
        <f t="array" ref="G354">MAX(IF(INSTOCK!$H$2:$H$2025=B354,INSTOCK!$K$2:$K$2025))</f>
        <v>0</v>
      </c>
      <c r="H354" s="53">
        <f>SUM(IF(INSTOCK!$H$2:$H$2025=B354,INSTOCK!$I$2:$I$2025))</f>
        <v>0</v>
      </c>
      <c r="I354" s="53" t="str">
        <f>SUM(IF([1]!Table13[ID]=B354,[1]!Table13[QTY]))</f>
        <v>#ERROR!</v>
      </c>
      <c r="J354" s="53" t="str">
        <f>TABLEITEM!$H$3:$H$1138-TABLEITEM!$I$3:$I$1138</f>
        <v>#ERROR!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hidden="1" customHeight="1">
      <c r="A355" s="47">
        <v>354.0</v>
      </c>
      <c r="B355" s="2" t="s">
        <v>3154</v>
      </c>
      <c r="C355" s="2" t="s">
        <v>2599</v>
      </c>
      <c r="D355" s="2" t="s">
        <v>3155</v>
      </c>
      <c r="E355" s="51" t="s">
        <v>3087</v>
      </c>
      <c r="F355" s="47"/>
      <c r="G355" s="52">
        <f t="array" ref="G355">MAX(IF(INSTOCK!$H$2:$H$2025=B355,INSTOCK!$K$2:$K$2025))</f>
        <v>0</v>
      </c>
      <c r="H355" s="53">
        <f>SUM(IF(INSTOCK!$H$2:$H$2025=B355,INSTOCK!$I$2:$I$2025))</f>
        <v>0</v>
      </c>
      <c r="I355" s="53" t="str">
        <f>SUM(IF([1]!Table13[ID]=B355,[1]!Table13[QTY]))</f>
        <v>#ERROR!</v>
      </c>
      <c r="J355" s="53" t="str">
        <f>TABLEITEM!$H$3:$H$1138-TABLEITEM!$I$3:$I$1138</f>
        <v>#ERROR!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hidden="1" customHeight="1">
      <c r="A356" s="47">
        <v>355.0</v>
      </c>
      <c r="B356" s="2" t="s">
        <v>3156</v>
      </c>
      <c r="C356" s="2" t="s">
        <v>2599</v>
      </c>
      <c r="D356" s="2" t="s">
        <v>3157</v>
      </c>
      <c r="E356" s="51" t="s">
        <v>3087</v>
      </c>
      <c r="F356" s="47"/>
      <c r="G356" s="52">
        <f t="array" ref="G356">MAX(IF(INSTOCK!$H$2:$H$2025=B356,INSTOCK!$K$2:$K$2025))</f>
        <v>0</v>
      </c>
      <c r="H356" s="53">
        <f>SUM(IF(INSTOCK!$H$2:$H$2025=B356,INSTOCK!$I$2:$I$2025))</f>
        <v>0</v>
      </c>
      <c r="I356" s="53" t="str">
        <f>SUM(IF([1]!Table13[ID]=B356,[1]!Table13[QTY]))</f>
        <v>#ERROR!</v>
      </c>
      <c r="J356" s="53" t="str">
        <f>TABLEITEM!$H$3:$H$1138-TABLEITEM!$I$3:$I$1138</f>
        <v>#ERROR!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hidden="1" customHeight="1">
      <c r="A357" s="47">
        <v>356.0</v>
      </c>
      <c r="B357" s="2" t="s">
        <v>836</v>
      </c>
      <c r="C357" s="2" t="s">
        <v>2599</v>
      </c>
      <c r="D357" s="2" t="s">
        <v>3158</v>
      </c>
      <c r="E357" s="51" t="s">
        <v>3087</v>
      </c>
      <c r="F357" s="47"/>
      <c r="G357" s="52">
        <f t="array" ref="G357">MAX(IF(INSTOCK!$H$2:$H$2025=B357,INSTOCK!$K$2:$K$2025))</f>
        <v>150</v>
      </c>
      <c r="H357" s="53">
        <f>SUM(IF(INSTOCK!$H$2:$H$2025=B357,INSTOCK!$I$2:$I$2025))</f>
        <v>0</v>
      </c>
      <c r="I357" s="53" t="str">
        <f>SUM(IF([1]!Table13[ID]=B357,[1]!Table13[QTY]))</f>
        <v>#ERROR!</v>
      </c>
      <c r="J357" s="53" t="str">
        <f>TABLEITEM!$H$3:$H$1138-TABLEITEM!$I$3:$I$1138</f>
        <v>#ERROR!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hidden="1" customHeight="1">
      <c r="A358" s="47">
        <v>357.0</v>
      </c>
      <c r="B358" s="2" t="s">
        <v>3159</v>
      </c>
      <c r="C358" s="2" t="s">
        <v>2599</v>
      </c>
      <c r="D358" s="2" t="s">
        <v>3160</v>
      </c>
      <c r="E358" s="51" t="s">
        <v>3087</v>
      </c>
      <c r="F358" s="47"/>
      <c r="G358" s="52">
        <f t="array" ref="G358">MAX(IF(INSTOCK!$H$2:$H$2025=B358,INSTOCK!$K$2:$K$2025))</f>
        <v>0</v>
      </c>
      <c r="H358" s="53">
        <f>SUM(IF(INSTOCK!$H$2:$H$2025=B358,INSTOCK!$I$2:$I$2025))</f>
        <v>0</v>
      </c>
      <c r="I358" s="53" t="str">
        <f>SUM(IF([1]!Table13[ID]=B358,[1]!Table13[QTY]))</f>
        <v>#ERROR!</v>
      </c>
      <c r="J358" s="53" t="str">
        <f>TABLEITEM!$H$3:$H$1138-TABLEITEM!$I$3:$I$1138</f>
        <v>#ERROR!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hidden="1" customHeight="1">
      <c r="A359" s="47">
        <v>358.0</v>
      </c>
      <c r="B359" s="2" t="s">
        <v>838</v>
      </c>
      <c r="C359" s="2" t="s">
        <v>2599</v>
      </c>
      <c r="D359" s="2" t="s">
        <v>3161</v>
      </c>
      <c r="E359" s="51" t="s">
        <v>3087</v>
      </c>
      <c r="F359" s="47"/>
      <c r="G359" s="52">
        <f t="array" ref="G359">MAX(IF(INSTOCK!$H$2:$H$2025=B359,INSTOCK!$K$2:$K$2025))</f>
        <v>150</v>
      </c>
      <c r="H359" s="53">
        <f>SUM(IF(INSTOCK!$H$2:$H$2025=B359,INSTOCK!$I$2:$I$2025))</f>
        <v>0</v>
      </c>
      <c r="I359" s="53" t="str">
        <f>SUM(IF([1]!Table13[ID]=B359,[1]!Table13[QTY]))</f>
        <v>#ERROR!</v>
      </c>
      <c r="J359" s="53" t="str">
        <f>TABLEITEM!$H$3:$H$1138-TABLEITEM!$I$3:$I$1138</f>
        <v>#ERROR!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hidden="1" customHeight="1">
      <c r="A360" s="47">
        <v>359.0</v>
      </c>
      <c r="B360" s="2" t="s">
        <v>3162</v>
      </c>
      <c r="C360" s="2" t="s">
        <v>2599</v>
      </c>
      <c r="D360" s="2" t="s">
        <v>3163</v>
      </c>
      <c r="E360" s="51" t="s">
        <v>3087</v>
      </c>
      <c r="F360" s="47"/>
      <c r="G360" s="52">
        <f t="array" ref="G360">MAX(IF(INSTOCK!$H$2:$H$2025=B360,INSTOCK!$K$2:$K$2025))</f>
        <v>0</v>
      </c>
      <c r="H360" s="53">
        <f>SUM(IF(INSTOCK!$H$2:$H$2025=B360,INSTOCK!$I$2:$I$2025))</f>
        <v>0</v>
      </c>
      <c r="I360" s="53" t="str">
        <f>SUM(IF([1]!Table13[ID]=B360,[1]!Table13[QTY]))</f>
        <v>#ERROR!</v>
      </c>
      <c r="J360" s="53" t="str">
        <f>TABLEITEM!$H$3:$H$1138-TABLEITEM!$I$3:$I$1138</f>
        <v>#ERROR!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hidden="1" customHeight="1">
      <c r="A361" s="47">
        <v>360.0</v>
      </c>
      <c r="B361" s="2" t="s">
        <v>3164</v>
      </c>
      <c r="C361" s="2" t="s">
        <v>2599</v>
      </c>
      <c r="D361" s="2" t="s">
        <v>3165</v>
      </c>
      <c r="E361" s="51" t="s">
        <v>3087</v>
      </c>
      <c r="F361" s="47"/>
      <c r="G361" s="52">
        <f t="array" ref="G361">MAX(IF(INSTOCK!$H$2:$H$2025=B361,INSTOCK!$K$2:$K$2025))</f>
        <v>0</v>
      </c>
      <c r="H361" s="53">
        <f>SUM(IF(INSTOCK!$H$2:$H$2025=B361,INSTOCK!$I$2:$I$2025))</f>
        <v>0</v>
      </c>
      <c r="I361" s="53" t="str">
        <f>SUM(IF([1]!Table13[ID]=B361,[1]!Table13[QTY]))</f>
        <v>#ERROR!</v>
      </c>
      <c r="J361" s="53" t="str">
        <f>TABLEITEM!$H$3:$H$1138-TABLEITEM!$I$3:$I$1138</f>
        <v>#ERROR!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hidden="1" customHeight="1">
      <c r="A362" s="47">
        <v>361.0</v>
      </c>
      <c r="B362" s="2" t="s">
        <v>840</v>
      </c>
      <c r="C362" s="2" t="s">
        <v>2599</v>
      </c>
      <c r="D362" s="2" t="s">
        <v>3166</v>
      </c>
      <c r="E362" s="51" t="s">
        <v>3087</v>
      </c>
      <c r="F362" s="47"/>
      <c r="G362" s="52">
        <f t="array" ref="G362">MAX(IF(INSTOCK!$H$2:$H$2025=B362,INSTOCK!$K$2:$K$2025))</f>
        <v>95</v>
      </c>
      <c r="H362" s="53">
        <f>SUM(IF(INSTOCK!$H$2:$H$2025=B362,INSTOCK!$I$2:$I$2025))</f>
        <v>0</v>
      </c>
      <c r="I362" s="53" t="str">
        <f>SUM(IF([1]!Table13[ID]=B362,[1]!Table13[QTY]))</f>
        <v>#ERROR!</v>
      </c>
      <c r="J362" s="53" t="str">
        <f>TABLEITEM!$H$3:$H$1138-TABLEITEM!$I$3:$I$1138</f>
        <v>#ERROR!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hidden="1" customHeight="1">
      <c r="A363" s="47">
        <v>362.0</v>
      </c>
      <c r="B363" s="2" t="s">
        <v>841</v>
      </c>
      <c r="C363" s="2" t="s">
        <v>2599</v>
      </c>
      <c r="D363" s="2" t="s">
        <v>3167</v>
      </c>
      <c r="E363" s="51" t="s">
        <v>3087</v>
      </c>
      <c r="F363" s="47"/>
      <c r="G363" s="52">
        <f t="array" ref="G363">MAX(IF(INSTOCK!$H$2:$H$2025=B363,INSTOCK!$K$2:$K$2025))</f>
        <v>115</v>
      </c>
      <c r="H363" s="53">
        <f>SUM(IF(INSTOCK!$H$2:$H$2025=B363,INSTOCK!$I$2:$I$2025))</f>
        <v>0</v>
      </c>
      <c r="I363" s="53" t="str">
        <f>SUM(IF([1]!Table13[ID]=B363,[1]!Table13[QTY]))</f>
        <v>#ERROR!</v>
      </c>
      <c r="J363" s="53" t="str">
        <f>TABLEITEM!$H$3:$H$1138-TABLEITEM!$I$3:$I$1138</f>
        <v>#ERROR!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hidden="1" customHeight="1">
      <c r="A364" s="47">
        <v>363.0</v>
      </c>
      <c r="B364" s="2" t="s">
        <v>914</v>
      </c>
      <c r="C364" s="2" t="s">
        <v>2599</v>
      </c>
      <c r="D364" s="2" t="s">
        <v>3168</v>
      </c>
      <c r="E364" s="51" t="s">
        <v>3087</v>
      </c>
      <c r="F364" s="47"/>
      <c r="G364" s="52">
        <f t="array" ref="G364">MAX(IF(INSTOCK!$H$2:$H$2025=B364,INSTOCK!$K$2:$K$2025))</f>
        <v>180</v>
      </c>
      <c r="H364" s="53">
        <f>SUM(IF(INSTOCK!$H$2:$H$2025=B364,INSTOCK!$I$2:$I$2025))</f>
        <v>0</v>
      </c>
      <c r="I364" s="53" t="str">
        <f>SUM(IF([1]!Table13[ID]=B364,[1]!Table13[QTY]))</f>
        <v>#ERROR!</v>
      </c>
      <c r="J364" s="53" t="str">
        <f>TABLEITEM!$H$3:$H$1138-TABLEITEM!$I$3:$I$1138</f>
        <v>#ERROR!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hidden="1" customHeight="1">
      <c r="A365" s="47">
        <v>364.0</v>
      </c>
      <c r="B365" s="2" t="s">
        <v>915</v>
      </c>
      <c r="C365" s="2" t="s">
        <v>2599</v>
      </c>
      <c r="D365" s="2" t="s">
        <v>3169</v>
      </c>
      <c r="E365" s="51" t="s">
        <v>3087</v>
      </c>
      <c r="F365" s="47"/>
      <c r="G365" s="52">
        <f t="array" ref="G365">MAX(IF(INSTOCK!$H$2:$H$2025=B365,INSTOCK!$K$2:$K$2025))</f>
        <v>180</v>
      </c>
      <c r="H365" s="53">
        <f>SUM(IF(INSTOCK!$H$2:$H$2025=B365,INSTOCK!$I$2:$I$2025))</f>
        <v>0</v>
      </c>
      <c r="I365" s="53" t="str">
        <f>SUM(IF([1]!Table13[ID]=B365,[1]!Table13[QTY]))</f>
        <v>#ERROR!</v>
      </c>
      <c r="J365" s="53" t="str">
        <f>TABLEITEM!$H$3:$H$1138-TABLEITEM!$I$3:$I$1138</f>
        <v>#ERROR!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hidden="1" customHeight="1">
      <c r="A366" s="47">
        <v>365.0</v>
      </c>
      <c r="B366" s="2" t="s">
        <v>916</v>
      </c>
      <c r="C366" s="2" t="s">
        <v>2599</v>
      </c>
      <c r="D366" s="2" t="s">
        <v>3170</v>
      </c>
      <c r="E366" s="51" t="s">
        <v>3087</v>
      </c>
      <c r="F366" s="47"/>
      <c r="G366" s="52">
        <f t="array" ref="G366">MAX(IF(INSTOCK!$H$2:$H$2025=B366,INSTOCK!$K$2:$K$2025))</f>
        <v>135</v>
      </c>
      <c r="H366" s="53">
        <f>SUM(IF(INSTOCK!$H$2:$H$2025=B366,INSTOCK!$I$2:$I$2025))</f>
        <v>0</v>
      </c>
      <c r="I366" s="53" t="str">
        <f>SUM(IF([1]!Table13[ID]=B366,[1]!Table13[QTY]))</f>
        <v>#ERROR!</v>
      </c>
      <c r="J366" s="53" t="str">
        <f>TABLEITEM!$H$3:$H$1138-TABLEITEM!$I$3:$I$1138</f>
        <v>#ERROR!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hidden="1" customHeight="1">
      <c r="A367" s="47">
        <v>366.0</v>
      </c>
      <c r="B367" s="2" t="s">
        <v>917</v>
      </c>
      <c r="C367" s="2" t="s">
        <v>2599</v>
      </c>
      <c r="D367" s="2" t="s">
        <v>3171</v>
      </c>
      <c r="E367" s="51" t="s">
        <v>3087</v>
      </c>
      <c r="F367" s="47"/>
      <c r="G367" s="52">
        <f t="array" ref="G367">MAX(IF(INSTOCK!$H$2:$H$2025=B367,INSTOCK!$K$2:$K$2025))</f>
        <v>115</v>
      </c>
      <c r="H367" s="53">
        <f>SUM(IF(INSTOCK!$H$2:$H$2025=B367,INSTOCK!$I$2:$I$2025))</f>
        <v>0</v>
      </c>
      <c r="I367" s="53" t="str">
        <f>SUM(IF([1]!Table13[ID]=B367,[1]!Table13[QTY]))</f>
        <v>#ERROR!</v>
      </c>
      <c r="J367" s="53" t="str">
        <f>TABLEITEM!$H$3:$H$1138-TABLEITEM!$I$3:$I$1138</f>
        <v>#ERROR!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hidden="1" customHeight="1">
      <c r="A368" s="47">
        <v>367.0</v>
      </c>
      <c r="B368" s="2" t="s">
        <v>844</v>
      </c>
      <c r="C368" s="2" t="s">
        <v>2599</v>
      </c>
      <c r="D368" s="2" t="s">
        <v>3172</v>
      </c>
      <c r="E368" s="51" t="s">
        <v>3087</v>
      </c>
      <c r="F368" s="47"/>
      <c r="G368" s="52">
        <f t="array" ref="G368">MAX(IF(INSTOCK!$H$2:$H$2025=B368,INSTOCK!$K$2:$K$2025))</f>
        <v>100</v>
      </c>
      <c r="H368" s="53">
        <f>SUM(IF(INSTOCK!$H$2:$H$2025=B368,INSTOCK!$I$2:$I$2025))</f>
        <v>0</v>
      </c>
      <c r="I368" s="53" t="str">
        <f>SUM(IF([1]!Table13[ID]=B368,[1]!Table13[QTY]))</f>
        <v>#ERROR!</v>
      </c>
      <c r="J368" s="53" t="str">
        <f>TABLEITEM!$H$3:$H$1138-TABLEITEM!$I$3:$I$1138</f>
        <v>#ERROR!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hidden="1" customHeight="1">
      <c r="A369" s="47">
        <v>368.0</v>
      </c>
      <c r="B369" s="2" t="s">
        <v>845</v>
      </c>
      <c r="C369" s="2" t="s">
        <v>2599</v>
      </c>
      <c r="D369" s="2" t="s">
        <v>3173</v>
      </c>
      <c r="E369" s="51" t="s">
        <v>3087</v>
      </c>
      <c r="F369" s="47"/>
      <c r="G369" s="52">
        <f t="array" ref="G369">MAX(IF(INSTOCK!$H$2:$H$2025=B369,INSTOCK!$K$2:$K$2025))</f>
        <v>125</v>
      </c>
      <c r="H369" s="53">
        <f>SUM(IF(INSTOCK!$H$2:$H$2025=B369,INSTOCK!$I$2:$I$2025))</f>
        <v>0</v>
      </c>
      <c r="I369" s="53" t="str">
        <f>SUM(IF([1]!Table13[ID]=B369,[1]!Table13[QTY]))</f>
        <v>#ERROR!</v>
      </c>
      <c r="J369" s="53" t="str">
        <f>TABLEITEM!$H$3:$H$1138-TABLEITEM!$I$3:$I$1138</f>
        <v>#ERROR!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hidden="1" customHeight="1">
      <c r="A370" s="47">
        <v>369.0</v>
      </c>
      <c r="B370" s="2" t="s">
        <v>846</v>
      </c>
      <c r="C370" s="2" t="s">
        <v>2599</v>
      </c>
      <c r="D370" s="2" t="s">
        <v>3174</v>
      </c>
      <c r="E370" s="51" t="s">
        <v>3087</v>
      </c>
      <c r="F370" s="47"/>
      <c r="G370" s="52">
        <f t="array" ref="G370">MAX(IF(INSTOCK!$H$2:$H$2025=B370,INSTOCK!$K$2:$K$2025))</f>
        <v>120</v>
      </c>
      <c r="H370" s="53">
        <f>SUM(IF(INSTOCK!$H$2:$H$2025=B370,INSTOCK!$I$2:$I$2025))</f>
        <v>0</v>
      </c>
      <c r="I370" s="53" t="str">
        <f>SUM(IF([1]!Table13[ID]=B370,[1]!Table13[QTY]))</f>
        <v>#ERROR!</v>
      </c>
      <c r="J370" s="53" t="str">
        <f>TABLEITEM!$H$3:$H$1138-TABLEITEM!$I$3:$I$1138</f>
        <v>#ERROR!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hidden="1" customHeight="1">
      <c r="A371" s="47">
        <v>370.0</v>
      </c>
      <c r="B371" s="2" t="s">
        <v>922</v>
      </c>
      <c r="C371" s="2" t="s">
        <v>2599</v>
      </c>
      <c r="D371" s="2" t="s">
        <v>3175</v>
      </c>
      <c r="E371" s="51" t="s">
        <v>3087</v>
      </c>
      <c r="F371" s="47"/>
      <c r="G371" s="52">
        <f t="array" ref="G371">MAX(IF(INSTOCK!$H$2:$H$2025=B371,INSTOCK!$K$2:$K$2025))</f>
        <v>150</v>
      </c>
      <c r="H371" s="53">
        <f>SUM(IF(INSTOCK!$H$2:$H$2025=B371,INSTOCK!$I$2:$I$2025))</f>
        <v>0</v>
      </c>
      <c r="I371" s="53" t="str">
        <f>SUM(IF([1]!Table13[ID]=B371,[1]!Table13[QTY]))</f>
        <v>#ERROR!</v>
      </c>
      <c r="J371" s="53" t="str">
        <f>TABLEITEM!$H$3:$H$1138-TABLEITEM!$I$3:$I$1138</f>
        <v>#ERROR!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hidden="1" customHeight="1">
      <c r="A372" s="47">
        <v>371.0</v>
      </c>
      <c r="B372" s="2" t="s">
        <v>923</v>
      </c>
      <c r="C372" s="2" t="s">
        <v>2599</v>
      </c>
      <c r="D372" s="2" t="s">
        <v>3176</v>
      </c>
      <c r="E372" s="51" t="s">
        <v>3087</v>
      </c>
      <c r="F372" s="47"/>
      <c r="G372" s="52">
        <f t="array" ref="G372">MAX(IF(INSTOCK!$H$2:$H$2025=B372,INSTOCK!$K$2:$K$2025))</f>
        <v>180</v>
      </c>
      <c r="H372" s="53">
        <f>SUM(IF(INSTOCK!$H$2:$H$2025=B372,INSTOCK!$I$2:$I$2025))</f>
        <v>0</v>
      </c>
      <c r="I372" s="53" t="str">
        <f>SUM(IF([1]!Table13[ID]=B372,[1]!Table13[QTY]))</f>
        <v>#ERROR!</v>
      </c>
      <c r="J372" s="53" t="str">
        <f>TABLEITEM!$H$3:$H$1138-TABLEITEM!$I$3:$I$1138</f>
        <v>#ERROR!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hidden="1" customHeight="1">
      <c r="A373" s="55">
        <v>372.0</v>
      </c>
      <c r="B373" s="22" t="s">
        <v>3177</v>
      </c>
      <c r="C373" s="27" t="s">
        <v>2599</v>
      </c>
      <c r="D373" s="22" t="s">
        <v>3178</v>
      </c>
      <c r="E373" s="51" t="s">
        <v>3087</v>
      </c>
      <c r="F373" s="55"/>
      <c r="G373" s="52">
        <f t="array" ref="G373">MAX(IF(INSTOCK!$H$2:$H$2025=B373,INSTOCK!$K$2:$K$2025))</f>
        <v>0</v>
      </c>
      <c r="H373" s="53">
        <f>SUM(IF(INSTOCK!$H$2:$H$2025=B373,INSTOCK!$I$2:$I$2025))</f>
        <v>0</v>
      </c>
      <c r="I373" s="53" t="str">
        <f>SUM(IF([1]!Table13[ID]=B373,[1]!Table13[QTY]))</f>
        <v>#ERROR!</v>
      </c>
      <c r="J373" s="53" t="str">
        <f>TABLEITEM!$H$3:$H$1138-TABLEITEM!$I$3:$I$1138</f>
        <v>#ERROR!</v>
      </c>
      <c r="K373" s="1"/>
      <c r="L373" s="56"/>
      <c r="M373" s="56"/>
      <c r="N373" s="56"/>
      <c r="O373" s="56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8.0" hidden="1" customHeight="1">
      <c r="A374" s="47">
        <v>373.0</v>
      </c>
      <c r="B374" s="2" t="s">
        <v>926</v>
      </c>
      <c r="C374" s="2" t="s">
        <v>2599</v>
      </c>
      <c r="D374" s="2" t="s">
        <v>3179</v>
      </c>
      <c r="E374" s="51" t="s">
        <v>3087</v>
      </c>
      <c r="F374" s="47"/>
      <c r="G374" s="52">
        <f t="array" ref="G374">MAX(IF(INSTOCK!$H$2:$H$2025=B374,INSTOCK!$K$2:$K$2025))</f>
        <v>240</v>
      </c>
      <c r="H374" s="53">
        <f>SUM(IF(INSTOCK!$H$2:$H$2025=B374,INSTOCK!$I$2:$I$2025))</f>
        <v>0</v>
      </c>
      <c r="I374" s="53" t="str">
        <f>SUM(IF([1]!Table13[ID]=B374,[1]!Table13[QTY]))</f>
        <v>#ERROR!</v>
      </c>
      <c r="J374" s="53" t="str">
        <f>TABLEITEM!$H$3:$H$1138-TABLEITEM!$I$3:$I$1138</f>
        <v>#ERROR!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hidden="1" customHeight="1">
      <c r="A375" s="47">
        <v>374.0</v>
      </c>
      <c r="B375" s="2" t="s">
        <v>3180</v>
      </c>
      <c r="C375" s="2" t="s">
        <v>2599</v>
      </c>
      <c r="D375" s="2" t="s">
        <v>3181</v>
      </c>
      <c r="E375" s="51" t="s">
        <v>3087</v>
      </c>
      <c r="F375" s="47"/>
      <c r="G375" s="52">
        <f t="array" ref="G375">MAX(IF(INSTOCK!$H$2:$H$2025=B375,INSTOCK!$K$2:$K$2025))</f>
        <v>0</v>
      </c>
      <c r="H375" s="53">
        <f>SUM(IF(INSTOCK!$H$2:$H$2025=B375,INSTOCK!$I$2:$I$2025))</f>
        <v>0</v>
      </c>
      <c r="I375" s="53" t="str">
        <f>SUM(IF([1]!Table13[ID]=B375,[1]!Table13[QTY]))</f>
        <v>#ERROR!</v>
      </c>
      <c r="J375" s="53" t="str">
        <f>TABLEITEM!$H$3:$H$1138-TABLEITEM!$I$3:$I$1138</f>
        <v>#ERROR!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hidden="1" customHeight="1">
      <c r="A376" s="47">
        <v>375.0</v>
      </c>
      <c r="B376" s="2" t="s">
        <v>3182</v>
      </c>
      <c r="C376" s="2" t="s">
        <v>2599</v>
      </c>
      <c r="D376" s="2" t="s">
        <v>3183</v>
      </c>
      <c r="E376" s="51" t="s">
        <v>3087</v>
      </c>
      <c r="F376" s="47"/>
      <c r="G376" s="52">
        <f t="array" ref="G376">MAX(IF(INSTOCK!$H$2:$H$2025=B376,INSTOCK!$K$2:$K$2025))</f>
        <v>0</v>
      </c>
      <c r="H376" s="53">
        <f>SUM(IF(INSTOCK!$H$2:$H$2025=B376,INSTOCK!$I$2:$I$2025))</f>
        <v>0</v>
      </c>
      <c r="I376" s="53" t="str">
        <f>SUM(IF([1]!Table13[ID]=B376,[1]!Table13[QTY]))</f>
        <v>#ERROR!</v>
      </c>
      <c r="J376" s="53" t="str">
        <f>TABLEITEM!$H$3:$H$1138-TABLEITEM!$I$3:$I$1138</f>
        <v>#ERROR!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hidden="1" customHeight="1">
      <c r="A377" s="47">
        <v>376.0</v>
      </c>
      <c r="B377" s="2" t="s">
        <v>3184</v>
      </c>
      <c r="C377" s="2" t="s">
        <v>2599</v>
      </c>
      <c r="D377" s="2" t="s">
        <v>3185</v>
      </c>
      <c r="E377" s="51" t="s">
        <v>3087</v>
      </c>
      <c r="F377" s="47"/>
      <c r="G377" s="52">
        <f t="array" ref="G377">MAX(IF(INSTOCK!$H$2:$H$2025=B377,INSTOCK!$K$2:$K$2025))</f>
        <v>0</v>
      </c>
      <c r="H377" s="53">
        <f>SUM(IF(INSTOCK!$H$2:$H$2025=B377,INSTOCK!$I$2:$I$2025))</f>
        <v>0</v>
      </c>
      <c r="I377" s="53" t="str">
        <f>SUM(IF([1]!Table13[ID]=B377,[1]!Table13[QTY]))</f>
        <v>#ERROR!</v>
      </c>
      <c r="J377" s="53" t="str">
        <f>TABLEITEM!$H$3:$H$1138-TABLEITEM!$I$3:$I$1138</f>
        <v>#ERROR!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hidden="1" customHeight="1">
      <c r="A378" s="47">
        <v>377.0</v>
      </c>
      <c r="B378" s="2" t="s">
        <v>849</v>
      </c>
      <c r="C378" s="2" t="s">
        <v>2599</v>
      </c>
      <c r="D378" s="2" t="s">
        <v>3186</v>
      </c>
      <c r="E378" s="51" t="s">
        <v>3087</v>
      </c>
      <c r="F378" s="47"/>
      <c r="G378" s="52">
        <f t="array" ref="G378">MAX(IF(INSTOCK!$H$2:$H$2025=B378,INSTOCK!$K$2:$K$2025))</f>
        <v>125</v>
      </c>
      <c r="H378" s="53">
        <f>SUM(IF(INSTOCK!$H$2:$H$2025=B378,INSTOCK!$I$2:$I$2025))</f>
        <v>0</v>
      </c>
      <c r="I378" s="53" t="str">
        <f>SUM(IF([1]!Table13[ID]=B378,[1]!Table13[QTY]))</f>
        <v>#ERROR!</v>
      </c>
      <c r="J378" s="53" t="str">
        <f>TABLEITEM!$H$3:$H$1138-TABLEITEM!$I$3:$I$1138</f>
        <v>#ERROR!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hidden="1" customHeight="1">
      <c r="A379" s="47">
        <v>378.0</v>
      </c>
      <c r="B379" s="2" t="s">
        <v>3187</v>
      </c>
      <c r="C379" s="2" t="s">
        <v>2599</v>
      </c>
      <c r="D379" s="2" t="s">
        <v>3188</v>
      </c>
      <c r="E379" s="51" t="s">
        <v>3087</v>
      </c>
      <c r="F379" s="47"/>
      <c r="G379" s="52">
        <f t="array" ref="G379">MAX(IF(INSTOCK!$H$2:$H$2025=B379,INSTOCK!$K$2:$K$2025))</f>
        <v>0</v>
      </c>
      <c r="H379" s="53">
        <f>SUM(IF(INSTOCK!$H$2:$H$2025=B379,INSTOCK!$I$2:$I$2025))</f>
        <v>0</v>
      </c>
      <c r="I379" s="53" t="str">
        <f>SUM(IF([1]!Table13[ID]=B379,[1]!Table13[QTY]))</f>
        <v>#ERROR!</v>
      </c>
      <c r="J379" s="53" t="str">
        <f>TABLEITEM!$H$3:$H$1138-TABLEITEM!$I$3:$I$1138</f>
        <v>#ERROR!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hidden="1" customHeight="1">
      <c r="A380" s="47">
        <v>379.0</v>
      </c>
      <c r="B380" s="2" t="s">
        <v>3189</v>
      </c>
      <c r="C380" s="2" t="s">
        <v>2599</v>
      </c>
      <c r="D380" s="2" t="s">
        <v>3190</v>
      </c>
      <c r="E380" s="51" t="s">
        <v>3087</v>
      </c>
      <c r="F380" s="47"/>
      <c r="G380" s="52">
        <f t="array" ref="G380">MAX(IF(INSTOCK!$H$2:$H$2025=B380,INSTOCK!$K$2:$K$2025))</f>
        <v>240</v>
      </c>
      <c r="H380" s="53">
        <f>SUM(IF(INSTOCK!$H$2:$H$2025=B380,INSTOCK!$I$2:$I$2025))</f>
        <v>0</v>
      </c>
      <c r="I380" s="53" t="str">
        <f>SUM(IF([1]!Table13[ID]=B380,[1]!Table13[QTY]))</f>
        <v>#ERROR!</v>
      </c>
      <c r="J380" s="53" t="str">
        <f>TABLEITEM!$H$3:$H$1138-TABLEITEM!$I$3:$I$1138</f>
        <v>#ERROR!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hidden="1" customHeight="1">
      <c r="A381" s="47">
        <v>380.0</v>
      </c>
      <c r="B381" s="2" t="s">
        <v>932</v>
      </c>
      <c r="C381" s="2" t="s">
        <v>2599</v>
      </c>
      <c r="D381" s="2" t="s">
        <v>3191</v>
      </c>
      <c r="E381" s="51" t="s">
        <v>3087</v>
      </c>
      <c r="F381" s="47"/>
      <c r="G381" s="52">
        <f t="array" ref="G381">MAX(IF(INSTOCK!$H$2:$H$2025=B381,INSTOCK!$K$2:$K$2025))</f>
        <v>150</v>
      </c>
      <c r="H381" s="53">
        <f>SUM(IF(INSTOCK!$H$2:$H$2025=B381,INSTOCK!$I$2:$I$2025))</f>
        <v>0</v>
      </c>
      <c r="I381" s="53" t="str">
        <f>SUM(IF([1]!Table13[ID]=B381,[1]!Table13[QTY]))</f>
        <v>#ERROR!</v>
      </c>
      <c r="J381" s="53" t="str">
        <f>TABLEITEM!$H$3:$H$1138-TABLEITEM!$I$3:$I$1138</f>
        <v>#ERROR!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hidden="1" customHeight="1">
      <c r="A382" s="47">
        <v>381.0</v>
      </c>
      <c r="B382" s="2" t="s">
        <v>936</v>
      </c>
      <c r="C382" s="2" t="s">
        <v>2599</v>
      </c>
      <c r="D382" s="2" t="s">
        <v>3192</v>
      </c>
      <c r="E382" s="51" t="s">
        <v>3087</v>
      </c>
      <c r="F382" s="47"/>
      <c r="G382" s="52">
        <f t="array" ref="G382">MAX(IF(INSTOCK!$H$2:$H$2025=B382,INSTOCK!$K$2:$K$2025))</f>
        <v>180</v>
      </c>
      <c r="H382" s="53">
        <f>SUM(IF(INSTOCK!$H$2:$H$2025=B382,INSTOCK!$I$2:$I$2025))</f>
        <v>0</v>
      </c>
      <c r="I382" s="53" t="str">
        <f>SUM(IF([1]!Table13[ID]=B382,[1]!Table13[QTY]))</f>
        <v>#ERROR!</v>
      </c>
      <c r="J382" s="53" t="str">
        <f>TABLEITEM!$H$3:$H$1138-TABLEITEM!$I$3:$I$1138</f>
        <v>#ERROR!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hidden="1" customHeight="1">
      <c r="A383" s="47">
        <v>382.0</v>
      </c>
      <c r="B383" s="2" t="s">
        <v>937</v>
      </c>
      <c r="C383" s="2" t="s">
        <v>2599</v>
      </c>
      <c r="D383" s="2" t="s">
        <v>3193</v>
      </c>
      <c r="E383" s="51" t="s">
        <v>3087</v>
      </c>
      <c r="F383" s="47"/>
      <c r="G383" s="52">
        <f t="array" ref="G383">MAX(IF(INSTOCK!$H$2:$H$2025=B383,INSTOCK!$K$2:$K$2025))</f>
        <v>180</v>
      </c>
      <c r="H383" s="53">
        <f>SUM(IF(INSTOCK!$H$2:$H$2025=B383,INSTOCK!$I$2:$I$2025))</f>
        <v>0</v>
      </c>
      <c r="I383" s="53" t="str">
        <f>SUM(IF([1]!Table13[ID]=B383,[1]!Table13[QTY]))</f>
        <v>#ERROR!</v>
      </c>
      <c r="J383" s="53" t="str">
        <f>TABLEITEM!$H$3:$H$1138-TABLEITEM!$I$3:$I$1138</f>
        <v>#ERROR!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hidden="1" customHeight="1">
      <c r="A384" s="47">
        <v>383.0</v>
      </c>
      <c r="B384" s="2" t="s">
        <v>3194</v>
      </c>
      <c r="C384" s="2" t="s">
        <v>2599</v>
      </c>
      <c r="D384" s="2" t="s">
        <v>3195</v>
      </c>
      <c r="E384" s="51" t="s">
        <v>3087</v>
      </c>
      <c r="F384" s="47"/>
      <c r="G384" s="52">
        <f t="array" ref="G384">MAX(IF(INSTOCK!$H$2:$H$2025=B384,INSTOCK!$K$2:$K$2025))</f>
        <v>0</v>
      </c>
      <c r="H384" s="53">
        <f>SUM(IF(INSTOCK!$H$2:$H$2025=B384,INSTOCK!$I$2:$I$2025))</f>
        <v>0</v>
      </c>
      <c r="I384" s="53" t="str">
        <f>SUM(IF([1]!Table13[ID]=B384,[1]!Table13[QTY]))</f>
        <v>#ERROR!</v>
      </c>
      <c r="J384" s="53" t="str">
        <f>TABLEITEM!$H$3:$H$1138-TABLEITEM!$I$3:$I$1138</f>
        <v>#ERROR!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hidden="1" customHeight="1">
      <c r="A385" s="47">
        <v>384.0</v>
      </c>
      <c r="B385" s="2" t="s">
        <v>852</v>
      </c>
      <c r="C385" s="2" t="s">
        <v>2599</v>
      </c>
      <c r="D385" s="2" t="s">
        <v>3196</v>
      </c>
      <c r="E385" s="51" t="s">
        <v>3087</v>
      </c>
      <c r="F385" s="47"/>
      <c r="G385" s="52">
        <f t="array" ref="G385">MAX(IF(INSTOCK!$H$2:$H$2025=B385,INSTOCK!$K$2:$K$2025))</f>
        <v>125</v>
      </c>
      <c r="H385" s="53">
        <f>SUM(IF(INSTOCK!$H$2:$H$2025=B385,INSTOCK!$I$2:$I$2025))</f>
        <v>0</v>
      </c>
      <c r="I385" s="53" t="str">
        <f>SUM(IF([1]!Table13[ID]=B385,[1]!Table13[QTY]))</f>
        <v>#ERROR!</v>
      </c>
      <c r="J385" s="53" t="str">
        <f>TABLEITEM!$H$3:$H$1138-TABLEITEM!$I$3:$I$1138</f>
        <v>#ERROR!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hidden="1" customHeight="1">
      <c r="A386" s="47">
        <v>385.0</v>
      </c>
      <c r="B386" s="2" t="s">
        <v>853</v>
      </c>
      <c r="C386" s="2" t="s">
        <v>2599</v>
      </c>
      <c r="D386" s="2" t="s">
        <v>3197</v>
      </c>
      <c r="E386" s="51" t="s">
        <v>3087</v>
      </c>
      <c r="F386" s="47"/>
      <c r="G386" s="52">
        <f t="array" ref="G386">MAX(IF(INSTOCK!$H$2:$H$2025=B386,INSTOCK!$K$2:$K$2025))</f>
        <v>175</v>
      </c>
      <c r="H386" s="53">
        <f>SUM(IF(INSTOCK!$H$2:$H$2025=B386,INSTOCK!$I$2:$I$2025))</f>
        <v>0</v>
      </c>
      <c r="I386" s="53" t="str">
        <f>SUM(IF([1]!Table13[ID]=B386,[1]!Table13[QTY]))</f>
        <v>#ERROR!</v>
      </c>
      <c r="J386" s="53" t="str">
        <f>TABLEITEM!$H$3:$H$1138-TABLEITEM!$I$3:$I$1138</f>
        <v>#ERROR!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hidden="1" customHeight="1">
      <c r="A387" s="47">
        <v>386.0</v>
      </c>
      <c r="B387" s="2" t="s">
        <v>855</v>
      </c>
      <c r="C387" s="2" t="s">
        <v>2599</v>
      </c>
      <c r="D387" s="2" t="s">
        <v>3198</v>
      </c>
      <c r="E387" s="51" t="s">
        <v>3087</v>
      </c>
      <c r="F387" s="47"/>
      <c r="G387" s="52">
        <f t="array" ref="G387">MAX(IF(INSTOCK!$H$2:$H$2025=B387,INSTOCK!$K$2:$K$2025))</f>
        <v>200</v>
      </c>
      <c r="H387" s="53">
        <f>SUM(IF(INSTOCK!$H$2:$H$2025=B387,INSTOCK!$I$2:$I$2025))</f>
        <v>0</v>
      </c>
      <c r="I387" s="53" t="str">
        <f>SUM(IF([1]!Table13[ID]=B387,[1]!Table13[QTY]))</f>
        <v>#ERROR!</v>
      </c>
      <c r="J387" s="53" t="str">
        <f>TABLEITEM!$H$3:$H$1138-TABLEITEM!$I$3:$I$1138</f>
        <v>#ERROR!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hidden="1" customHeight="1">
      <c r="A388" s="47">
        <v>387.0</v>
      </c>
      <c r="B388" s="2" t="s">
        <v>3199</v>
      </c>
      <c r="C388" s="2" t="s">
        <v>2599</v>
      </c>
      <c r="D388" s="2" t="s">
        <v>3200</v>
      </c>
      <c r="E388" s="51" t="s">
        <v>3087</v>
      </c>
      <c r="F388" s="47"/>
      <c r="G388" s="52">
        <f t="array" ref="G388">MAX(IF(INSTOCK!$H$2:$H$2025=B388,INSTOCK!$K$2:$K$2025))</f>
        <v>0</v>
      </c>
      <c r="H388" s="53">
        <f>SUM(IF(INSTOCK!$H$2:$H$2025=B388,INSTOCK!$I$2:$I$2025))</f>
        <v>0</v>
      </c>
      <c r="I388" s="53" t="str">
        <f>SUM(IF([1]!Table13[ID]=B388,[1]!Table13[QTY]))</f>
        <v>#ERROR!</v>
      </c>
      <c r="J388" s="53" t="str">
        <f>TABLEITEM!$H$3:$H$1138-TABLEITEM!$I$3:$I$1138</f>
        <v>#ERROR!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hidden="1" customHeight="1">
      <c r="A389" s="47">
        <v>388.0</v>
      </c>
      <c r="B389" s="2" t="s">
        <v>856</v>
      </c>
      <c r="C389" s="2" t="s">
        <v>2599</v>
      </c>
      <c r="D389" s="2" t="s">
        <v>3201</v>
      </c>
      <c r="E389" s="51" t="s">
        <v>3087</v>
      </c>
      <c r="F389" s="47"/>
      <c r="G389" s="52">
        <f t="array" ref="G389">MAX(IF(INSTOCK!$H$2:$H$2025=B389,INSTOCK!$K$2:$K$2025))</f>
        <v>150</v>
      </c>
      <c r="H389" s="53">
        <f>SUM(IF(INSTOCK!$H$2:$H$2025=B389,INSTOCK!$I$2:$I$2025))</f>
        <v>0</v>
      </c>
      <c r="I389" s="53" t="str">
        <f>SUM(IF([1]!Table13[ID]=B389,[1]!Table13[QTY]))</f>
        <v>#ERROR!</v>
      </c>
      <c r="J389" s="53" t="str">
        <f>TABLEITEM!$H$3:$H$1138-TABLEITEM!$I$3:$I$1138</f>
        <v>#ERROR!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hidden="1" customHeight="1">
      <c r="A390" s="47">
        <v>389.0</v>
      </c>
      <c r="B390" s="2" t="s">
        <v>3202</v>
      </c>
      <c r="C390" s="2" t="s">
        <v>2599</v>
      </c>
      <c r="D390" s="2" t="s">
        <v>3203</v>
      </c>
      <c r="E390" s="51" t="s">
        <v>3087</v>
      </c>
      <c r="F390" s="47"/>
      <c r="G390" s="52">
        <f t="array" ref="G390">MAX(IF(INSTOCK!$H$2:$H$2025=B390,INSTOCK!$K$2:$K$2025))</f>
        <v>0</v>
      </c>
      <c r="H390" s="53">
        <f>SUM(IF(INSTOCK!$H$2:$H$2025=B390,INSTOCK!$I$2:$I$2025))</f>
        <v>0</v>
      </c>
      <c r="I390" s="53" t="str">
        <f>SUM(IF([1]!Table13[ID]=B390,[1]!Table13[QTY]))</f>
        <v>#ERROR!</v>
      </c>
      <c r="J390" s="53" t="str">
        <f>TABLEITEM!$H$3:$H$1138-TABLEITEM!$I$3:$I$1138</f>
        <v>#ERROR!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hidden="1" customHeight="1">
      <c r="A391" s="47">
        <v>390.0</v>
      </c>
      <c r="B391" s="2" t="s">
        <v>945</v>
      </c>
      <c r="C391" s="2" t="s">
        <v>2599</v>
      </c>
      <c r="D391" s="2" t="s">
        <v>3204</v>
      </c>
      <c r="E391" s="51" t="s">
        <v>3087</v>
      </c>
      <c r="F391" s="47"/>
      <c r="G391" s="52">
        <f t="array" ref="G391">MAX(IF(INSTOCK!$H$2:$H$2025=B391,INSTOCK!$K$2:$K$2025))</f>
        <v>180</v>
      </c>
      <c r="H391" s="53">
        <f>SUM(IF(INSTOCK!$H$2:$H$2025=B391,INSTOCK!$I$2:$I$2025))</f>
        <v>0</v>
      </c>
      <c r="I391" s="53" t="str">
        <f>SUM(IF([1]!Table13[ID]=B391,[1]!Table13[QTY]))</f>
        <v>#ERROR!</v>
      </c>
      <c r="J391" s="53" t="str">
        <f>TABLEITEM!$H$3:$H$1138-TABLEITEM!$I$3:$I$1138</f>
        <v>#ERROR!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hidden="1" customHeight="1">
      <c r="A392" s="47">
        <v>391.0</v>
      </c>
      <c r="B392" s="2" t="s">
        <v>946</v>
      </c>
      <c r="C392" s="2" t="s">
        <v>2599</v>
      </c>
      <c r="D392" s="2" t="s">
        <v>3205</v>
      </c>
      <c r="E392" s="51" t="s">
        <v>3087</v>
      </c>
      <c r="F392" s="47"/>
      <c r="G392" s="52">
        <f t="array" ref="G392">MAX(IF(INSTOCK!$H$2:$H$2025=B392,INSTOCK!$K$2:$K$2025))</f>
        <v>240</v>
      </c>
      <c r="H392" s="53">
        <f>SUM(IF(INSTOCK!$H$2:$H$2025=B392,INSTOCK!$I$2:$I$2025))</f>
        <v>0</v>
      </c>
      <c r="I392" s="53" t="str">
        <f>SUM(IF([1]!Table13[ID]=B392,[1]!Table13[QTY]))</f>
        <v>#ERROR!</v>
      </c>
      <c r="J392" s="53" t="str">
        <f>TABLEITEM!$H$3:$H$1138-TABLEITEM!$I$3:$I$1138</f>
        <v>#ERROR!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hidden="1" customHeight="1">
      <c r="A393" s="47">
        <v>392.0</v>
      </c>
      <c r="B393" s="2" t="s">
        <v>3206</v>
      </c>
      <c r="C393" s="2" t="s">
        <v>2599</v>
      </c>
      <c r="D393" s="2" t="s">
        <v>3207</v>
      </c>
      <c r="E393" s="51" t="s">
        <v>3087</v>
      </c>
      <c r="F393" s="47"/>
      <c r="G393" s="52">
        <f t="array" ref="G393">MAX(IF(INSTOCK!$H$2:$H$2025=B393,INSTOCK!$K$2:$K$2025))</f>
        <v>0</v>
      </c>
      <c r="H393" s="53">
        <f>SUM(IF(INSTOCK!$H$2:$H$2025=B393,INSTOCK!$I$2:$I$2025))</f>
        <v>0</v>
      </c>
      <c r="I393" s="53" t="str">
        <f>SUM(IF([1]!Table13[ID]=B393,[1]!Table13[QTY]))</f>
        <v>#ERROR!</v>
      </c>
      <c r="J393" s="53" t="str">
        <f>TABLEITEM!$H$3:$H$1138-TABLEITEM!$I$3:$I$1138</f>
        <v>#ERROR!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hidden="1" customHeight="1">
      <c r="A394" s="47">
        <v>393.0</v>
      </c>
      <c r="B394" s="2" t="s">
        <v>859</v>
      </c>
      <c r="C394" s="2" t="s">
        <v>2599</v>
      </c>
      <c r="D394" s="2" t="s">
        <v>3208</v>
      </c>
      <c r="E394" s="51" t="s">
        <v>3087</v>
      </c>
      <c r="F394" s="47"/>
      <c r="G394" s="52">
        <f t="array" ref="G394">MAX(IF(INSTOCK!$H$2:$H$2025=B394,INSTOCK!$K$2:$K$2025))</f>
        <v>190</v>
      </c>
      <c r="H394" s="53">
        <f>SUM(IF(INSTOCK!$H$2:$H$2025=B394,INSTOCK!$I$2:$I$2025))</f>
        <v>0</v>
      </c>
      <c r="I394" s="53" t="str">
        <f>SUM(IF([1]!Table13[ID]=B394,[1]!Table13[QTY]))</f>
        <v>#ERROR!</v>
      </c>
      <c r="J394" s="53" t="str">
        <f>TABLEITEM!$H$3:$H$1138-TABLEITEM!$I$3:$I$1138</f>
        <v>#ERROR!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hidden="1" customHeight="1">
      <c r="A395" s="47">
        <v>394.0</v>
      </c>
      <c r="B395" s="2" t="s">
        <v>948</v>
      </c>
      <c r="C395" s="2" t="s">
        <v>2599</v>
      </c>
      <c r="D395" s="2" t="s">
        <v>3209</v>
      </c>
      <c r="E395" s="51" t="s">
        <v>3087</v>
      </c>
      <c r="F395" s="47"/>
      <c r="G395" s="52">
        <f t="array" ref="G395">MAX(IF(INSTOCK!$H$2:$H$2025=B395,INSTOCK!$K$2:$K$2025))</f>
        <v>300</v>
      </c>
      <c r="H395" s="53">
        <f>SUM(IF(INSTOCK!$H$2:$H$2025=B395,INSTOCK!$I$2:$I$2025))</f>
        <v>0</v>
      </c>
      <c r="I395" s="53" t="str">
        <f>SUM(IF([1]!Table13[ID]=B395,[1]!Table13[QTY]))</f>
        <v>#ERROR!</v>
      </c>
      <c r="J395" s="53" t="str">
        <f>TABLEITEM!$H$3:$H$1138-TABLEITEM!$I$3:$I$1138</f>
        <v>#ERROR!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hidden="1" customHeight="1">
      <c r="A396" s="47">
        <v>395.0</v>
      </c>
      <c r="B396" s="2" t="s">
        <v>3210</v>
      </c>
      <c r="C396" s="2" t="s">
        <v>2599</v>
      </c>
      <c r="D396" s="2" t="s">
        <v>3211</v>
      </c>
      <c r="E396" s="51" t="s">
        <v>3087</v>
      </c>
      <c r="F396" s="47"/>
      <c r="G396" s="52">
        <f t="array" ref="G396">MAX(IF(INSTOCK!$H$2:$H$2025=B396,INSTOCK!$K$2:$K$2025))</f>
        <v>0</v>
      </c>
      <c r="H396" s="53">
        <f>SUM(IF(INSTOCK!$H$2:$H$2025=B396,INSTOCK!$I$2:$I$2025))</f>
        <v>0</v>
      </c>
      <c r="I396" s="53" t="str">
        <f>SUM(IF([1]!Table13[ID]=B396,[1]!Table13[QTY]))</f>
        <v>#ERROR!</v>
      </c>
      <c r="J396" s="53" t="str">
        <f>TABLEITEM!$H$3:$H$1138-TABLEITEM!$I$3:$I$1138</f>
        <v>#ERROR!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hidden="1" customHeight="1">
      <c r="A397" s="47">
        <v>396.0</v>
      </c>
      <c r="B397" s="2" t="s">
        <v>949</v>
      </c>
      <c r="C397" s="2" t="s">
        <v>2599</v>
      </c>
      <c r="D397" s="2" t="s">
        <v>3212</v>
      </c>
      <c r="E397" s="51" t="s">
        <v>3087</v>
      </c>
      <c r="F397" s="47"/>
      <c r="G397" s="52">
        <f t="array" ref="G397">MAX(IF(INSTOCK!$H$2:$H$2025=B397,INSTOCK!$K$2:$K$2025))</f>
        <v>225</v>
      </c>
      <c r="H397" s="53">
        <f>SUM(IF(INSTOCK!$H$2:$H$2025=B397,INSTOCK!$I$2:$I$2025))</f>
        <v>0</v>
      </c>
      <c r="I397" s="53" t="str">
        <f>SUM(IF([1]!Table13[ID]=B397,[1]!Table13[QTY]))</f>
        <v>#ERROR!</v>
      </c>
      <c r="J397" s="53" t="str">
        <f>TABLEITEM!$H$3:$H$1138-TABLEITEM!$I$3:$I$1138</f>
        <v>#ERROR!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hidden="1" customHeight="1">
      <c r="A398" s="47">
        <v>397.0</v>
      </c>
      <c r="B398" s="2" t="s">
        <v>3213</v>
      </c>
      <c r="C398" s="2" t="s">
        <v>2599</v>
      </c>
      <c r="D398" s="2" t="s">
        <v>3214</v>
      </c>
      <c r="E398" s="51" t="s">
        <v>3087</v>
      </c>
      <c r="F398" s="47"/>
      <c r="G398" s="52">
        <f t="array" ref="G398">MAX(IF(INSTOCK!$H$2:$H$2025=B398,INSTOCK!$K$2:$K$2025))</f>
        <v>0</v>
      </c>
      <c r="H398" s="53">
        <f>SUM(IF(INSTOCK!$H$2:$H$2025=B398,INSTOCK!$I$2:$I$2025))</f>
        <v>0</v>
      </c>
      <c r="I398" s="53" t="str">
        <f>SUM(IF([1]!Table13[ID]=B398,[1]!Table13[QTY]))</f>
        <v>#ERROR!</v>
      </c>
      <c r="J398" s="53" t="str">
        <f>TABLEITEM!$H$3:$H$1138-TABLEITEM!$I$3:$I$1138</f>
        <v>#ERROR!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hidden="1" customHeight="1">
      <c r="A399" s="47">
        <v>398.0</v>
      </c>
      <c r="B399" s="2" t="s">
        <v>950</v>
      </c>
      <c r="C399" s="2" t="s">
        <v>2599</v>
      </c>
      <c r="D399" s="2" t="s">
        <v>3215</v>
      </c>
      <c r="E399" s="51" t="s">
        <v>3087</v>
      </c>
      <c r="F399" s="47"/>
      <c r="G399" s="52">
        <f t="array" ref="G399">MAX(IF(INSTOCK!$H$2:$H$2025=B399,INSTOCK!$K$2:$K$2025))</f>
        <v>230</v>
      </c>
      <c r="H399" s="53">
        <f>SUM(IF(INSTOCK!$H$2:$H$2025=B399,INSTOCK!$I$2:$I$2025))</f>
        <v>0</v>
      </c>
      <c r="I399" s="53" t="str">
        <f>SUM(IF([1]!Table13[ID]=B399,[1]!Table13[QTY]))</f>
        <v>#ERROR!</v>
      </c>
      <c r="J399" s="53" t="str">
        <f>TABLEITEM!$H$3:$H$1138-TABLEITEM!$I$3:$I$1138</f>
        <v>#ERROR!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hidden="1" customHeight="1">
      <c r="A400" s="47">
        <v>399.0</v>
      </c>
      <c r="B400" s="2" t="s">
        <v>3216</v>
      </c>
      <c r="C400" s="2" t="s">
        <v>2599</v>
      </c>
      <c r="D400" s="2" t="s">
        <v>3217</v>
      </c>
      <c r="E400" s="51" t="s">
        <v>3087</v>
      </c>
      <c r="F400" s="47"/>
      <c r="G400" s="52">
        <f t="array" ref="G400">MAX(IF(INSTOCK!$H$2:$H$2025=B400,INSTOCK!$K$2:$K$2025))</f>
        <v>188</v>
      </c>
      <c r="H400" s="53">
        <f>SUM(IF(INSTOCK!$H$2:$H$2025=B400,INSTOCK!$I$2:$I$2025))</f>
        <v>0</v>
      </c>
      <c r="I400" s="53" t="str">
        <f>SUM(IF([1]!Table13[ID]=B400,[1]!Table13[QTY]))</f>
        <v>#ERROR!</v>
      </c>
      <c r="J400" s="53" t="str">
        <f>TABLEITEM!$H$3:$H$1138-TABLEITEM!$I$3:$I$1138</f>
        <v>#ERROR!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hidden="1" customHeight="1">
      <c r="A401" s="47">
        <v>400.0</v>
      </c>
      <c r="B401" s="2" t="s">
        <v>3218</v>
      </c>
      <c r="C401" s="2" t="s">
        <v>2599</v>
      </c>
      <c r="D401" s="2" t="s">
        <v>3219</v>
      </c>
      <c r="E401" s="51" t="s">
        <v>3087</v>
      </c>
      <c r="F401" s="47"/>
      <c r="G401" s="52">
        <f t="array" ref="G401">MAX(IF(INSTOCK!$H$2:$H$2025=B401,INSTOCK!$K$2:$K$2025))</f>
        <v>0</v>
      </c>
      <c r="H401" s="53">
        <f>SUM(IF(INSTOCK!$H$2:$H$2025=B401,INSTOCK!$I$2:$I$2025))</f>
        <v>0</v>
      </c>
      <c r="I401" s="53" t="str">
        <f>SUM(IF([1]!Table13[ID]=B401,[1]!Table13[QTY]))</f>
        <v>#ERROR!</v>
      </c>
      <c r="J401" s="53" t="str">
        <f>TABLEITEM!$H$3:$H$1138-TABLEITEM!$I$3:$I$1138</f>
        <v>#ERROR!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hidden="1" customHeight="1">
      <c r="A402" s="47">
        <v>401.0</v>
      </c>
      <c r="B402" s="2" t="s">
        <v>860</v>
      </c>
      <c r="C402" s="2" t="s">
        <v>2599</v>
      </c>
      <c r="D402" s="2" t="s">
        <v>3220</v>
      </c>
      <c r="E402" s="51" t="s">
        <v>3087</v>
      </c>
      <c r="F402" s="47"/>
      <c r="G402" s="52">
        <f t="array" ref="G402">MAX(IF(INSTOCK!$H$2:$H$2025=B402,INSTOCK!$K$2:$K$2025))</f>
        <v>25</v>
      </c>
      <c r="H402" s="53">
        <f>SUM(IF(INSTOCK!$H$2:$H$2025=B402,INSTOCK!$I$2:$I$2025))</f>
        <v>0</v>
      </c>
      <c r="I402" s="53" t="str">
        <f>SUM(IF([1]!Table13[ID]=B402,[1]!Table13[QTY]))</f>
        <v>#ERROR!</v>
      </c>
      <c r="J402" s="53" t="str">
        <f>TABLEITEM!$H$3:$H$1138-TABLEITEM!$I$3:$I$1138</f>
        <v>#ERROR!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hidden="1" customHeight="1">
      <c r="A403" s="47">
        <v>402.0</v>
      </c>
      <c r="B403" s="2" t="s">
        <v>861</v>
      </c>
      <c r="C403" s="2" t="s">
        <v>2599</v>
      </c>
      <c r="D403" s="2" t="s">
        <v>3221</v>
      </c>
      <c r="E403" s="51" t="s">
        <v>3087</v>
      </c>
      <c r="F403" s="47"/>
      <c r="G403" s="52">
        <f t="array" ref="G403">MAX(IF(INSTOCK!$H$2:$H$2025=B403,INSTOCK!$K$2:$K$2025))</f>
        <v>35</v>
      </c>
      <c r="H403" s="53">
        <f>SUM(IF(INSTOCK!$H$2:$H$2025=B403,INSTOCK!$I$2:$I$2025))</f>
        <v>0</v>
      </c>
      <c r="I403" s="53" t="str">
        <f>SUM(IF([1]!Table13[ID]=B403,[1]!Table13[QTY]))</f>
        <v>#ERROR!</v>
      </c>
      <c r="J403" s="53" t="str">
        <f>TABLEITEM!$H$3:$H$1138-TABLEITEM!$I$3:$I$1138</f>
        <v>#ERROR!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hidden="1" customHeight="1">
      <c r="A404" s="47">
        <v>403.0</v>
      </c>
      <c r="B404" s="2" t="s">
        <v>862</v>
      </c>
      <c r="C404" s="2" t="s">
        <v>2599</v>
      </c>
      <c r="D404" s="2" t="s">
        <v>3222</v>
      </c>
      <c r="E404" s="51" t="s">
        <v>3087</v>
      </c>
      <c r="F404" s="47"/>
      <c r="G404" s="52">
        <f t="array" ref="G404">MAX(IF(INSTOCK!$H$2:$H$2025=B404,INSTOCK!$K$2:$K$2025))</f>
        <v>35</v>
      </c>
      <c r="H404" s="53">
        <f>SUM(IF(INSTOCK!$H$2:$H$2025=B404,INSTOCK!$I$2:$I$2025))</f>
        <v>0</v>
      </c>
      <c r="I404" s="53" t="str">
        <f>SUM(IF([1]!Table13[ID]=B404,[1]!Table13[QTY]))</f>
        <v>#ERROR!</v>
      </c>
      <c r="J404" s="53" t="str">
        <f>TABLEITEM!$H$3:$H$1138-TABLEITEM!$I$3:$I$1138</f>
        <v>#ERROR!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hidden="1" customHeight="1">
      <c r="A405" s="47">
        <v>404.0</v>
      </c>
      <c r="B405" s="2" t="s">
        <v>863</v>
      </c>
      <c r="C405" s="2" t="s">
        <v>2599</v>
      </c>
      <c r="D405" s="2" t="s">
        <v>3223</v>
      </c>
      <c r="E405" s="51" t="s">
        <v>3087</v>
      </c>
      <c r="F405" s="47"/>
      <c r="G405" s="52">
        <f t="array" ref="G405">MAX(IF(INSTOCK!$H$2:$H$2025=B405,INSTOCK!$K$2:$K$2025))</f>
        <v>40</v>
      </c>
      <c r="H405" s="53">
        <f>SUM(IF(INSTOCK!$H$2:$H$2025=B405,INSTOCK!$I$2:$I$2025))</f>
        <v>0</v>
      </c>
      <c r="I405" s="53" t="str">
        <f>SUM(IF([1]!Table13[ID]=B405,[1]!Table13[QTY]))</f>
        <v>#ERROR!</v>
      </c>
      <c r="J405" s="53" t="str">
        <f>TABLEITEM!$H$3:$H$1138-TABLEITEM!$I$3:$I$1138</f>
        <v>#ERROR!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hidden="1" customHeight="1">
      <c r="A406" s="47">
        <v>405.0</v>
      </c>
      <c r="B406" s="2" t="s">
        <v>3224</v>
      </c>
      <c r="C406" s="2" t="s">
        <v>2599</v>
      </c>
      <c r="D406" s="2" t="s">
        <v>3225</v>
      </c>
      <c r="E406" s="51" t="s">
        <v>3087</v>
      </c>
      <c r="F406" s="47"/>
      <c r="G406" s="52">
        <f t="array" ref="G406">MAX(IF(INSTOCK!$H$2:$H$2025=B406,INSTOCK!$K$2:$K$2025))</f>
        <v>0</v>
      </c>
      <c r="H406" s="53">
        <f>SUM(IF(INSTOCK!$H$2:$H$2025=B406,INSTOCK!$I$2:$I$2025))</f>
        <v>0</v>
      </c>
      <c r="I406" s="53" t="str">
        <f>SUM(IF([1]!Table13[ID]=B406,[1]!Table13[QTY]))</f>
        <v>#ERROR!</v>
      </c>
      <c r="J406" s="53" t="str">
        <f>TABLEITEM!$H$3:$H$1138-TABLEITEM!$I$3:$I$1138</f>
        <v>#ERROR!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hidden="1" customHeight="1">
      <c r="A407" s="47">
        <v>406.0</v>
      </c>
      <c r="B407" s="2" t="s">
        <v>3226</v>
      </c>
      <c r="C407" s="2" t="s">
        <v>2595</v>
      </c>
      <c r="D407" s="2" t="s">
        <v>3227</v>
      </c>
      <c r="E407" s="51"/>
      <c r="F407" s="47"/>
      <c r="G407" s="52">
        <f t="array" ref="G407">MAX(IF(INSTOCK!$H$2:$H$2025=B407,INSTOCK!$K$2:$K$2025))</f>
        <v>0</v>
      </c>
      <c r="H407" s="53">
        <f>SUM(IF(INSTOCK!$H$2:$H$2025=B407,INSTOCK!$I$2:$I$2025))</f>
        <v>0</v>
      </c>
      <c r="I407" s="53" t="str">
        <f>SUM(IF([1]!Table13[ID]=B407,[1]!Table13[QTY]))</f>
        <v>#ERROR!</v>
      </c>
      <c r="J407" s="53" t="str">
        <f>TABLEITEM!$H$3:$H$1138-TABLEITEM!$I$3:$I$1138</f>
        <v>#ERROR!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hidden="1" customHeight="1">
      <c r="A408" s="47">
        <v>407.0</v>
      </c>
      <c r="B408" s="2" t="s">
        <v>3228</v>
      </c>
      <c r="C408" s="2" t="s">
        <v>2595</v>
      </c>
      <c r="D408" s="2" t="s">
        <v>3229</v>
      </c>
      <c r="E408" s="51"/>
      <c r="F408" s="47"/>
      <c r="G408" s="52">
        <f t="array" ref="G408">MAX(IF(INSTOCK!$H$2:$H$2025=B408,INSTOCK!$K$2:$K$2025))</f>
        <v>0</v>
      </c>
      <c r="H408" s="53">
        <f>SUM(IF(INSTOCK!$H$2:$H$2025=B408,INSTOCK!$I$2:$I$2025))</f>
        <v>0</v>
      </c>
      <c r="I408" s="53" t="str">
        <f>SUM(IF([1]!Table13[ID]=B408,[1]!Table13[QTY]))</f>
        <v>#ERROR!</v>
      </c>
      <c r="J408" s="53" t="str">
        <f>TABLEITEM!$H$3:$H$1138-TABLEITEM!$I$3:$I$1138</f>
        <v>#ERROR!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hidden="1" customHeight="1">
      <c r="A409" s="47">
        <v>408.0</v>
      </c>
      <c r="B409" s="2" t="s">
        <v>3230</v>
      </c>
      <c r="C409" s="2" t="s">
        <v>2595</v>
      </c>
      <c r="D409" s="2" t="s">
        <v>3231</v>
      </c>
      <c r="E409" s="51"/>
      <c r="F409" s="47"/>
      <c r="G409" s="52">
        <f t="array" ref="G409">MAX(IF(INSTOCK!$H$2:$H$2025=B409,INSTOCK!$K$2:$K$2025))</f>
        <v>0</v>
      </c>
      <c r="H409" s="53">
        <f>SUM(IF(INSTOCK!$H$2:$H$2025=B409,INSTOCK!$I$2:$I$2025))</f>
        <v>0</v>
      </c>
      <c r="I409" s="53" t="str">
        <f>SUM(IF([1]!Table13[ID]=B409,[1]!Table13[QTY]))</f>
        <v>#ERROR!</v>
      </c>
      <c r="J409" s="53" t="str">
        <f>TABLEITEM!$H$3:$H$1138-TABLEITEM!$I$3:$I$1138</f>
        <v>#ERROR!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hidden="1" customHeight="1">
      <c r="A410" s="47">
        <v>409.0</v>
      </c>
      <c r="B410" s="2" t="s">
        <v>3232</v>
      </c>
      <c r="C410" s="2" t="s">
        <v>2595</v>
      </c>
      <c r="D410" s="2" t="s">
        <v>3233</v>
      </c>
      <c r="E410" s="51"/>
      <c r="F410" s="47"/>
      <c r="G410" s="52">
        <f t="array" ref="G410">MAX(IF(INSTOCK!$H$2:$H$2025=B410,INSTOCK!$K$2:$K$2025))</f>
        <v>0</v>
      </c>
      <c r="H410" s="53">
        <f>SUM(IF(INSTOCK!$H$2:$H$2025=B410,INSTOCK!$I$2:$I$2025))</f>
        <v>0</v>
      </c>
      <c r="I410" s="53" t="str">
        <f>SUM(IF([1]!Table13[ID]=B410,[1]!Table13[QTY]))</f>
        <v>#ERROR!</v>
      </c>
      <c r="J410" s="53" t="str">
        <f>TABLEITEM!$H$3:$H$1138-TABLEITEM!$I$3:$I$1138</f>
        <v>#ERROR!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hidden="1" customHeight="1">
      <c r="A411" s="47">
        <v>410.0</v>
      </c>
      <c r="B411" s="2" t="s">
        <v>641</v>
      </c>
      <c r="C411" s="2" t="s">
        <v>2595</v>
      </c>
      <c r="D411" s="2" t="s">
        <v>3234</v>
      </c>
      <c r="E411" s="51"/>
      <c r="F411" s="47"/>
      <c r="G411" s="52">
        <f t="array" ref="G411">MAX(IF(INSTOCK!$H$2:$H$2025=B411,INSTOCK!$K$2:$K$2025))</f>
        <v>0</v>
      </c>
      <c r="H411" s="53">
        <f>SUM(IF(INSTOCK!$H$2:$H$2025=B411,INSTOCK!$I$2:$I$2025))</f>
        <v>0</v>
      </c>
      <c r="I411" s="53" t="str">
        <f>SUM(IF([1]!Table13[ID]=B411,[1]!Table13[QTY]))</f>
        <v>#ERROR!</v>
      </c>
      <c r="J411" s="53" t="str">
        <f>TABLEITEM!$H$3:$H$1138-TABLEITEM!$I$3:$I$1138</f>
        <v>#ERROR!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hidden="1" customHeight="1">
      <c r="A412" s="47">
        <v>411.0</v>
      </c>
      <c r="B412" s="2" t="s">
        <v>466</v>
      </c>
      <c r="C412" s="2" t="s">
        <v>2595</v>
      </c>
      <c r="D412" s="2" t="s">
        <v>3235</v>
      </c>
      <c r="E412" s="51"/>
      <c r="F412" s="47"/>
      <c r="G412" s="52">
        <f t="array" ref="G412">MAX(IF(INSTOCK!$H$2:$H$2025=B412,INSTOCK!$K$2:$K$2025))</f>
        <v>0</v>
      </c>
      <c r="H412" s="53">
        <f>SUM(IF(INSTOCK!$H$2:$H$2025=B412,INSTOCK!$I$2:$I$2025))</f>
        <v>0</v>
      </c>
      <c r="I412" s="53" t="str">
        <f>SUM(IF([1]!Table13[ID]=B412,[1]!Table13[QTY]))</f>
        <v>#ERROR!</v>
      </c>
      <c r="J412" s="53" t="str">
        <f>TABLEITEM!$H$3:$H$1138-TABLEITEM!$I$3:$I$1138</f>
        <v>#ERROR!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hidden="1" customHeight="1">
      <c r="A413" s="47">
        <v>412.0</v>
      </c>
      <c r="B413" s="2" t="s">
        <v>517</v>
      </c>
      <c r="C413" s="2" t="s">
        <v>2595</v>
      </c>
      <c r="D413" s="2" t="s">
        <v>3236</v>
      </c>
      <c r="E413" s="51"/>
      <c r="F413" s="47"/>
      <c r="G413" s="52">
        <f t="array" ref="G413">MAX(IF(INSTOCK!$H$2:$H$2025=B413,INSTOCK!$K$2:$K$2025))</f>
        <v>0</v>
      </c>
      <c r="H413" s="53">
        <f>SUM(IF(INSTOCK!$H$2:$H$2025=B413,INSTOCK!$I$2:$I$2025))</f>
        <v>0</v>
      </c>
      <c r="I413" s="53" t="str">
        <f>SUM(IF([1]!Table13[ID]=B413,[1]!Table13[QTY]))</f>
        <v>#ERROR!</v>
      </c>
      <c r="J413" s="53" t="str">
        <f>TABLEITEM!$H$3:$H$1138-TABLEITEM!$I$3:$I$1138</f>
        <v>#ERROR!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hidden="1" customHeight="1">
      <c r="A414" s="47">
        <v>413.0</v>
      </c>
      <c r="B414" s="2" t="s">
        <v>3237</v>
      </c>
      <c r="C414" s="2" t="s">
        <v>2595</v>
      </c>
      <c r="D414" s="2" t="s">
        <v>3238</v>
      </c>
      <c r="E414" s="51"/>
      <c r="F414" s="47"/>
      <c r="G414" s="52">
        <f t="array" ref="G414">MAX(IF(INSTOCK!$H$2:$H$2025=B414,INSTOCK!$K$2:$K$2025))</f>
        <v>0</v>
      </c>
      <c r="H414" s="53">
        <f>SUM(IF(INSTOCK!$H$2:$H$2025=B414,INSTOCK!$I$2:$I$2025))</f>
        <v>0</v>
      </c>
      <c r="I414" s="53" t="str">
        <f>SUM(IF([1]!Table13[ID]=B414,[1]!Table13[QTY]))</f>
        <v>#ERROR!</v>
      </c>
      <c r="J414" s="53" t="str">
        <f>TABLEITEM!$H$3:$H$1138-TABLEITEM!$I$3:$I$1138</f>
        <v>#ERROR!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hidden="1" customHeight="1">
      <c r="A415" s="47">
        <v>414.0</v>
      </c>
      <c r="B415" s="2" t="s">
        <v>3239</v>
      </c>
      <c r="C415" s="2" t="s">
        <v>2595</v>
      </c>
      <c r="D415" s="2" t="s">
        <v>3240</v>
      </c>
      <c r="E415" s="51"/>
      <c r="F415" s="47"/>
      <c r="G415" s="52">
        <f t="array" ref="G415">MAX(IF(INSTOCK!$H$2:$H$2025=B415,INSTOCK!$K$2:$K$2025))</f>
        <v>0</v>
      </c>
      <c r="H415" s="53">
        <f>SUM(IF(INSTOCK!$H$2:$H$2025=B415,INSTOCK!$I$2:$I$2025))</f>
        <v>0</v>
      </c>
      <c r="I415" s="53" t="str">
        <f>SUM(IF([1]!Table13[ID]=B415,[1]!Table13[QTY]))</f>
        <v>#ERROR!</v>
      </c>
      <c r="J415" s="53" t="str">
        <f>TABLEITEM!$H$3:$H$1138-TABLEITEM!$I$3:$I$1138</f>
        <v>#ERROR!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hidden="1" customHeight="1">
      <c r="A416" s="47">
        <v>415.0</v>
      </c>
      <c r="B416" s="2" t="s">
        <v>3241</v>
      </c>
      <c r="C416" s="2" t="s">
        <v>2595</v>
      </c>
      <c r="D416" s="2" t="s">
        <v>3242</v>
      </c>
      <c r="E416" s="51"/>
      <c r="F416" s="47"/>
      <c r="G416" s="52">
        <f t="array" ref="G416">MAX(IF(INSTOCK!$H$2:$H$2025=B416,INSTOCK!$K$2:$K$2025))</f>
        <v>0</v>
      </c>
      <c r="H416" s="53">
        <f>SUM(IF(INSTOCK!$H$2:$H$2025=B416,INSTOCK!$I$2:$I$2025))</f>
        <v>0</v>
      </c>
      <c r="I416" s="53" t="str">
        <f>SUM(IF([1]!Table13[ID]=B416,[1]!Table13[QTY]))</f>
        <v>#ERROR!</v>
      </c>
      <c r="J416" s="53" t="str">
        <f>TABLEITEM!$H$3:$H$1138-TABLEITEM!$I$3:$I$1138</f>
        <v>#ERROR!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hidden="1" customHeight="1">
      <c r="A417" s="47">
        <v>416.0</v>
      </c>
      <c r="B417" s="2" t="s">
        <v>3243</v>
      </c>
      <c r="C417" s="2" t="s">
        <v>2595</v>
      </c>
      <c r="D417" s="2" t="s">
        <v>3244</v>
      </c>
      <c r="E417" s="51"/>
      <c r="F417" s="47"/>
      <c r="G417" s="52">
        <f t="array" ref="G417">MAX(IF(INSTOCK!$H$2:$H$2025=B417,INSTOCK!$K$2:$K$2025))</f>
        <v>0</v>
      </c>
      <c r="H417" s="53">
        <f>SUM(IF(INSTOCK!$H$2:$H$2025=B417,INSTOCK!$I$2:$I$2025))</f>
        <v>0</v>
      </c>
      <c r="I417" s="53" t="str">
        <f>SUM(IF([1]!Table13[ID]=B417,[1]!Table13[QTY]))</f>
        <v>#ERROR!</v>
      </c>
      <c r="J417" s="53" t="str">
        <f>TABLEITEM!$H$3:$H$1138-TABLEITEM!$I$3:$I$1138</f>
        <v>#ERROR!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hidden="1" customHeight="1">
      <c r="A418" s="47">
        <v>417.0</v>
      </c>
      <c r="B418" s="2" t="s">
        <v>3245</v>
      </c>
      <c r="C418" s="2" t="s">
        <v>2595</v>
      </c>
      <c r="D418" s="2" t="s">
        <v>3246</v>
      </c>
      <c r="E418" s="51"/>
      <c r="F418" s="47"/>
      <c r="G418" s="52">
        <f t="array" ref="G418">MAX(IF(INSTOCK!$H$2:$H$2025=B418,INSTOCK!$K$2:$K$2025))</f>
        <v>0</v>
      </c>
      <c r="H418" s="53">
        <f>SUM(IF(INSTOCK!$H$2:$H$2025=B418,INSTOCK!$I$2:$I$2025))</f>
        <v>0</v>
      </c>
      <c r="I418" s="53" t="str">
        <f>SUM(IF([1]!Table13[ID]=B418,[1]!Table13[QTY]))</f>
        <v>#ERROR!</v>
      </c>
      <c r="J418" s="53" t="str">
        <f>TABLEITEM!$H$3:$H$1138-TABLEITEM!$I$3:$I$1138</f>
        <v>#ERROR!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hidden="1" customHeight="1">
      <c r="A419" s="47">
        <v>418.0</v>
      </c>
      <c r="B419" s="2" t="s">
        <v>577</v>
      </c>
      <c r="C419" s="2" t="s">
        <v>2595</v>
      </c>
      <c r="D419" s="2" t="s">
        <v>3247</v>
      </c>
      <c r="E419" s="51"/>
      <c r="F419" s="47"/>
      <c r="G419" s="52">
        <f t="array" ref="G419">MAX(IF(INSTOCK!$H$2:$H$2025=B419,INSTOCK!$K$2:$K$2025))</f>
        <v>0</v>
      </c>
      <c r="H419" s="53">
        <f>SUM(IF(INSTOCK!$H$2:$H$2025=B419,INSTOCK!$I$2:$I$2025))</f>
        <v>0</v>
      </c>
      <c r="I419" s="53" t="str">
        <f>SUM(IF([1]!Table13[ID]=B419,[1]!Table13[QTY]))</f>
        <v>#ERROR!</v>
      </c>
      <c r="J419" s="53" t="str">
        <f>TABLEITEM!$H$3:$H$1138-TABLEITEM!$I$3:$I$1138</f>
        <v>#ERROR!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hidden="1" customHeight="1">
      <c r="A420" s="47">
        <v>419.0</v>
      </c>
      <c r="B420" s="2" t="s">
        <v>2168</v>
      </c>
      <c r="C420" s="2" t="s">
        <v>2595</v>
      </c>
      <c r="D420" s="2" t="s">
        <v>3248</v>
      </c>
      <c r="E420" s="51"/>
      <c r="F420" s="47"/>
      <c r="G420" s="52">
        <f t="array" ref="G420">MAX(IF(INSTOCK!$H$2:$H$2025=B420,INSTOCK!$K$2:$K$2025))</f>
        <v>0</v>
      </c>
      <c r="H420" s="53">
        <f>SUM(IF(INSTOCK!$H$2:$H$2025=B420,INSTOCK!$I$2:$I$2025))</f>
        <v>0</v>
      </c>
      <c r="I420" s="53" t="str">
        <f>SUM(IF([1]!Table13[ID]=B420,[1]!Table13[QTY]))</f>
        <v>#ERROR!</v>
      </c>
      <c r="J420" s="53" t="str">
        <f>TABLEITEM!$H$3:$H$1138-TABLEITEM!$I$3:$I$1138</f>
        <v>#ERROR!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hidden="1" customHeight="1">
      <c r="A421" s="47">
        <v>420.0</v>
      </c>
      <c r="B421" s="2" t="s">
        <v>3249</v>
      </c>
      <c r="C421" s="2" t="s">
        <v>2595</v>
      </c>
      <c r="D421" s="2" t="s">
        <v>3250</v>
      </c>
      <c r="E421" s="51"/>
      <c r="F421" s="47"/>
      <c r="G421" s="52">
        <f t="array" ref="G421">MAX(IF(INSTOCK!$H$2:$H$2025=B421,INSTOCK!$K$2:$K$2025))</f>
        <v>0</v>
      </c>
      <c r="H421" s="53">
        <f>SUM(IF(INSTOCK!$H$2:$H$2025=B421,INSTOCK!$I$2:$I$2025))</f>
        <v>0</v>
      </c>
      <c r="I421" s="53" t="str">
        <f>SUM(IF([1]!Table13[ID]=B421,[1]!Table13[QTY]))</f>
        <v>#ERROR!</v>
      </c>
      <c r="J421" s="53" t="str">
        <f>TABLEITEM!$H$3:$H$1138-TABLEITEM!$I$3:$I$1138</f>
        <v>#ERROR!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hidden="1" customHeight="1">
      <c r="A422" s="47">
        <v>421.0</v>
      </c>
      <c r="B422" s="2" t="s">
        <v>626</v>
      </c>
      <c r="C422" s="2" t="s">
        <v>2595</v>
      </c>
      <c r="D422" s="2" t="s">
        <v>3251</v>
      </c>
      <c r="E422" s="51"/>
      <c r="F422" s="47"/>
      <c r="G422" s="52">
        <f t="array" ref="G422">MAX(IF(INSTOCK!$H$2:$H$2025=B422,INSTOCK!$K$2:$K$2025))</f>
        <v>0</v>
      </c>
      <c r="H422" s="53">
        <f>SUM(IF(INSTOCK!$H$2:$H$2025=B422,INSTOCK!$I$2:$I$2025))</f>
        <v>0</v>
      </c>
      <c r="I422" s="53" t="str">
        <f>SUM(IF([1]!Table13[ID]=B422,[1]!Table13[QTY]))</f>
        <v>#ERROR!</v>
      </c>
      <c r="J422" s="53" t="str">
        <f>TABLEITEM!$H$3:$H$1138-TABLEITEM!$I$3:$I$1138</f>
        <v>#ERROR!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hidden="1" customHeight="1">
      <c r="A423" s="47">
        <v>422.0</v>
      </c>
      <c r="B423" s="2" t="s">
        <v>3252</v>
      </c>
      <c r="C423" s="2" t="s">
        <v>2595</v>
      </c>
      <c r="D423" s="2" t="s">
        <v>3253</v>
      </c>
      <c r="E423" s="51"/>
      <c r="F423" s="47"/>
      <c r="G423" s="52">
        <f t="array" ref="G423">MAX(IF(INSTOCK!$H$2:$H$2025=B423,INSTOCK!$K$2:$K$2025))</f>
        <v>0</v>
      </c>
      <c r="H423" s="53">
        <f>SUM(IF(INSTOCK!$H$2:$H$2025=B423,INSTOCK!$I$2:$I$2025))</f>
        <v>0</v>
      </c>
      <c r="I423" s="53" t="str">
        <f>SUM(IF([1]!Table13[ID]=B423,[1]!Table13[QTY]))</f>
        <v>#ERROR!</v>
      </c>
      <c r="J423" s="53" t="str">
        <f>TABLEITEM!$H$3:$H$1138-TABLEITEM!$I$3:$I$1138</f>
        <v>#ERROR!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hidden="1" customHeight="1">
      <c r="A424" s="47">
        <v>423.0</v>
      </c>
      <c r="B424" s="2" t="s">
        <v>1534</v>
      </c>
      <c r="C424" s="2" t="s">
        <v>2595</v>
      </c>
      <c r="D424" s="2" t="s">
        <v>3254</v>
      </c>
      <c r="E424" s="51"/>
      <c r="F424" s="47"/>
      <c r="G424" s="52">
        <f t="array" ref="G424">MAX(IF(INSTOCK!$H$2:$H$2025=B424,INSTOCK!$K$2:$K$2025))</f>
        <v>0</v>
      </c>
      <c r="H424" s="53">
        <f>SUM(IF(INSTOCK!$H$2:$H$2025=B424,INSTOCK!$I$2:$I$2025))</f>
        <v>0</v>
      </c>
      <c r="I424" s="53" t="str">
        <f>SUM(IF([1]!Table13[ID]=B424,[1]!Table13[QTY]))</f>
        <v>#ERROR!</v>
      </c>
      <c r="J424" s="53" t="str">
        <f>TABLEITEM!$H$3:$H$1138-TABLEITEM!$I$3:$I$1138</f>
        <v>#ERROR!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hidden="1" customHeight="1">
      <c r="A425" s="47">
        <v>424.0</v>
      </c>
      <c r="B425" s="2" t="s">
        <v>627</v>
      </c>
      <c r="C425" s="2" t="s">
        <v>2595</v>
      </c>
      <c r="D425" s="2" t="s">
        <v>3255</v>
      </c>
      <c r="E425" s="51"/>
      <c r="F425" s="47"/>
      <c r="G425" s="52">
        <f t="array" ref="G425">MAX(IF(INSTOCK!$H$2:$H$2025=B425,INSTOCK!$K$2:$K$2025))</f>
        <v>0</v>
      </c>
      <c r="H425" s="53">
        <f>SUM(IF(INSTOCK!$H$2:$H$2025=B425,INSTOCK!$I$2:$I$2025))</f>
        <v>0</v>
      </c>
      <c r="I425" s="53" t="str">
        <f>SUM(IF([1]!Table13[ID]=B425,[1]!Table13[QTY]))</f>
        <v>#ERROR!</v>
      </c>
      <c r="J425" s="53" t="str">
        <f>TABLEITEM!$H$3:$H$1138-TABLEITEM!$I$3:$I$1138</f>
        <v>#ERROR!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hidden="1" customHeight="1">
      <c r="A426" s="47">
        <v>425.0</v>
      </c>
      <c r="B426" s="2" t="s">
        <v>3256</v>
      </c>
      <c r="C426" s="2" t="s">
        <v>2595</v>
      </c>
      <c r="D426" s="2" t="s">
        <v>3257</v>
      </c>
      <c r="E426" s="51"/>
      <c r="F426" s="47"/>
      <c r="G426" s="52">
        <f t="array" ref="G426">MAX(IF(INSTOCK!$H$2:$H$2025=B426,INSTOCK!$K$2:$K$2025))</f>
        <v>0</v>
      </c>
      <c r="H426" s="53">
        <f>SUM(IF(INSTOCK!$H$2:$H$2025=B426,INSTOCK!$I$2:$I$2025))</f>
        <v>0</v>
      </c>
      <c r="I426" s="53" t="str">
        <f>SUM(IF([1]!Table13[ID]=B426,[1]!Table13[QTY]))</f>
        <v>#ERROR!</v>
      </c>
      <c r="J426" s="53" t="str">
        <f>TABLEITEM!$H$3:$H$1138-TABLEITEM!$I$3:$I$1138</f>
        <v>#ERROR!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hidden="1" customHeight="1">
      <c r="A427" s="47">
        <v>426.0</v>
      </c>
      <c r="B427" s="2" t="s">
        <v>477</v>
      </c>
      <c r="C427" s="2" t="s">
        <v>2595</v>
      </c>
      <c r="D427" s="2" t="s">
        <v>3258</v>
      </c>
      <c r="E427" s="51"/>
      <c r="F427" s="47"/>
      <c r="G427" s="52">
        <f t="array" ref="G427">MAX(IF(INSTOCK!$H$2:$H$2025=B427,INSTOCK!$K$2:$K$2025))</f>
        <v>0</v>
      </c>
      <c r="H427" s="53">
        <f>SUM(IF(INSTOCK!$H$2:$H$2025=B427,INSTOCK!$I$2:$I$2025))</f>
        <v>0</v>
      </c>
      <c r="I427" s="53" t="str">
        <f>SUM(IF([1]!Table13[ID]=B427,[1]!Table13[QTY]))</f>
        <v>#ERROR!</v>
      </c>
      <c r="J427" s="53" t="str">
        <f>TABLEITEM!$H$3:$H$1138-TABLEITEM!$I$3:$I$1138</f>
        <v>#ERROR!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hidden="1" customHeight="1">
      <c r="A428" s="47">
        <v>427.0</v>
      </c>
      <c r="B428" s="2" t="s">
        <v>3259</v>
      </c>
      <c r="C428" s="2" t="s">
        <v>2595</v>
      </c>
      <c r="D428" s="2" t="s">
        <v>3260</v>
      </c>
      <c r="E428" s="51"/>
      <c r="F428" s="47"/>
      <c r="G428" s="52">
        <f t="array" ref="G428">MAX(IF(INSTOCK!$H$2:$H$2025=B428,INSTOCK!$K$2:$K$2025))</f>
        <v>0</v>
      </c>
      <c r="H428" s="53">
        <f>SUM(IF(INSTOCK!$H$2:$H$2025=B428,INSTOCK!$I$2:$I$2025))</f>
        <v>0</v>
      </c>
      <c r="I428" s="53" t="str">
        <f>SUM(IF([1]!Table13[ID]=B428,[1]!Table13[QTY]))</f>
        <v>#ERROR!</v>
      </c>
      <c r="J428" s="53" t="str">
        <f>TABLEITEM!$H$3:$H$1138-TABLEITEM!$I$3:$I$1138</f>
        <v>#ERROR!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hidden="1" customHeight="1">
      <c r="A429" s="47">
        <v>428.0</v>
      </c>
      <c r="B429" s="2" t="s">
        <v>1775</v>
      </c>
      <c r="C429" s="2" t="s">
        <v>2595</v>
      </c>
      <c r="D429" s="2" t="s">
        <v>3261</v>
      </c>
      <c r="E429" s="51"/>
      <c r="F429" s="47"/>
      <c r="G429" s="52">
        <f t="array" ref="G429">MAX(IF(INSTOCK!$H$2:$H$2025=B429,INSTOCK!$K$2:$K$2025))</f>
        <v>0</v>
      </c>
      <c r="H429" s="53">
        <f>SUM(IF(INSTOCK!$H$2:$H$2025=B429,INSTOCK!$I$2:$I$2025))</f>
        <v>0</v>
      </c>
      <c r="I429" s="53" t="str">
        <f>SUM(IF([1]!Table13[ID]=B429,[1]!Table13[QTY]))</f>
        <v>#ERROR!</v>
      </c>
      <c r="J429" s="53" t="str">
        <f>TABLEITEM!$H$3:$H$1138-TABLEITEM!$I$3:$I$1138</f>
        <v>#ERROR!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hidden="1" customHeight="1">
      <c r="A430" s="47">
        <v>429.0</v>
      </c>
      <c r="B430" s="2" t="s">
        <v>509</v>
      </c>
      <c r="C430" s="2" t="s">
        <v>2595</v>
      </c>
      <c r="D430" s="2" t="s">
        <v>3262</v>
      </c>
      <c r="E430" s="51"/>
      <c r="F430" s="47"/>
      <c r="G430" s="52">
        <f t="array" ref="G430">MAX(IF(INSTOCK!$H$2:$H$2025=B430,INSTOCK!$K$2:$K$2025))</f>
        <v>0</v>
      </c>
      <c r="H430" s="53">
        <f>SUM(IF(INSTOCK!$H$2:$H$2025=B430,INSTOCK!$I$2:$I$2025))</f>
        <v>0</v>
      </c>
      <c r="I430" s="53" t="str">
        <f>SUM(IF([1]!Table13[ID]=B430,[1]!Table13[QTY]))</f>
        <v>#ERROR!</v>
      </c>
      <c r="J430" s="53" t="str">
        <f>TABLEITEM!$H$3:$H$1138-TABLEITEM!$I$3:$I$1138</f>
        <v>#ERROR!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hidden="1" customHeight="1">
      <c r="A431" s="47">
        <v>430.0</v>
      </c>
      <c r="B431" s="2" t="s">
        <v>3263</v>
      </c>
      <c r="C431" s="2" t="s">
        <v>2595</v>
      </c>
      <c r="D431" s="2" t="s">
        <v>3264</v>
      </c>
      <c r="E431" s="51"/>
      <c r="F431" s="47"/>
      <c r="G431" s="52">
        <f t="array" ref="G431">MAX(IF(INSTOCK!$H$2:$H$2025=B431,INSTOCK!$K$2:$K$2025))</f>
        <v>0</v>
      </c>
      <c r="H431" s="53">
        <f>SUM(IF(INSTOCK!$H$2:$H$2025=B431,INSTOCK!$I$2:$I$2025))</f>
        <v>0</v>
      </c>
      <c r="I431" s="53" t="str">
        <f>SUM(IF([1]!Table13[ID]=B431,[1]!Table13[QTY]))</f>
        <v>#ERROR!</v>
      </c>
      <c r="J431" s="53" t="str">
        <f>TABLEITEM!$H$3:$H$1138-TABLEITEM!$I$3:$I$1138</f>
        <v>#ERROR!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hidden="1" customHeight="1">
      <c r="A432" s="47">
        <v>431.0</v>
      </c>
      <c r="B432" s="2" t="s">
        <v>1292</v>
      </c>
      <c r="C432" s="2" t="s">
        <v>2595</v>
      </c>
      <c r="D432" s="2" t="s">
        <v>3265</v>
      </c>
      <c r="E432" s="51"/>
      <c r="F432" s="47"/>
      <c r="G432" s="52">
        <f t="array" ref="G432">MAX(IF(INSTOCK!$H$2:$H$2025=B432,INSTOCK!$K$2:$K$2025))</f>
        <v>0</v>
      </c>
      <c r="H432" s="53">
        <f>SUM(IF(INSTOCK!$H$2:$H$2025=B432,INSTOCK!$I$2:$I$2025))</f>
        <v>0</v>
      </c>
      <c r="I432" s="53" t="str">
        <f>SUM(IF([1]!Table13[ID]=B432,[1]!Table13[QTY]))</f>
        <v>#ERROR!</v>
      </c>
      <c r="J432" s="53" t="str">
        <f>TABLEITEM!$H$3:$H$1138-TABLEITEM!$I$3:$I$1138</f>
        <v>#ERROR!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hidden="1" customHeight="1">
      <c r="A433" s="47">
        <v>432.0</v>
      </c>
      <c r="B433" s="2" t="s">
        <v>1293</v>
      </c>
      <c r="C433" s="2" t="s">
        <v>2595</v>
      </c>
      <c r="D433" s="2" t="s">
        <v>3266</v>
      </c>
      <c r="E433" s="51"/>
      <c r="F433" s="47"/>
      <c r="G433" s="52">
        <f t="array" ref="G433">MAX(IF(INSTOCK!$H$2:$H$2025=B433,INSTOCK!$K$2:$K$2025))</f>
        <v>0</v>
      </c>
      <c r="H433" s="53">
        <f>SUM(IF(INSTOCK!$H$2:$H$2025=B433,INSTOCK!$I$2:$I$2025))</f>
        <v>0</v>
      </c>
      <c r="I433" s="53" t="str">
        <f>SUM(IF([1]!Table13[ID]=B433,[1]!Table13[QTY]))</f>
        <v>#ERROR!</v>
      </c>
      <c r="J433" s="53" t="str">
        <f>TABLEITEM!$H$3:$H$1138-TABLEITEM!$I$3:$I$1138</f>
        <v>#ERROR!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hidden="1" customHeight="1">
      <c r="A434" s="47">
        <v>433.0</v>
      </c>
      <c r="B434" s="2" t="s">
        <v>3267</v>
      </c>
      <c r="C434" s="2" t="s">
        <v>2595</v>
      </c>
      <c r="D434" s="2" t="s">
        <v>3268</v>
      </c>
      <c r="E434" s="51"/>
      <c r="F434" s="47"/>
      <c r="G434" s="52">
        <f t="array" ref="G434">MAX(IF(INSTOCK!$H$2:$H$2025=B434,INSTOCK!$K$2:$K$2025))</f>
        <v>0</v>
      </c>
      <c r="H434" s="53">
        <f>SUM(IF(INSTOCK!$H$2:$H$2025=B434,INSTOCK!$I$2:$I$2025))</f>
        <v>0</v>
      </c>
      <c r="I434" s="53" t="str">
        <f>SUM(IF([1]!Table13[ID]=B434,[1]!Table13[QTY]))</f>
        <v>#ERROR!</v>
      </c>
      <c r="J434" s="53" t="str">
        <f>TABLEITEM!$H$3:$H$1138-TABLEITEM!$I$3:$I$1138</f>
        <v>#ERROR!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hidden="1" customHeight="1">
      <c r="A435" s="47">
        <v>434.0</v>
      </c>
      <c r="B435" s="2" t="s">
        <v>3269</v>
      </c>
      <c r="C435" s="2" t="s">
        <v>2595</v>
      </c>
      <c r="D435" s="2" t="s">
        <v>3270</v>
      </c>
      <c r="E435" s="51"/>
      <c r="F435" s="47"/>
      <c r="G435" s="52">
        <f t="array" ref="G435">MAX(IF(INSTOCK!$H$2:$H$2025=B435,INSTOCK!$K$2:$K$2025))</f>
        <v>0</v>
      </c>
      <c r="H435" s="53">
        <f>SUM(IF(INSTOCK!$H$2:$H$2025=B435,INSTOCK!$I$2:$I$2025))</f>
        <v>0</v>
      </c>
      <c r="I435" s="53" t="str">
        <f>SUM(IF([1]!Table13[ID]=B435,[1]!Table13[QTY]))</f>
        <v>#ERROR!</v>
      </c>
      <c r="J435" s="53" t="str">
        <f>TABLEITEM!$H$3:$H$1138-TABLEITEM!$I$3:$I$1138</f>
        <v>#ERROR!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hidden="1" customHeight="1">
      <c r="A436" s="47">
        <v>435.0</v>
      </c>
      <c r="B436" s="2" t="s">
        <v>3271</v>
      </c>
      <c r="C436" s="2" t="s">
        <v>2595</v>
      </c>
      <c r="D436" s="2" t="s">
        <v>3272</v>
      </c>
      <c r="E436" s="51"/>
      <c r="F436" s="47"/>
      <c r="G436" s="52">
        <f t="array" ref="G436">MAX(IF(INSTOCK!$H$2:$H$2025=B436,INSTOCK!$K$2:$K$2025))</f>
        <v>0</v>
      </c>
      <c r="H436" s="53">
        <f>SUM(IF(INSTOCK!$H$2:$H$2025=B436,INSTOCK!$I$2:$I$2025))</f>
        <v>0</v>
      </c>
      <c r="I436" s="53" t="str">
        <f>SUM(IF([1]!Table13[ID]=B436,[1]!Table13[QTY]))</f>
        <v>#ERROR!</v>
      </c>
      <c r="J436" s="53" t="str">
        <f>TABLEITEM!$H$3:$H$1138-TABLEITEM!$I$3:$I$1138</f>
        <v>#ERROR!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hidden="1" customHeight="1">
      <c r="A437" s="47">
        <v>436.0</v>
      </c>
      <c r="B437" s="2" t="s">
        <v>3273</v>
      </c>
      <c r="C437" s="2" t="s">
        <v>2595</v>
      </c>
      <c r="D437" s="2" t="s">
        <v>3274</v>
      </c>
      <c r="E437" s="51"/>
      <c r="F437" s="47"/>
      <c r="G437" s="52">
        <f t="array" ref="G437">MAX(IF(INSTOCK!$H$2:$H$2025=B437,INSTOCK!$K$2:$K$2025))</f>
        <v>0</v>
      </c>
      <c r="H437" s="53">
        <f>SUM(IF(INSTOCK!$H$2:$H$2025=B437,INSTOCK!$I$2:$I$2025))</f>
        <v>0</v>
      </c>
      <c r="I437" s="53" t="str">
        <f>SUM(IF([1]!Table13[ID]=B437,[1]!Table13[QTY]))</f>
        <v>#ERROR!</v>
      </c>
      <c r="J437" s="53" t="str">
        <f>TABLEITEM!$H$3:$H$1138-TABLEITEM!$I$3:$I$1138</f>
        <v>#ERROR!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hidden="1" customHeight="1">
      <c r="A438" s="47">
        <v>437.0</v>
      </c>
      <c r="B438" s="2" t="s">
        <v>3275</v>
      </c>
      <c r="C438" s="2" t="s">
        <v>2595</v>
      </c>
      <c r="D438" s="2" t="s">
        <v>3276</v>
      </c>
      <c r="E438" s="51"/>
      <c r="F438" s="47"/>
      <c r="G438" s="52">
        <f t="array" ref="G438">MAX(IF(INSTOCK!$H$2:$H$2025=B438,INSTOCK!$K$2:$K$2025))</f>
        <v>0</v>
      </c>
      <c r="H438" s="53">
        <f>SUM(IF(INSTOCK!$H$2:$H$2025=B438,INSTOCK!$I$2:$I$2025))</f>
        <v>0</v>
      </c>
      <c r="I438" s="53" t="str">
        <f>SUM(IF([1]!Table13[ID]=B438,[1]!Table13[QTY]))</f>
        <v>#ERROR!</v>
      </c>
      <c r="J438" s="53" t="str">
        <f>TABLEITEM!$H$3:$H$1138-TABLEITEM!$I$3:$I$1138</f>
        <v>#ERROR!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hidden="1" customHeight="1">
      <c r="A439" s="47">
        <v>438.0</v>
      </c>
      <c r="B439" s="2" t="s">
        <v>1729</v>
      </c>
      <c r="C439" s="2" t="s">
        <v>2595</v>
      </c>
      <c r="D439" s="2" t="s">
        <v>3277</v>
      </c>
      <c r="E439" s="51"/>
      <c r="F439" s="47"/>
      <c r="G439" s="52">
        <f t="array" ref="G439">MAX(IF(INSTOCK!$H$2:$H$2025=B439,INSTOCK!$K$2:$K$2025))</f>
        <v>0</v>
      </c>
      <c r="H439" s="53">
        <f>SUM(IF(INSTOCK!$H$2:$H$2025=B439,INSTOCK!$I$2:$I$2025))</f>
        <v>0</v>
      </c>
      <c r="I439" s="53" t="str">
        <f>SUM(IF([1]!Table13[ID]=B439,[1]!Table13[QTY]))</f>
        <v>#ERROR!</v>
      </c>
      <c r="J439" s="53" t="str">
        <f>TABLEITEM!$H$3:$H$1138-TABLEITEM!$I$3:$I$1138</f>
        <v>#ERROR!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hidden="1" customHeight="1">
      <c r="A440" s="47">
        <v>439.0</v>
      </c>
      <c r="B440" s="2" t="s">
        <v>1296</v>
      </c>
      <c r="C440" s="2" t="s">
        <v>2595</v>
      </c>
      <c r="D440" s="2" t="s">
        <v>3278</v>
      </c>
      <c r="E440" s="51"/>
      <c r="F440" s="47"/>
      <c r="G440" s="52">
        <f t="array" ref="G440">MAX(IF(INSTOCK!$H$2:$H$2025=B440,INSTOCK!$K$2:$K$2025))</f>
        <v>0</v>
      </c>
      <c r="H440" s="53">
        <f>SUM(IF(INSTOCK!$H$2:$H$2025=B440,INSTOCK!$I$2:$I$2025))</f>
        <v>0</v>
      </c>
      <c r="I440" s="53" t="str">
        <f>SUM(IF([1]!Table13[ID]=B440,[1]!Table13[QTY]))</f>
        <v>#ERROR!</v>
      </c>
      <c r="J440" s="53" t="str">
        <f>TABLEITEM!$H$3:$H$1138-TABLEITEM!$I$3:$I$1138</f>
        <v>#ERROR!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hidden="1" customHeight="1">
      <c r="A441" s="47">
        <v>440.0</v>
      </c>
      <c r="B441" s="2" t="s">
        <v>3279</v>
      </c>
      <c r="C441" s="2" t="s">
        <v>2595</v>
      </c>
      <c r="D441" s="2" t="s">
        <v>3280</v>
      </c>
      <c r="E441" s="51"/>
      <c r="F441" s="47"/>
      <c r="G441" s="52">
        <f t="array" ref="G441">MAX(IF(INSTOCK!$H$2:$H$2025=B441,INSTOCK!$K$2:$K$2025))</f>
        <v>0</v>
      </c>
      <c r="H441" s="53">
        <f>SUM(IF(INSTOCK!$H$2:$H$2025=B441,INSTOCK!$I$2:$I$2025))</f>
        <v>0</v>
      </c>
      <c r="I441" s="53" t="str">
        <f>SUM(IF([1]!Table13[ID]=B441,[1]!Table13[QTY]))</f>
        <v>#ERROR!</v>
      </c>
      <c r="J441" s="53" t="str">
        <f>TABLEITEM!$H$3:$H$1138-TABLEITEM!$I$3:$I$1138</f>
        <v>#ERROR!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hidden="1" customHeight="1">
      <c r="A442" s="47">
        <v>441.0</v>
      </c>
      <c r="B442" s="2" t="s">
        <v>3281</v>
      </c>
      <c r="C442" s="2" t="s">
        <v>2595</v>
      </c>
      <c r="D442" s="2" t="s">
        <v>3282</v>
      </c>
      <c r="E442" s="51"/>
      <c r="F442" s="47"/>
      <c r="G442" s="52">
        <f t="array" ref="G442">MAX(IF(INSTOCK!$H$2:$H$2025=B442,INSTOCK!$K$2:$K$2025))</f>
        <v>0</v>
      </c>
      <c r="H442" s="53">
        <f>SUM(IF(INSTOCK!$H$2:$H$2025=B442,INSTOCK!$I$2:$I$2025))</f>
        <v>0</v>
      </c>
      <c r="I442" s="53" t="str">
        <f>SUM(IF([1]!Table13[ID]=B442,[1]!Table13[QTY]))</f>
        <v>#ERROR!</v>
      </c>
      <c r="J442" s="53" t="str">
        <f>TABLEITEM!$H$3:$H$1138-TABLEITEM!$I$3:$I$1138</f>
        <v>#ERROR!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hidden="1" customHeight="1">
      <c r="A443" s="47">
        <v>442.0</v>
      </c>
      <c r="B443" s="2" t="s">
        <v>3283</v>
      </c>
      <c r="C443" s="2" t="s">
        <v>2595</v>
      </c>
      <c r="D443" s="2" t="s">
        <v>3284</v>
      </c>
      <c r="E443" s="51"/>
      <c r="F443" s="47"/>
      <c r="G443" s="52">
        <f t="array" ref="G443">MAX(IF(INSTOCK!$H$2:$H$2025=B443,INSTOCK!$K$2:$K$2025))</f>
        <v>0</v>
      </c>
      <c r="H443" s="53">
        <f>SUM(IF(INSTOCK!$H$2:$H$2025=B443,INSTOCK!$I$2:$I$2025))</f>
        <v>0</v>
      </c>
      <c r="I443" s="53" t="str">
        <f>SUM(IF([1]!Table13[ID]=B443,[1]!Table13[QTY]))</f>
        <v>#ERROR!</v>
      </c>
      <c r="J443" s="53" t="str">
        <f>TABLEITEM!$H$3:$H$1138-TABLEITEM!$I$3:$I$1138</f>
        <v>#ERROR!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hidden="1" customHeight="1">
      <c r="A444" s="47">
        <v>443.0</v>
      </c>
      <c r="B444" s="2" t="s">
        <v>3285</v>
      </c>
      <c r="C444" s="2" t="s">
        <v>2595</v>
      </c>
      <c r="D444" s="2" t="s">
        <v>3286</v>
      </c>
      <c r="E444" s="51"/>
      <c r="F444" s="47"/>
      <c r="G444" s="52">
        <f t="array" ref="G444">MAX(IF(INSTOCK!$H$2:$H$2025=B444,INSTOCK!$K$2:$K$2025))</f>
        <v>0</v>
      </c>
      <c r="H444" s="53">
        <f>SUM(IF(INSTOCK!$H$2:$H$2025=B444,INSTOCK!$I$2:$I$2025))</f>
        <v>0</v>
      </c>
      <c r="I444" s="53" t="str">
        <f>SUM(IF([1]!Table13[ID]=B444,[1]!Table13[QTY]))</f>
        <v>#ERROR!</v>
      </c>
      <c r="J444" s="53" t="str">
        <f>TABLEITEM!$H$3:$H$1138-TABLEITEM!$I$3:$I$1138</f>
        <v>#ERROR!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hidden="1" customHeight="1">
      <c r="A445" s="47">
        <v>444.0</v>
      </c>
      <c r="B445" s="2" t="s">
        <v>3287</v>
      </c>
      <c r="C445" s="2" t="s">
        <v>2595</v>
      </c>
      <c r="D445" s="2" t="s">
        <v>3288</v>
      </c>
      <c r="E445" s="51"/>
      <c r="F445" s="47"/>
      <c r="G445" s="52">
        <f t="array" ref="G445">MAX(IF(INSTOCK!$H$2:$H$2025=B445,INSTOCK!$K$2:$K$2025))</f>
        <v>0</v>
      </c>
      <c r="H445" s="53">
        <f>SUM(IF(INSTOCK!$H$2:$H$2025=B445,INSTOCK!$I$2:$I$2025))</f>
        <v>0</v>
      </c>
      <c r="I445" s="53" t="str">
        <f>SUM(IF([1]!Table13[ID]=B445,[1]!Table13[QTY]))</f>
        <v>#ERROR!</v>
      </c>
      <c r="J445" s="53" t="str">
        <f>TABLEITEM!$H$3:$H$1138-TABLEITEM!$I$3:$I$1138</f>
        <v>#ERROR!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hidden="1" customHeight="1">
      <c r="A446" s="47">
        <v>445.0</v>
      </c>
      <c r="B446" s="2" t="s">
        <v>578</v>
      </c>
      <c r="C446" s="2" t="s">
        <v>2595</v>
      </c>
      <c r="D446" s="2" t="s">
        <v>3289</v>
      </c>
      <c r="E446" s="51"/>
      <c r="F446" s="47"/>
      <c r="G446" s="52">
        <f t="array" ref="G446">MAX(IF(INSTOCK!$H$2:$H$2025=B446,INSTOCK!$K$2:$K$2025))</f>
        <v>0</v>
      </c>
      <c r="H446" s="53">
        <f>SUM(IF(INSTOCK!$H$2:$H$2025=B446,INSTOCK!$I$2:$I$2025))</f>
        <v>0</v>
      </c>
      <c r="I446" s="53" t="str">
        <f>SUM(IF([1]!Table13[ID]=B446,[1]!Table13[QTY]))</f>
        <v>#ERROR!</v>
      </c>
      <c r="J446" s="53" t="str">
        <f>TABLEITEM!$H$3:$H$1138-TABLEITEM!$I$3:$I$1138</f>
        <v>#ERROR!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hidden="1" customHeight="1">
      <c r="A447" s="47">
        <v>446.0</v>
      </c>
      <c r="B447" s="2" t="s">
        <v>3290</v>
      </c>
      <c r="C447" s="2" t="s">
        <v>2595</v>
      </c>
      <c r="D447" s="2" t="s">
        <v>3291</v>
      </c>
      <c r="E447" s="51"/>
      <c r="F447" s="47"/>
      <c r="G447" s="52">
        <f t="array" ref="G447">MAX(IF(INSTOCK!$H$2:$H$2025=B447,INSTOCK!$K$2:$K$2025))</f>
        <v>0</v>
      </c>
      <c r="H447" s="53">
        <f>SUM(IF(INSTOCK!$H$2:$H$2025=B447,INSTOCK!$I$2:$I$2025))</f>
        <v>0</v>
      </c>
      <c r="I447" s="53" t="str">
        <f>SUM(IF([1]!Table13[ID]=B447,[1]!Table13[QTY]))</f>
        <v>#ERROR!</v>
      </c>
      <c r="J447" s="53" t="str">
        <f>TABLEITEM!$H$3:$H$1138-TABLEITEM!$I$3:$I$1138</f>
        <v>#ERROR!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hidden="1" customHeight="1">
      <c r="A448" s="47">
        <v>447.0</v>
      </c>
      <c r="B448" s="2" t="s">
        <v>3292</v>
      </c>
      <c r="C448" s="2" t="s">
        <v>2595</v>
      </c>
      <c r="D448" s="2" t="s">
        <v>3293</v>
      </c>
      <c r="E448" s="51"/>
      <c r="F448" s="47"/>
      <c r="G448" s="52">
        <f t="array" ref="G448">MAX(IF(INSTOCK!$H$2:$H$2025=B448,INSTOCK!$K$2:$K$2025))</f>
        <v>0</v>
      </c>
      <c r="H448" s="53">
        <f>SUM(IF(INSTOCK!$H$2:$H$2025=B448,INSTOCK!$I$2:$I$2025))</f>
        <v>0</v>
      </c>
      <c r="I448" s="53" t="str">
        <f>SUM(IF([1]!Table13[ID]=B448,[1]!Table13[QTY]))</f>
        <v>#ERROR!</v>
      </c>
      <c r="J448" s="53" t="str">
        <f>TABLEITEM!$H$3:$H$1138-TABLEITEM!$I$3:$I$1138</f>
        <v>#ERROR!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hidden="1" customHeight="1">
      <c r="A449" s="47">
        <v>448.0</v>
      </c>
      <c r="B449" s="2" t="s">
        <v>3294</v>
      </c>
      <c r="C449" s="2" t="s">
        <v>2595</v>
      </c>
      <c r="D449" s="2" t="s">
        <v>3295</v>
      </c>
      <c r="E449" s="51"/>
      <c r="F449" s="47"/>
      <c r="G449" s="52">
        <f t="array" ref="G449">MAX(IF(INSTOCK!$H$2:$H$2025=B449,INSTOCK!$K$2:$K$2025))</f>
        <v>0</v>
      </c>
      <c r="H449" s="53">
        <f>SUM(IF(INSTOCK!$H$2:$H$2025=B449,INSTOCK!$I$2:$I$2025))</f>
        <v>0</v>
      </c>
      <c r="I449" s="53" t="str">
        <f>SUM(IF([1]!Table13[ID]=B449,[1]!Table13[QTY]))</f>
        <v>#ERROR!</v>
      </c>
      <c r="J449" s="53" t="str">
        <f>TABLEITEM!$H$3:$H$1138-TABLEITEM!$I$3:$I$1138</f>
        <v>#ERROR!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hidden="1" customHeight="1">
      <c r="A450" s="47">
        <v>449.0</v>
      </c>
      <c r="B450" s="2" t="s">
        <v>3296</v>
      </c>
      <c r="C450" s="2" t="s">
        <v>2595</v>
      </c>
      <c r="D450" s="2" t="s">
        <v>3297</v>
      </c>
      <c r="E450" s="51"/>
      <c r="F450" s="47"/>
      <c r="G450" s="52">
        <f t="array" ref="G450">MAX(IF(INSTOCK!$H$2:$H$2025=B450,INSTOCK!$K$2:$K$2025))</f>
        <v>0</v>
      </c>
      <c r="H450" s="53">
        <f>SUM(IF(INSTOCK!$H$2:$H$2025=B450,INSTOCK!$I$2:$I$2025))</f>
        <v>0</v>
      </c>
      <c r="I450" s="53" t="str">
        <f>SUM(IF([1]!Table13[ID]=B450,[1]!Table13[QTY]))</f>
        <v>#ERROR!</v>
      </c>
      <c r="J450" s="53" t="str">
        <f>TABLEITEM!$H$3:$H$1138-TABLEITEM!$I$3:$I$1138</f>
        <v>#ERROR!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hidden="1" customHeight="1">
      <c r="A451" s="47">
        <v>450.0</v>
      </c>
      <c r="B451" s="2" t="s">
        <v>1294</v>
      </c>
      <c r="C451" s="2" t="s">
        <v>2595</v>
      </c>
      <c r="D451" s="2" t="s">
        <v>3298</v>
      </c>
      <c r="E451" s="51"/>
      <c r="F451" s="47"/>
      <c r="G451" s="52">
        <f t="array" ref="G451">MAX(IF(INSTOCK!$H$2:$H$2025=B451,INSTOCK!$K$2:$K$2025))</f>
        <v>0</v>
      </c>
      <c r="H451" s="53">
        <f>SUM(IF(INSTOCK!$H$2:$H$2025=B451,INSTOCK!$I$2:$I$2025))</f>
        <v>0</v>
      </c>
      <c r="I451" s="53" t="str">
        <f>SUM(IF([1]!Table13[ID]=B451,[1]!Table13[QTY]))</f>
        <v>#ERROR!</v>
      </c>
      <c r="J451" s="53" t="str">
        <f>TABLEITEM!$H$3:$H$1138-TABLEITEM!$I$3:$I$1138</f>
        <v>#ERROR!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hidden="1" customHeight="1">
      <c r="A452" s="47">
        <v>451.0</v>
      </c>
      <c r="B452" s="2" t="s">
        <v>3299</v>
      </c>
      <c r="C452" s="2" t="s">
        <v>2595</v>
      </c>
      <c r="D452" s="2" t="s">
        <v>3300</v>
      </c>
      <c r="E452" s="51"/>
      <c r="F452" s="47"/>
      <c r="G452" s="52">
        <f t="array" ref="G452">MAX(IF(INSTOCK!$H$2:$H$2025=B452,INSTOCK!$K$2:$K$2025))</f>
        <v>0</v>
      </c>
      <c r="H452" s="53">
        <f>SUM(IF(INSTOCK!$H$2:$H$2025=B452,INSTOCK!$I$2:$I$2025))</f>
        <v>0</v>
      </c>
      <c r="I452" s="53" t="str">
        <f>SUM(IF([1]!Table13[ID]=B452,[1]!Table13[QTY]))</f>
        <v>#ERROR!</v>
      </c>
      <c r="J452" s="53" t="str">
        <f>TABLEITEM!$H$3:$H$1138-TABLEITEM!$I$3:$I$1138</f>
        <v>#ERROR!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hidden="1" customHeight="1">
      <c r="A453" s="47">
        <v>452.0</v>
      </c>
      <c r="B453" s="2" t="s">
        <v>3301</v>
      </c>
      <c r="C453" s="2" t="s">
        <v>2595</v>
      </c>
      <c r="D453" s="2" t="s">
        <v>3302</v>
      </c>
      <c r="E453" s="51"/>
      <c r="F453" s="47"/>
      <c r="G453" s="52">
        <f t="array" ref="G453">MAX(IF(INSTOCK!$H$2:$H$2025=B453,INSTOCK!$K$2:$K$2025))</f>
        <v>0</v>
      </c>
      <c r="H453" s="53">
        <f>SUM(IF(INSTOCK!$H$2:$H$2025=B453,INSTOCK!$I$2:$I$2025))</f>
        <v>0</v>
      </c>
      <c r="I453" s="53" t="str">
        <f>SUM(IF([1]!Table13[ID]=B453,[1]!Table13[QTY]))</f>
        <v>#ERROR!</v>
      </c>
      <c r="J453" s="53" t="str">
        <f>TABLEITEM!$H$3:$H$1138-TABLEITEM!$I$3:$I$1138</f>
        <v>#ERROR!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hidden="1" customHeight="1">
      <c r="A454" s="47">
        <v>453.0</v>
      </c>
      <c r="B454" s="2" t="s">
        <v>3303</v>
      </c>
      <c r="C454" s="2" t="s">
        <v>2595</v>
      </c>
      <c r="D454" s="2" t="s">
        <v>3304</v>
      </c>
      <c r="E454" s="51"/>
      <c r="F454" s="47"/>
      <c r="G454" s="52">
        <f t="array" ref="G454">MAX(IF(INSTOCK!$H$2:$H$2025=B454,INSTOCK!$K$2:$K$2025))</f>
        <v>0</v>
      </c>
      <c r="H454" s="53">
        <f>SUM(IF(INSTOCK!$H$2:$H$2025=B454,INSTOCK!$I$2:$I$2025))</f>
        <v>0</v>
      </c>
      <c r="I454" s="53" t="str">
        <f>SUM(IF([1]!Table13[ID]=B454,[1]!Table13[QTY]))</f>
        <v>#ERROR!</v>
      </c>
      <c r="J454" s="53" t="str">
        <f>TABLEITEM!$H$3:$H$1138-TABLEITEM!$I$3:$I$1138</f>
        <v>#ERROR!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hidden="1" customHeight="1">
      <c r="A455" s="47">
        <v>454.0</v>
      </c>
      <c r="B455" s="2" t="s">
        <v>3305</v>
      </c>
      <c r="C455" s="2" t="s">
        <v>2595</v>
      </c>
      <c r="D455" s="2" t="s">
        <v>3306</v>
      </c>
      <c r="E455" s="51"/>
      <c r="F455" s="47"/>
      <c r="G455" s="52">
        <f t="array" ref="G455">MAX(IF(INSTOCK!$H$2:$H$2025=B455,INSTOCK!$K$2:$K$2025))</f>
        <v>0</v>
      </c>
      <c r="H455" s="53">
        <f>SUM(IF(INSTOCK!$H$2:$H$2025=B455,INSTOCK!$I$2:$I$2025))</f>
        <v>0</v>
      </c>
      <c r="I455" s="53" t="str">
        <f>SUM(IF([1]!Table13[ID]=B455,[1]!Table13[QTY]))</f>
        <v>#ERROR!</v>
      </c>
      <c r="J455" s="53" t="str">
        <f>TABLEITEM!$H$3:$H$1138-TABLEITEM!$I$3:$I$1138</f>
        <v>#ERROR!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hidden="1" customHeight="1">
      <c r="A456" s="47">
        <v>455.0</v>
      </c>
      <c r="B456" s="2" t="s">
        <v>2504</v>
      </c>
      <c r="C456" s="2" t="s">
        <v>2595</v>
      </c>
      <c r="D456" s="2" t="s">
        <v>3307</v>
      </c>
      <c r="E456" s="51"/>
      <c r="F456" s="47"/>
      <c r="G456" s="52">
        <f t="array" ref="G456">MAX(IF(INSTOCK!$H$2:$H$2025=B456,INSTOCK!$K$2:$K$2025))</f>
        <v>0</v>
      </c>
      <c r="H456" s="53">
        <f>SUM(IF(INSTOCK!$H$2:$H$2025=B456,INSTOCK!$I$2:$I$2025))</f>
        <v>0</v>
      </c>
      <c r="I456" s="53" t="str">
        <f>SUM(IF([1]!Table13[ID]=B456,[1]!Table13[QTY]))</f>
        <v>#ERROR!</v>
      </c>
      <c r="J456" s="53" t="str">
        <f>TABLEITEM!$H$3:$H$1138-TABLEITEM!$I$3:$I$1138</f>
        <v>#ERROR!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hidden="1" customHeight="1">
      <c r="A457" s="47">
        <v>456.0</v>
      </c>
      <c r="B457" s="2" t="s">
        <v>3308</v>
      </c>
      <c r="C457" s="2" t="s">
        <v>2595</v>
      </c>
      <c r="D457" s="2" t="s">
        <v>3309</v>
      </c>
      <c r="E457" s="51"/>
      <c r="F457" s="47"/>
      <c r="G457" s="52">
        <f t="array" ref="G457">MAX(IF(INSTOCK!$H$2:$H$2025=B457,INSTOCK!$K$2:$K$2025))</f>
        <v>0</v>
      </c>
      <c r="H457" s="53">
        <f>SUM(IF(INSTOCK!$H$2:$H$2025=B457,INSTOCK!$I$2:$I$2025))</f>
        <v>0</v>
      </c>
      <c r="I457" s="53" t="str">
        <f>SUM(IF([1]!Table13[ID]=B457,[1]!Table13[QTY]))</f>
        <v>#ERROR!</v>
      </c>
      <c r="J457" s="53" t="str">
        <f>TABLEITEM!$H$3:$H$1138-TABLEITEM!$I$3:$I$1138</f>
        <v>#ERROR!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hidden="1" customHeight="1">
      <c r="A458" s="47">
        <v>457.0</v>
      </c>
      <c r="B458" s="2" t="s">
        <v>3310</v>
      </c>
      <c r="C458" s="2" t="s">
        <v>2595</v>
      </c>
      <c r="D458" s="2" t="s">
        <v>3311</v>
      </c>
      <c r="E458" s="51"/>
      <c r="F458" s="47"/>
      <c r="G458" s="52">
        <f t="array" ref="G458">MAX(IF(INSTOCK!$H$2:$H$2025=B458,INSTOCK!$K$2:$K$2025))</f>
        <v>0</v>
      </c>
      <c r="H458" s="53">
        <f>SUM(IF(INSTOCK!$H$2:$H$2025=B458,INSTOCK!$I$2:$I$2025))</f>
        <v>0</v>
      </c>
      <c r="I458" s="53" t="str">
        <f>SUM(IF([1]!Table13[ID]=B458,[1]!Table13[QTY]))</f>
        <v>#ERROR!</v>
      </c>
      <c r="J458" s="53" t="str">
        <f>TABLEITEM!$H$3:$H$1138-TABLEITEM!$I$3:$I$1138</f>
        <v>#ERROR!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hidden="1" customHeight="1">
      <c r="A459" s="47">
        <v>458.0</v>
      </c>
      <c r="B459" s="2" t="s">
        <v>3312</v>
      </c>
      <c r="C459" s="2" t="s">
        <v>2595</v>
      </c>
      <c r="D459" s="2" t="s">
        <v>3313</v>
      </c>
      <c r="E459" s="51"/>
      <c r="F459" s="47"/>
      <c r="G459" s="52">
        <f t="array" ref="G459">MAX(IF(INSTOCK!$H$2:$H$2025=B459,INSTOCK!$K$2:$K$2025))</f>
        <v>0</v>
      </c>
      <c r="H459" s="53">
        <f>SUM(IF(INSTOCK!$H$2:$H$2025=B459,INSTOCK!$I$2:$I$2025))</f>
        <v>0</v>
      </c>
      <c r="I459" s="53" t="str">
        <f>SUM(IF([1]!Table13[ID]=B459,[1]!Table13[QTY]))</f>
        <v>#ERROR!</v>
      </c>
      <c r="J459" s="53" t="str">
        <f>TABLEITEM!$H$3:$H$1138-TABLEITEM!$I$3:$I$1138</f>
        <v>#ERROR!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hidden="1" customHeight="1">
      <c r="A460" s="47">
        <v>459.0</v>
      </c>
      <c r="B460" s="2" t="s">
        <v>3314</v>
      </c>
      <c r="C460" s="2" t="s">
        <v>2595</v>
      </c>
      <c r="D460" s="2" t="s">
        <v>3315</v>
      </c>
      <c r="E460" s="51"/>
      <c r="F460" s="47"/>
      <c r="G460" s="52">
        <f t="array" ref="G460">MAX(IF(INSTOCK!$H$2:$H$2025=B460,INSTOCK!$K$2:$K$2025))</f>
        <v>0</v>
      </c>
      <c r="H460" s="53">
        <f>SUM(IF(INSTOCK!$H$2:$H$2025=B460,INSTOCK!$I$2:$I$2025))</f>
        <v>0</v>
      </c>
      <c r="I460" s="53" t="str">
        <f>SUM(IF([1]!Table13[ID]=B460,[1]!Table13[QTY]))</f>
        <v>#ERROR!</v>
      </c>
      <c r="J460" s="53" t="str">
        <f>TABLEITEM!$H$3:$H$1138-TABLEITEM!$I$3:$I$1138</f>
        <v>#ERROR!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hidden="1" customHeight="1">
      <c r="A461" s="47">
        <v>460.0</v>
      </c>
      <c r="B461" s="2" t="s">
        <v>3316</v>
      </c>
      <c r="C461" s="2" t="s">
        <v>2595</v>
      </c>
      <c r="D461" s="2" t="s">
        <v>3317</v>
      </c>
      <c r="E461" s="51"/>
      <c r="F461" s="47"/>
      <c r="G461" s="52">
        <f t="array" ref="G461">MAX(IF(INSTOCK!$H$2:$H$2025=B461,INSTOCK!$K$2:$K$2025))</f>
        <v>0</v>
      </c>
      <c r="H461" s="53">
        <f>SUM(IF(INSTOCK!$H$2:$H$2025=B461,INSTOCK!$I$2:$I$2025))</f>
        <v>0</v>
      </c>
      <c r="I461" s="53" t="str">
        <f>SUM(IF([1]!Table13[ID]=B461,[1]!Table13[QTY]))</f>
        <v>#ERROR!</v>
      </c>
      <c r="J461" s="53" t="str">
        <f>TABLEITEM!$H$3:$H$1138-TABLEITEM!$I$3:$I$1138</f>
        <v>#ERROR!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hidden="1" customHeight="1">
      <c r="A462" s="47">
        <v>461.0</v>
      </c>
      <c r="B462" s="2" t="s">
        <v>3318</v>
      </c>
      <c r="C462" s="2" t="s">
        <v>2595</v>
      </c>
      <c r="D462" s="2" t="s">
        <v>3319</v>
      </c>
      <c r="E462" s="51"/>
      <c r="F462" s="47"/>
      <c r="G462" s="52">
        <f t="array" ref="G462">MAX(IF(INSTOCK!$H$2:$H$2025=B462,INSTOCK!$K$2:$K$2025))</f>
        <v>0</v>
      </c>
      <c r="H462" s="53">
        <f>SUM(IF(INSTOCK!$H$2:$H$2025=B462,INSTOCK!$I$2:$I$2025))</f>
        <v>0</v>
      </c>
      <c r="I462" s="53" t="str">
        <f>SUM(IF([1]!Table13[ID]=B462,[1]!Table13[QTY]))</f>
        <v>#ERROR!</v>
      </c>
      <c r="J462" s="53" t="str">
        <f>TABLEITEM!$H$3:$H$1138-TABLEITEM!$I$3:$I$1138</f>
        <v>#ERROR!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hidden="1" customHeight="1">
      <c r="A463" s="47">
        <v>462.0</v>
      </c>
      <c r="B463" s="2" t="s">
        <v>3320</v>
      </c>
      <c r="C463" s="2" t="s">
        <v>2595</v>
      </c>
      <c r="D463" s="2" t="s">
        <v>3321</v>
      </c>
      <c r="E463" s="51"/>
      <c r="F463" s="47"/>
      <c r="G463" s="52">
        <f t="array" ref="G463">MAX(IF(INSTOCK!$H$2:$H$2025=B463,INSTOCK!$K$2:$K$2025))</f>
        <v>0</v>
      </c>
      <c r="H463" s="53">
        <f>SUM(IF(INSTOCK!$H$2:$H$2025=B463,INSTOCK!$I$2:$I$2025))</f>
        <v>0</v>
      </c>
      <c r="I463" s="53" t="str">
        <f>SUM(IF([1]!Table13[ID]=B463,[1]!Table13[QTY]))</f>
        <v>#ERROR!</v>
      </c>
      <c r="J463" s="53" t="str">
        <f>TABLEITEM!$H$3:$H$1138-TABLEITEM!$I$3:$I$1138</f>
        <v>#ERROR!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hidden="1" customHeight="1">
      <c r="A464" s="47">
        <v>463.0</v>
      </c>
      <c r="B464" s="2" t="s">
        <v>3322</v>
      </c>
      <c r="C464" s="2" t="s">
        <v>2595</v>
      </c>
      <c r="D464" s="2" t="s">
        <v>3323</v>
      </c>
      <c r="E464" s="51"/>
      <c r="F464" s="47"/>
      <c r="G464" s="52">
        <f t="array" ref="G464">MAX(IF(INSTOCK!$H$2:$H$2025=B464,INSTOCK!$K$2:$K$2025))</f>
        <v>0</v>
      </c>
      <c r="H464" s="53">
        <f>SUM(IF(INSTOCK!$H$2:$H$2025=B464,INSTOCK!$I$2:$I$2025))</f>
        <v>0</v>
      </c>
      <c r="I464" s="53" t="str">
        <f>SUM(IF([1]!Table13[ID]=B464,[1]!Table13[QTY]))</f>
        <v>#ERROR!</v>
      </c>
      <c r="J464" s="53" t="str">
        <f>TABLEITEM!$H$3:$H$1138-TABLEITEM!$I$3:$I$1138</f>
        <v>#ERROR!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hidden="1" customHeight="1">
      <c r="A465" s="47">
        <v>464.0</v>
      </c>
      <c r="B465" s="2" t="s">
        <v>1274</v>
      </c>
      <c r="C465" s="2" t="s">
        <v>2595</v>
      </c>
      <c r="D465" s="2" t="s">
        <v>3324</v>
      </c>
      <c r="E465" s="51"/>
      <c r="F465" s="47"/>
      <c r="G465" s="52">
        <f t="array" ref="G465">MAX(IF(INSTOCK!$H$2:$H$2025=B465,INSTOCK!$K$2:$K$2025))</f>
        <v>0</v>
      </c>
      <c r="H465" s="53">
        <f>SUM(IF(INSTOCK!$H$2:$H$2025=B465,INSTOCK!$I$2:$I$2025))</f>
        <v>0</v>
      </c>
      <c r="I465" s="53" t="str">
        <f>SUM(IF([1]!Table13[ID]=B465,[1]!Table13[QTY]))</f>
        <v>#ERROR!</v>
      </c>
      <c r="J465" s="53" t="str">
        <f>TABLEITEM!$H$3:$H$1138-TABLEITEM!$I$3:$I$1138</f>
        <v>#ERROR!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hidden="1" customHeight="1">
      <c r="A466" s="47">
        <v>465.0</v>
      </c>
      <c r="B466" s="2" t="s">
        <v>3325</v>
      </c>
      <c r="C466" s="2" t="s">
        <v>2595</v>
      </c>
      <c r="D466" s="2" t="s">
        <v>3326</v>
      </c>
      <c r="E466" s="51"/>
      <c r="F466" s="47"/>
      <c r="G466" s="52">
        <f t="array" ref="G466">MAX(IF(INSTOCK!$H$2:$H$2025=B466,INSTOCK!$K$2:$K$2025))</f>
        <v>0</v>
      </c>
      <c r="H466" s="53">
        <f>SUM(IF(INSTOCK!$H$2:$H$2025=B466,INSTOCK!$I$2:$I$2025))</f>
        <v>0</v>
      </c>
      <c r="I466" s="53" t="str">
        <f>SUM(IF([1]!Table13[ID]=B466,[1]!Table13[QTY]))</f>
        <v>#ERROR!</v>
      </c>
      <c r="J466" s="53" t="str">
        <f>TABLEITEM!$H$3:$H$1138-TABLEITEM!$I$3:$I$1138</f>
        <v>#ERROR!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hidden="1" customHeight="1">
      <c r="A467" s="47">
        <v>466.0</v>
      </c>
      <c r="B467" s="2" t="s">
        <v>3327</v>
      </c>
      <c r="C467" s="2" t="s">
        <v>2595</v>
      </c>
      <c r="D467" s="2" t="s">
        <v>3328</v>
      </c>
      <c r="E467" s="51"/>
      <c r="F467" s="47"/>
      <c r="G467" s="52">
        <f t="array" ref="G467">MAX(IF(INSTOCK!$H$2:$H$2025=B467,INSTOCK!$K$2:$K$2025))</f>
        <v>0</v>
      </c>
      <c r="H467" s="53">
        <f>SUM(IF(INSTOCK!$H$2:$H$2025=B467,INSTOCK!$I$2:$I$2025))</f>
        <v>0</v>
      </c>
      <c r="I467" s="53" t="str">
        <f>SUM(IF([1]!Table13[ID]=B467,[1]!Table13[QTY]))</f>
        <v>#ERROR!</v>
      </c>
      <c r="J467" s="53" t="str">
        <f>TABLEITEM!$H$3:$H$1138-TABLEITEM!$I$3:$I$1138</f>
        <v>#ERROR!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hidden="1" customHeight="1">
      <c r="A468" s="47">
        <v>467.0</v>
      </c>
      <c r="B468" s="2" t="s">
        <v>3329</v>
      </c>
      <c r="C468" s="2" t="s">
        <v>2595</v>
      </c>
      <c r="D468" s="2" t="s">
        <v>3330</v>
      </c>
      <c r="E468" s="51"/>
      <c r="F468" s="47"/>
      <c r="G468" s="52">
        <f t="array" ref="G468">MAX(IF(INSTOCK!$H$2:$H$2025=B468,INSTOCK!$K$2:$K$2025))</f>
        <v>0</v>
      </c>
      <c r="H468" s="53">
        <f>SUM(IF(INSTOCK!$H$2:$H$2025=B468,INSTOCK!$I$2:$I$2025))</f>
        <v>0</v>
      </c>
      <c r="I468" s="53" t="str">
        <f>SUM(IF([1]!Table13[ID]=B468,[1]!Table13[QTY]))</f>
        <v>#ERROR!</v>
      </c>
      <c r="J468" s="53" t="str">
        <f>TABLEITEM!$H$3:$H$1138-TABLEITEM!$I$3:$I$1138</f>
        <v>#ERROR!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hidden="1" customHeight="1">
      <c r="A469" s="47">
        <v>468.0</v>
      </c>
      <c r="B469" s="2" t="s">
        <v>3331</v>
      </c>
      <c r="C469" s="2" t="s">
        <v>2595</v>
      </c>
      <c r="D469" s="2" t="s">
        <v>3332</v>
      </c>
      <c r="E469" s="51"/>
      <c r="F469" s="47"/>
      <c r="G469" s="52">
        <f t="array" ref="G469">MAX(IF(INSTOCK!$H$2:$H$2025=B469,INSTOCK!$K$2:$K$2025))</f>
        <v>0</v>
      </c>
      <c r="H469" s="53">
        <f>SUM(IF(INSTOCK!$H$2:$H$2025=B469,INSTOCK!$I$2:$I$2025))</f>
        <v>0</v>
      </c>
      <c r="I469" s="53" t="str">
        <f>SUM(IF([1]!Table13[ID]=B469,[1]!Table13[QTY]))</f>
        <v>#ERROR!</v>
      </c>
      <c r="J469" s="53" t="str">
        <f>TABLEITEM!$H$3:$H$1138-TABLEITEM!$I$3:$I$1138</f>
        <v>#ERROR!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hidden="1" customHeight="1">
      <c r="A470" s="47">
        <v>469.0</v>
      </c>
      <c r="B470" s="2" t="s">
        <v>3333</v>
      </c>
      <c r="C470" s="2" t="s">
        <v>2595</v>
      </c>
      <c r="D470" s="2" t="s">
        <v>3334</v>
      </c>
      <c r="E470" s="51"/>
      <c r="F470" s="47"/>
      <c r="G470" s="52">
        <f t="array" ref="G470">MAX(IF(INSTOCK!$H$2:$H$2025=B470,INSTOCK!$K$2:$K$2025))</f>
        <v>0</v>
      </c>
      <c r="H470" s="53">
        <f>SUM(IF(INSTOCK!$H$2:$H$2025=B470,INSTOCK!$I$2:$I$2025))</f>
        <v>0</v>
      </c>
      <c r="I470" s="53" t="str">
        <f>SUM(IF([1]!Table13[ID]=B470,[1]!Table13[QTY]))</f>
        <v>#ERROR!</v>
      </c>
      <c r="J470" s="53" t="str">
        <f>TABLEITEM!$H$3:$H$1138-TABLEITEM!$I$3:$I$1138</f>
        <v>#ERROR!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hidden="1" customHeight="1">
      <c r="A471" s="47">
        <v>470.0</v>
      </c>
      <c r="B471" s="2" t="s">
        <v>3335</v>
      </c>
      <c r="C471" s="2" t="s">
        <v>2595</v>
      </c>
      <c r="D471" s="2" t="s">
        <v>3336</v>
      </c>
      <c r="E471" s="51"/>
      <c r="F471" s="47"/>
      <c r="G471" s="52">
        <f t="array" ref="G471">MAX(IF(INSTOCK!$H$2:$H$2025=B471,INSTOCK!$K$2:$K$2025))</f>
        <v>0</v>
      </c>
      <c r="H471" s="53">
        <f>SUM(IF(INSTOCK!$H$2:$H$2025=B471,INSTOCK!$I$2:$I$2025))</f>
        <v>0</v>
      </c>
      <c r="I471" s="53" t="str">
        <f>SUM(IF([1]!Table13[ID]=B471,[1]!Table13[QTY]))</f>
        <v>#ERROR!</v>
      </c>
      <c r="J471" s="53" t="str">
        <f>TABLEITEM!$H$3:$H$1138-TABLEITEM!$I$3:$I$1138</f>
        <v>#ERROR!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hidden="1" customHeight="1">
      <c r="A472" s="47">
        <v>471.0</v>
      </c>
      <c r="B472" s="2" t="s">
        <v>3337</v>
      </c>
      <c r="C472" s="2" t="s">
        <v>2595</v>
      </c>
      <c r="D472" s="2" t="s">
        <v>3338</v>
      </c>
      <c r="E472" s="51"/>
      <c r="F472" s="47"/>
      <c r="G472" s="52">
        <f t="array" ref="G472">MAX(IF(INSTOCK!$H$2:$H$2025=B472,INSTOCK!$K$2:$K$2025))</f>
        <v>0</v>
      </c>
      <c r="H472" s="53">
        <f>SUM(IF(INSTOCK!$H$2:$H$2025=B472,INSTOCK!$I$2:$I$2025))</f>
        <v>0</v>
      </c>
      <c r="I472" s="53" t="str">
        <f>SUM(IF([1]!Table13[ID]=B472,[1]!Table13[QTY]))</f>
        <v>#ERROR!</v>
      </c>
      <c r="J472" s="53" t="str">
        <f>TABLEITEM!$H$3:$H$1138-TABLEITEM!$I$3:$I$1138</f>
        <v>#ERROR!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hidden="1" customHeight="1">
      <c r="A473" s="47">
        <v>472.0</v>
      </c>
      <c r="B473" s="2" t="s">
        <v>521</v>
      </c>
      <c r="C473" s="2" t="s">
        <v>2595</v>
      </c>
      <c r="D473" s="2" t="s">
        <v>3339</v>
      </c>
      <c r="E473" s="51"/>
      <c r="F473" s="47"/>
      <c r="G473" s="52">
        <f t="array" ref="G473">MAX(IF(INSTOCK!$H$2:$H$2025=B473,INSTOCK!$K$2:$K$2025))</f>
        <v>0</v>
      </c>
      <c r="H473" s="53">
        <f>SUM(IF(INSTOCK!$H$2:$H$2025=B473,INSTOCK!$I$2:$I$2025))</f>
        <v>0</v>
      </c>
      <c r="I473" s="53" t="str">
        <f>SUM(IF([1]!Table13[ID]=B473,[1]!Table13[QTY]))</f>
        <v>#ERROR!</v>
      </c>
      <c r="J473" s="53" t="str">
        <f>TABLEITEM!$H$3:$H$1138-TABLEITEM!$I$3:$I$1138</f>
        <v>#ERROR!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hidden="1" customHeight="1">
      <c r="A474" s="47">
        <v>473.0</v>
      </c>
      <c r="B474" s="2" t="s">
        <v>3340</v>
      </c>
      <c r="C474" s="2" t="s">
        <v>2595</v>
      </c>
      <c r="D474" s="2" t="s">
        <v>3341</v>
      </c>
      <c r="E474" s="51"/>
      <c r="F474" s="47"/>
      <c r="G474" s="52">
        <f t="array" ref="G474">MAX(IF(INSTOCK!$H$2:$H$2025=B474,INSTOCK!$K$2:$K$2025))</f>
        <v>0</v>
      </c>
      <c r="H474" s="53">
        <f>SUM(IF(INSTOCK!$H$2:$H$2025=B474,INSTOCK!$I$2:$I$2025))</f>
        <v>0</v>
      </c>
      <c r="I474" s="53" t="str">
        <f>SUM(IF([1]!Table13[ID]=B474,[1]!Table13[QTY]))</f>
        <v>#ERROR!</v>
      </c>
      <c r="J474" s="53" t="str">
        <f>TABLEITEM!$H$3:$H$1138-TABLEITEM!$I$3:$I$1138</f>
        <v>#ERROR!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hidden="1" customHeight="1">
      <c r="A475" s="47">
        <v>474.0</v>
      </c>
      <c r="B475" s="2" t="s">
        <v>3342</v>
      </c>
      <c r="C475" s="2" t="s">
        <v>2595</v>
      </c>
      <c r="D475" s="2" t="s">
        <v>3343</v>
      </c>
      <c r="E475" s="51"/>
      <c r="F475" s="47"/>
      <c r="G475" s="52">
        <f t="array" ref="G475">MAX(IF(INSTOCK!$H$2:$H$2025=B475,INSTOCK!$K$2:$K$2025))</f>
        <v>0</v>
      </c>
      <c r="H475" s="53">
        <f>SUM(IF(INSTOCK!$H$2:$H$2025=B475,INSTOCK!$I$2:$I$2025))</f>
        <v>0</v>
      </c>
      <c r="I475" s="53" t="str">
        <f>SUM(IF([1]!Table13[ID]=B475,[1]!Table13[QTY]))</f>
        <v>#ERROR!</v>
      </c>
      <c r="J475" s="53" t="str">
        <f>TABLEITEM!$H$3:$H$1138-TABLEITEM!$I$3:$I$1138</f>
        <v>#ERROR!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hidden="1" customHeight="1">
      <c r="A476" s="47">
        <v>475.0</v>
      </c>
      <c r="B476" s="2" t="s">
        <v>3344</v>
      </c>
      <c r="C476" s="2" t="s">
        <v>2595</v>
      </c>
      <c r="D476" s="2" t="s">
        <v>3345</v>
      </c>
      <c r="E476" s="51"/>
      <c r="F476" s="47"/>
      <c r="G476" s="52">
        <f t="array" ref="G476">MAX(IF(INSTOCK!$H$2:$H$2025=B476,INSTOCK!$K$2:$K$2025))</f>
        <v>0</v>
      </c>
      <c r="H476" s="53">
        <f>SUM(IF(INSTOCK!$H$2:$H$2025=B476,INSTOCK!$I$2:$I$2025))</f>
        <v>0</v>
      </c>
      <c r="I476" s="53" t="str">
        <f>SUM(IF([1]!Table13[ID]=B476,[1]!Table13[QTY]))</f>
        <v>#ERROR!</v>
      </c>
      <c r="J476" s="53" t="str">
        <f>TABLEITEM!$H$3:$H$1138-TABLEITEM!$I$3:$I$1138</f>
        <v>#ERROR!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hidden="1" customHeight="1">
      <c r="A477" s="47">
        <v>476.0</v>
      </c>
      <c r="B477" s="2" t="s">
        <v>3346</v>
      </c>
      <c r="C477" s="2" t="s">
        <v>2595</v>
      </c>
      <c r="D477" s="2" t="s">
        <v>3347</v>
      </c>
      <c r="E477" s="51"/>
      <c r="F477" s="47"/>
      <c r="G477" s="52">
        <f t="array" ref="G477">MAX(IF(INSTOCK!$H$2:$H$2025=B477,INSTOCK!$K$2:$K$2025))</f>
        <v>0</v>
      </c>
      <c r="H477" s="53">
        <f>SUM(IF(INSTOCK!$H$2:$H$2025=B477,INSTOCK!$I$2:$I$2025))</f>
        <v>0</v>
      </c>
      <c r="I477" s="53" t="str">
        <f>SUM(IF([1]!Table13[ID]=B477,[1]!Table13[QTY]))</f>
        <v>#ERROR!</v>
      </c>
      <c r="J477" s="53" t="str">
        <f>TABLEITEM!$H$3:$H$1138-TABLEITEM!$I$3:$I$1138</f>
        <v>#ERROR!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hidden="1" customHeight="1">
      <c r="A478" s="47">
        <v>477.0</v>
      </c>
      <c r="B478" s="2" t="s">
        <v>3348</v>
      </c>
      <c r="C478" s="2" t="s">
        <v>2595</v>
      </c>
      <c r="D478" s="2" t="s">
        <v>3349</v>
      </c>
      <c r="E478" s="51"/>
      <c r="F478" s="47"/>
      <c r="G478" s="52">
        <f t="array" ref="G478">MAX(IF(INSTOCK!$H$2:$H$2025=B478,INSTOCK!$K$2:$K$2025))</f>
        <v>0</v>
      </c>
      <c r="H478" s="53">
        <f>SUM(IF(INSTOCK!$H$2:$H$2025=B478,INSTOCK!$I$2:$I$2025))</f>
        <v>0</v>
      </c>
      <c r="I478" s="53" t="str">
        <f>SUM(IF([1]!Table13[ID]=B478,[1]!Table13[QTY]))</f>
        <v>#ERROR!</v>
      </c>
      <c r="J478" s="53" t="str">
        <f>TABLEITEM!$H$3:$H$1138-TABLEITEM!$I$3:$I$1138</f>
        <v>#ERROR!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hidden="1" customHeight="1">
      <c r="A479" s="47">
        <v>478.0</v>
      </c>
      <c r="B479" s="2" t="s">
        <v>3350</v>
      </c>
      <c r="C479" s="2" t="s">
        <v>2595</v>
      </c>
      <c r="D479" s="2" t="s">
        <v>3351</v>
      </c>
      <c r="E479" s="51"/>
      <c r="F479" s="47"/>
      <c r="G479" s="52">
        <f t="array" ref="G479">MAX(IF(INSTOCK!$H$2:$H$2025=B479,INSTOCK!$K$2:$K$2025))</f>
        <v>0</v>
      </c>
      <c r="H479" s="53">
        <f>SUM(IF(INSTOCK!$H$2:$H$2025=B479,INSTOCK!$I$2:$I$2025))</f>
        <v>0</v>
      </c>
      <c r="I479" s="53" t="str">
        <f>SUM(IF([1]!Table13[ID]=B479,[1]!Table13[QTY]))</f>
        <v>#ERROR!</v>
      </c>
      <c r="J479" s="53" t="str">
        <f>TABLEITEM!$H$3:$H$1138-TABLEITEM!$I$3:$I$1138</f>
        <v>#ERROR!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hidden="1" customHeight="1">
      <c r="A480" s="47">
        <v>479.0</v>
      </c>
      <c r="B480" s="2" t="s">
        <v>3352</v>
      </c>
      <c r="C480" s="2" t="s">
        <v>2595</v>
      </c>
      <c r="D480" s="2" t="s">
        <v>3353</v>
      </c>
      <c r="E480" s="51"/>
      <c r="F480" s="47"/>
      <c r="G480" s="52">
        <f t="array" ref="G480">MAX(IF(INSTOCK!$H$2:$H$2025=B480,INSTOCK!$K$2:$K$2025))</f>
        <v>0</v>
      </c>
      <c r="H480" s="53">
        <f>SUM(IF(INSTOCK!$H$2:$H$2025=B480,INSTOCK!$I$2:$I$2025))</f>
        <v>0</v>
      </c>
      <c r="I480" s="53" t="str">
        <f>SUM(IF([1]!Table13[ID]=B480,[1]!Table13[QTY]))</f>
        <v>#ERROR!</v>
      </c>
      <c r="J480" s="53" t="str">
        <f>TABLEITEM!$H$3:$H$1138-TABLEITEM!$I$3:$I$1138</f>
        <v>#ERROR!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hidden="1" customHeight="1">
      <c r="A481" s="47">
        <v>480.0</v>
      </c>
      <c r="B481" s="2" t="s">
        <v>3354</v>
      </c>
      <c r="C481" s="2" t="s">
        <v>2595</v>
      </c>
      <c r="D481" s="2" t="s">
        <v>3355</v>
      </c>
      <c r="E481" s="51"/>
      <c r="F481" s="47"/>
      <c r="G481" s="52">
        <f t="array" ref="G481">MAX(IF(INSTOCK!$H$2:$H$2025=B481,INSTOCK!$K$2:$K$2025))</f>
        <v>0</v>
      </c>
      <c r="H481" s="53">
        <f>SUM(IF(INSTOCK!$H$2:$H$2025=B481,INSTOCK!$I$2:$I$2025))</f>
        <v>0</v>
      </c>
      <c r="I481" s="53" t="str">
        <f>SUM(IF([1]!Table13[ID]=B481,[1]!Table13[QTY]))</f>
        <v>#ERROR!</v>
      </c>
      <c r="J481" s="53" t="str">
        <f>TABLEITEM!$H$3:$H$1138-TABLEITEM!$I$3:$I$1138</f>
        <v>#ERROR!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hidden="1" customHeight="1">
      <c r="A482" s="47">
        <v>481.0</v>
      </c>
      <c r="B482" s="2" t="s">
        <v>3356</v>
      </c>
      <c r="C482" s="2" t="s">
        <v>2595</v>
      </c>
      <c r="D482" s="2" t="s">
        <v>3357</v>
      </c>
      <c r="E482" s="51"/>
      <c r="F482" s="47"/>
      <c r="G482" s="52">
        <f t="array" ref="G482">MAX(IF(INSTOCK!$H$2:$H$2025=B482,INSTOCK!$K$2:$K$2025))</f>
        <v>0</v>
      </c>
      <c r="H482" s="53">
        <f>SUM(IF(INSTOCK!$H$2:$H$2025=B482,INSTOCK!$I$2:$I$2025))</f>
        <v>0</v>
      </c>
      <c r="I482" s="53" t="str">
        <f>SUM(IF([1]!Table13[ID]=B482,[1]!Table13[QTY]))</f>
        <v>#ERROR!</v>
      </c>
      <c r="J482" s="53" t="str">
        <f>TABLEITEM!$H$3:$H$1138-TABLEITEM!$I$3:$I$1138</f>
        <v>#ERROR!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hidden="1" customHeight="1">
      <c r="A483" s="47">
        <v>482.0</v>
      </c>
      <c r="B483" s="2" t="s">
        <v>3358</v>
      </c>
      <c r="C483" s="2" t="s">
        <v>2595</v>
      </c>
      <c r="D483" s="2" t="s">
        <v>3359</v>
      </c>
      <c r="E483" s="51"/>
      <c r="F483" s="47"/>
      <c r="G483" s="52">
        <f t="array" ref="G483">MAX(IF(INSTOCK!$H$2:$H$2025=B483,INSTOCK!$K$2:$K$2025))</f>
        <v>0</v>
      </c>
      <c r="H483" s="53">
        <f>SUM(IF(INSTOCK!$H$2:$H$2025=B483,INSTOCK!$I$2:$I$2025))</f>
        <v>0</v>
      </c>
      <c r="I483" s="53" t="str">
        <f>SUM(IF([1]!Table13[ID]=B483,[1]!Table13[QTY]))</f>
        <v>#ERROR!</v>
      </c>
      <c r="J483" s="53" t="str">
        <f>TABLEITEM!$H$3:$H$1138-TABLEITEM!$I$3:$I$1138</f>
        <v>#ERROR!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hidden="1" customHeight="1">
      <c r="A484" s="47">
        <v>483.0</v>
      </c>
      <c r="B484" s="2" t="s">
        <v>468</v>
      </c>
      <c r="C484" s="2" t="s">
        <v>2595</v>
      </c>
      <c r="D484" s="2" t="s">
        <v>3360</v>
      </c>
      <c r="E484" s="51"/>
      <c r="F484" s="47"/>
      <c r="G484" s="52">
        <f t="array" ref="G484">MAX(IF(INSTOCK!$H$2:$H$2025=B484,INSTOCK!$K$2:$K$2025))</f>
        <v>0</v>
      </c>
      <c r="H484" s="53">
        <f>SUM(IF(INSTOCK!$H$2:$H$2025=B484,INSTOCK!$I$2:$I$2025))</f>
        <v>0</v>
      </c>
      <c r="I484" s="53" t="str">
        <f>SUM(IF([1]!Table13[ID]=B484,[1]!Table13[QTY]))</f>
        <v>#ERROR!</v>
      </c>
      <c r="J484" s="53" t="str">
        <f>TABLEITEM!$H$3:$H$1138-TABLEITEM!$I$3:$I$1138</f>
        <v>#ERROR!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hidden="1" customHeight="1">
      <c r="A485" s="47">
        <v>484.0</v>
      </c>
      <c r="B485" s="2" t="s">
        <v>3361</v>
      </c>
      <c r="C485" s="2" t="s">
        <v>2595</v>
      </c>
      <c r="D485" s="2" t="s">
        <v>3362</v>
      </c>
      <c r="E485" s="51"/>
      <c r="F485" s="47"/>
      <c r="G485" s="52">
        <f t="array" ref="G485">MAX(IF(INSTOCK!$H$2:$H$2025=B485,INSTOCK!$K$2:$K$2025))</f>
        <v>0</v>
      </c>
      <c r="H485" s="53">
        <f>SUM(IF(INSTOCK!$H$2:$H$2025=B485,INSTOCK!$I$2:$I$2025))</f>
        <v>0</v>
      </c>
      <c r="I485" s="53" t="str">
        <f>SUM(IF([1]!Table13[ID]=B485,[1]!Table13[QTY]))</f>
        <v>#ERROR!</v>
      </c>
      <c r="J485" s="53" t="str">
        <f>TABLEITEM!$H$3:$H$1138-TABLEITEM!$I$3:$I$1138</f>
        <v>#ERROR!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hidden="1" customHeight="1">
      <c r="A486" s="47">
        <v>485.0</v>
      </c>
      <c r="B486" s="2" t="s">
        <v>981</v>
      </c>
      <c r="C486" s="2" t="s">
        <v>2595</v>
      </c>
      <c r="D486" s="2" t="s">
        <v>3363</v>
      </c>
      <c r="E486" s="51"/>
      <c r="F486" s="47"/>
      <c r="G486" s="52">
        <f t="array" ref="G486">MAX(IF(INSTOCK!$H$2:$H$2025=B486,INSTOCK!$K$2:$K$2025))</f>
        <v>0</v>
      </c>
      <c r="H486" s="53">
        <f>SUM(IF(INSTOCK!$H$2:$H$2025=B486,INSTOCK!$I$2:$I$2025))</f>
        <v>0</v>
      </c>
      <c r="I486" s="53" t="str">
        <f>SUM(IF([1]!Table13[ID]=B486,[1]!Table13[QTY]))</f>
        <v>#ERROR!</v>
      </c>
      <c r="J486" s="53" t="str">
        <f>TABLEITEM!$H$3:$H$1138-TABLEITEM!$I$3:$I$1138</f>
        <v>#ERROR!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hidden="1" customHeight="1">
      <c r="A487" s="47">
        <v>486.0</v>
      </c>
      <c r="B487" s="2" t="s">
        <v>3364</v>
      </c>
      <c r="C487" s="2" t="s">
        <v>2595</v>
      </c>
      <c r="D487" s="2" t="s">
        <v>3365</v>
      </c>
      <c r="E487" s="51"/>
      <c r="F487" s="47"/>
      <c r="G487" s="52">
        <f t="array" ref="G487">MAX(IF(INSTOCK!$H$2:$H$2025=B487,INSTOCK!$K$2:$K$2025))</f>
        <v>0</v>
      </c>
      <c r="H487" s="53">
        <f>SUM(IF(INSTOCK!$H$2:$H$2025=B487,INSTOCK!$I$2:$I$2025))</f>
        <v>0</v>
      </c>
      <c r="I487" s="53" t="str">
        <f>SUM(IF([1]!Table13[ID]=B487,[1]!Table13[QTY]))</f>
        <v>#ERROR!</v>
      </c>
      <c r="J487" s="53" t="str">
        <f>TABLEITEM!$H$3:$H$1138-TABLEITEM!$I$3:$I$1138</f>
        <v>#ERROR!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hidden="1" customHeight="1">
      <c r="A488" s="47">
        <v>487.0</v>
      </c>
      <c r="B488" s="2" t="s">
        <v>3366</v>
      </c>
      <c r="C488" s="2" t="s">
        <v>2595</v>
      </c>
      <c r="D488" s="2" t="s">
        <v>3367</v>
      </c>
      <c r="E488" s="51"/>
      <c r="F488" s="47"/>
      <c r="G488" s="52">
        <f t="array" ref="G488">MAX(IF(INSTOCK!$H$2:$H$2025=B488,INSTOCK!$K$2:$K$2025))</f>
        <v>0</v>
      </c>
      <c r="H488" s="53">
        <f>SUM(IF(INSTOCK!$H$2:$H$2025=B488,INSTOCK!$I$2:$I$2025))</f>
        <v>0</v>
      </c>
      <c r="I488" s="53" t="str">
        <f>SUM(IF([1]!Table13[ID]=B488,[1]!Table13[QTY]))</f>
        <v>#ERROR!</v>
      </c>
      <c r="J488" s="53" t="str">
        <f>TABLEITEM!$H$3:$H$1138-TABLEITEM!$I$3:$I$1138</f>
        <v>#ERROR!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hidden="1" customHeight="1">
      <c r="A489" s="47">
        <v>488.0</v>
      </c>
      <c r="B489" s="2" t="s">
        <v>470</v>
      </c>
      <c r="C489" s="2" t="s">
        <v>2595</v>
      </c>
      <c r="D489" s="2" t="s">
        <v>3368</v>
      </c>
      <c r="E489" s="51"/>
      <c r="F489" s="47"/>
      <c r="G489" s="52">
        <f t="array" ref="G489">MAX(IF(INSTOCK!$H$2:$H$2025=B489,INSTOCK!$K$2:$K$2025))</f>
        <v>0</v>
      </c>
      <c r="H489" s="53">
        <f>SUM(IF(INSTOCK!$H$2:$H$2025=B489,INSTOCK!$I$2:$I$2025))</f>
        <v>0</v>
      </c>
      <c r="I489" s="53" t="str">
        <f>SUM(IF([1]!Table13[ID]=B489,[1]!Table13[QTY]))</f>
        <v>#ERROR!</v>
      </c>
      <c r="J489" s="53" t="str">
        <f>TABLEITEM!$H$3:$H$1138-TABLEITEM!$I$3:$I$1138</f>
        <v>#ERROR!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hidden="1" customHeight="1">
      <c r="A490" s="47">
        <v>489.0</v>
      </c>
      <c r="B490" s="2" t="s">
        <v>1343</v>
      </c>
      <c r="C490" s="2" t="s">
        <v>2595</v>
      </c>
      <c r="D490" s="2" t="s">
        <v>3369</v>
      </c>
      <c r="E490" s="51"/>
      <c r="F490" s="47"/>
      <c r="G490" s="52">
        <f t="array" ref="G490">MAX(IF(INSTOCK!$H$2:$H$2025=B490,INSTOCK!$K$2:$K$2025))</f>
        <v>0</v>
      </c>
      <c r="H490" s="53">
        <f>SUM(IF(INSTOCK!$H$2:$H$2025=B490,INSTOCK!$I$2:$I$2025))</f>
        <v>0</v>
      </c>
      <c r="I490" s="53" t="str">
        <f>SUM(IF([1]!Table13[ID]=B490,[1]!Table13[QTY]))</f>
        <v>#ERROR!</v>
      </c>
      <c r="J490" s="53" t="str">
        <f>TABLEITEM!$H$3:$H$1138-TABLEITEM!$I$3:$I$1138</f>
        <v>#ERROR!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hidden="1" customHeight="1">
      <c r="A491" s="47">
        <v>490.0</v>
      </c>
      <c r="B491" s="2" t="s">
        <v>1189</v>
      </c>
      <c r="C491" s="2" t="s">
        <v>2595</v>
      </c>
      <c r="D491" s="2" t="s">
        <v>3370</v>
      </c>
      <c r="E491" s="51"/>
      <c r="F491" s="47"/>
      <c r="G491" s="52">
        <f t="array" ref="G491">MAX(IF(INSTOCK!$H$2:$H$2025=B491,INSTOCK!$K$2:$K$2025))</f>
        <v>0</v>
      </c>
      <c r="H491" s="53">
        <f>SUM(IF(INSTOCK!$H$2:$H$2025=B491,INSTOCK!$I$2:$I$2025))</f>
        <v>0</v>
      </c>
      <c r="I491" s="53" t="str">
        <f>SUM(IF([1]!Table13[ID]=B491,[1]!Table13[QTY]))</f>
        <v>#ERROR!</v>
      </c>
      <c r="J491" s="53" t="str">
        <f>TABLEITEM!$H$3:$H$1138-TABLEITEM!$I$3:$I$1138</f>
        <v>#ERROR!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hidden="1" customHeight="1">
      <c r="A492" s="47">
        <v>491.0</v>
      </c>
      <c r="B492" s="2" t="s">
        <v>1128</v>
      </c>
      <c r="C492" s="2" t="s">
        <v>2595</v>
      </c>
      <c r="D492" s="2" t="s">
        <v>3371</v>
      </c>
      <c r="E492" s="51"/>
      <c r="F492" s="47"/>
      <c r="G492" s="52">
        <f t="array" ref="G492">MAX(IF(INSTOCK!$H$2:$H$2025=B492,INSTOCK!$K$2:$K$2025))</f>
        <v>0</v>
      </c>
      <c r="H492" s="53">
        <f>SUM(IF(INSTOCK!$H$2:$H$2025=B492,INSTOCK!$I$2:$I$2025))</f>
        <v>0</v>
      </c>
      <c r="I492" s="53" t="str">
        <f>SUM(IF([1]!Table13[ID]=B492,[1]!Table13[QTY]))</f>
        <v>#ERROR!</v>
      </c>
      <c r="J492" s="53" t="str">
        <f>TABLEITEM!$H$3:$H$1138-TABLEITEM!$I$3:$I$1138</f>
        <v>#ERROR!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hidden="1" customHeight="1">
      <c r="A493" s="47">
        <v>492.0</v>
      </c>
      <c r="B493" s="2" t="s">
        <v>637</v>
      </c>
      <c r="C493" s="2" t="s">
        <v>2595</v>
      </c>
      <c r="D493" s="2" t="s">
        <v>3372</v>
      </c>
      <c r="E493" s="51"/>
      <c r="F493" s="47"/>
      <c r="G493" s="52">
        <f t="array" ref="G493">MAX(IF(INSTOCK!$H$2:$H$2025=B493,INSTOCK!$K$2:$K$2025))</f>
        <v>0</v>
      </c>
      <c r="H493" s="53">
        <f>SUM(IF(INSTOCK!$H$2:$H$2025=B493,INSTOCK!$I$2:$I$2025))</f>
        <v>0</v>
      </c>
      <c r="I493" s="53" t="str">
        <f>SUM(IF([1]!Table13[ID]=B493,[1]!Table13[QTY]))</f>
        <v>#ERROR!</v>
      </c>
      <c r="J493" s="53" t="str">
        <f>TABLEITEM!$H$3:$H$1138-TABLEITEM!$I$3:$I$1138</f>
        <v>#ERROR!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hidden="1" customHeight="1">
      <c r="A494" s="47">
        <v>493.0</v>
      </c>
      <c r="B494" s="2" t="s">
        <v>584</v>
      </c>
      <c r="C494" s="2" t="s">
        <v>2595</v>
      </c>
      <c r="D494" s="2" t="s">
        <v>3373</v>
      </c>
      <c r="E494" s="51"/>
      <c r="F494" s="47"/>
      <c r="G494" s="52">
        <f t="array" ref="G494">MAX(IF(INSTOCK!$H$2:$H$2025=B494,INSTOCK!$K$2:$K$2025))</f>
        <v>0</v>
      </c>
      <c r="H494" s="53">
        <f>SUM(IF(INSTOCK!$H$2:$H$2025=B494,INSTOCK!$I$2:$I$2025))</f>
        <v>0</v>
      </c>
      <c r="I494" s="53" t="str">
        <f>SUM(IF([1]!Table13[ID]=B494,[1]!Table13[QTY]))</f>
        <v>#ERROR!</v>
      </c>
      <c r="J494" s="53" t="str">
        <f>TABLEITEM!$H$3:$H$1138-TABLEITEM!$I$3:$I$1138</f>
        <v>#ERROR!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hidden="1" customHeight="1">
      <c r="A495" s="47">
        <v>494.0</v>
      </c>
      <c r="B495" s="2" t="s">
        <v>670</v>
      </c>
      <c r="C495" s="2" t="s">
        <v>2595</v>
      </c>
      <c r="D495" s="2" t="s">
        <v>3374</v>
      </c>
      <c r="E495" s="51"/>
      <c r="F495" s="47"/>
      <c r="G495" s="52">
        <f t="array" ref="G495">MAX(IF(INSTOCK!$H$2:$H$2025=B495,INSTOCK!$K$2:$K$2025))</f>
        <v>0</v>
      </c>
      <c r="H495" s="53">
        <f>SUM(IF(INSTOCK!$H$2:$H$2025=B495,INSTOCK!$I$2:$I$2025))</f>
        <v>0</v>
      </c>
      <c r="I495" s="53" t="str">
        <f>SUM(IF([1]!Table13[ID]=B495,[1]!Table13[QTY]))</f>
        <v>#ERROR!</v>
      </c>
      <c r="J495" s="53" t="str">
        <f>TABLEITEM!$H$3:$H$1138-TABLEITEM!$I$3:$I$1138</f>
        <v>#ERROR!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hidden="1" customHeight="1">
      <c r="A496" s="47">
        <v>495.0</v>
      </c>
      <c r="B496" s="2" t="s">
        <v>671</v>
      </c>
      <c r="C496" s="2" t="s">
        <v>2595</v>
      </c>
      <c r="D496" s="2" t="s">
        <v>3375</v>
      </c>
      <c r="E496" s="51"/>
      <c r="F496" s="47"/>
      <c r="G496" s="52">
        <f t="array" ref="G496">MAX(IF(INSTOCK!$H$2:$H$2025=B496,INSTOCK!$K$2:$K$2025))</f>
        <v>0</v>
      </c>
      <c r="H496" s="53">
        <f>SUM(IF(INSTOCK!$H$2:$H$2025=B496,INSTOCK!$I$2:$I$2025))</f>
        <v>0</v>
      </c>
      <c r="I496" s="53" t="str">
        <f>SUM(IF([1]!Table13[ID]=B496,[1]!Table13[QTY]))</f>
        <v>#ERROR!</v>
      </c>
      <c r="J496" s="53" t="str">
        <f>TABLEITEM!$H$3:$H$1138-TABLEITEM!$I$3:$I$1138</f>
        <v>#ERROR!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hidden="1" customHeight="1">
      <c r="A497" s="47">
        <v>496.0</v>
      </c>
      <c r="B497" s="2" t="s">
        <v>983</v>
      </c>
      <c r="C497" s="2" t="s">
        <v>2595</v>
      </c>
      <c r="D497" s="2" t="s">
        <v>3376</v>
      </c>
      <c r="E497" s="51"/>
      <c r="F497" s="47"/>
      <c r="G497" s="52">
        <f t="array" ref="G497">MAX(IF(INSTOCK!$H$2:$H$2025=B497,INSTOCK!$K$2:$K$2025))</f>
        <v>0</v>
      </c>
      <c r="H497" s="53">
        <f>SUM(IF(INSTOCK!$H$2:$H$2025=B497,INSTOCK!$I$2:$I$2025))</f>
        <v>0</v>
      </c>
      <c r="I497" s="53" t="str">
        <f>SUM(IF([1]!Table13[ID]=B497,[1]!Table13[QTY]))</f>
        <v>#ERROR!</v>
      </c>
      <c r="J497" s="53" t="str">
        <f>TABLEITEM!$H$3:$H$1138-TABLEITEM!$I$3:$I$1138</f>
        <v>#ERROR!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hidden="1" customHeight="1">
      <c r="A498" s="47">
        <v>497.0</v>
      </c>
      <c r="B498" s="2" t="s">
        <v>985</v>
      </c>
      <c r="C498" s="2" t="s">
        <v>2595</v>
      </c>
      <c r="D498" s="2" t="s">
        <v>3377</v>
      </c>
      <c r="E498" s="51"/>
      <c r="F498" s="47"/>
      <c r="G498" s="52">
        <f t="array" ref="G498">MAX(IF(INSTOCK!$H$2:$H$2025=B498,INSTOCK!$K$2:$K$2025))</f>
        <v>0</v>
      </c>
      <c r="H498" s="53">
        <f>SUM(IF(INSTOCK!$H$2:$H$2025=B498,INSTOCK!$I$2:$I$2025))</f>
        <v>0</v>
      </c>
      <c r="I498" s="53" t="str">
        <f>SUM(IF([1]!Table13[ID]=B498,[1]!Table13[QTY]))</f>
        <v>#ERROR!</v>
      </c>
      <c r="J498" s="53" t="str">
        <f>TABLEITEM!$H$3:$H$1138-TABLEITEM!$I$3:$I$1138</f>
        <v>#ERROR!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hidden="1" customHeight="1">
      <c r="A499" s="47">
        <v>498.0</v>
      </c>
      <c r="B499" s="2" t="s">
        <v>1232</v>
      </c>
      <c r="C499" s="2" t="s">
        <v>2595</v>
      </c>
      <c r="D499" s="2" t="s">
        <v>3378</v>
      </c>
      <c r="E499" s="51"/>
      <c r="F499" s="47"/>
      <c r="G499" s="52">
        <f t="array" ref="G499">MAX(IF(INSTOCK!$H$2:$H$2025=B499,INSTOCK!$K$2:$K$2025))</f>
        <v>0</v>
      </c>
      <c r="H499" s="53">
        <f>SUM(IF(INSTOCK!$H$2:$H$2025=B499,INSTOCK!$I$2:$I$2025))</f>
        <v>0</v>
      </c>
      <c r="I499" s="53" t="str">
        <f>SUM(IF([1]!Table13[ID]=B499,[1]!Table13[QTY]))</f>
        <v>#ERROR!</v>
      </c>
      <c r="J499" s="53" t="str">
        <f>TABLEITEM!$H$3:$H$1138-TABLEITEM!$I$3:$I$1138</f>
        <v>#ERROR!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hidden="1" customHeight="1">
      <c r="A500" s="47">
        <v>499.0</v>
      </c>
      <c r="B500" s="2" t="s">
        <v>3379</v>
      </c>
      <c r="C500" s="2" t="s">
        <v>2595</v>
      </c>
      <c r="D500" s="2" t="s">
        <v>3380</v>
      </c>
      <c r="E500" s="51"/>
      <c r="F500" s="47"/>
      <c r="G500" s="52">
        <f t="array" ref="G500">MAX(IF(INSTOCK!$H$2:$H$2025=B500,INSTOCK!$K$2:$K$2025))</f>
        <v>0</v>
      </c>
      <c r="H500" s="53">
        <f>SUM(IF(INSTOCK!$H$2:$H$2025=B500,INSTOCK!$I$2:$I$2025))</f>
        <v>0</v>
      </c>
      <c r="I500" s="53" t="str">
        <f>SUM(IF([1]!Table13[ID]=B500,[1]!Table13[QTY]))</f>
        <v>#ERROR!</v>
      </c>
      <c r="J500" s="53" t="str">
        <f>TABLEITEM!$H$3:$H$1138-TABLEITEM!$I$3:$I$1138</f>
        <v>#ERROR!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hidden="1" customHeight="1">
      <c r="A501" s="47">
        <v>500.0</v>
      </c>
      <c r="B501" s="2" t="s">
        <v>3381</v>
      </c>
      <c r="C501" s="2" t="s">
        <v>2595</v>
      </c>
      <c r="D501" s="2" t="s">
        <v>3382</v>
      </c>
      <c r="E501" s="51"/>
      <c r="F501" s="47"/>
      <c r="G501" s="52">
        <f t="array" ref="G501">MAX(IF(INSTOCK!$H$2:$H$2025=B501,INSTOCK!$K$2:$K$2025))</f>
        <v>0</v>
      </c>
      <c r="H501" s="53">
        <f>SUM(IF(INSTOCK!$H$2:$H$2025=B501,INSTOCK!$I$2:$I$2025))</f>
        <v>0</v>
      </c>
      <c r="I501" s="53" t="str">
        <f>SUM(IF([1]!Table13[ID]=B501,[1]!Table13[QTY]))</f>
        <v>#ERROR!</v>
      </c>
      <c r="J501" s="53" t="str">
        <f>TABLEITEM!$H$3:$H$1138-TABLEITEM!$I$3:$I$1138</f>
        <v>#ERROR!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hidden="1" customHeight="1">
      <c r="A502" s="47">
        <v>501.0</v>
      </c>
      <c r="B502" s="2" t="s">
        <v>1988</v>
      </c>
      <c r="C502" s="2" t="s">
        <v>2595</v>
      </c>
      <c r="D502" s="2" t="s">
        <v>3383</v>
      </c>
      <c r="E502" s="51"/>
      <c r="F502" s="47"/>
      <c r="G502" s="52">
        <f t="array" ref="G502">MAX(IF(INSTOCK!$H$2:$H$2025=B502,INSTOCK!$K$2:$K$2025))</f>
        <v>0</v>
      </c>
      <c r="H502" s="53">
        <f>SUM(IF(INSTOCK!$H$2:$H$2025=B502,INSTOCK!$I$2:$I$2025))</f>
        <v>0</v>
      </c>
      <c r="I502" s="53" t="str">
        <f>SUM(IF([1]!Table13[ID]=B502,[1]!Table13[QTY]))</f>
        <v>#ERROR!</v>
      </c>
      <c r="J502" s="53" t="str">
        <f>TABLEITEM!$H$3:$H$1138-TABLEITEM!$I$3:$I$1138</f>
        <v>#ERROR!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hidden="1" customHeight="1">
      <c r="A503" s="47">
        <v>502.0</v>
      </c>
      <c r="B503" s="2" t="s">
        <v>1745</v>
      </c>
      <c r="C503" s="2" t="s">
        <v>2595</v>
      </c>
      <c r="D503" s="2" t="s">
        <v>3384</v>
      </c>
      <c r="E503" s="51"/>
      <c r="F503" s="47"/>
      <c r="G503" s="52">
        <f t="array" ref="G503">MAX(IF(INSTOCK!$H$2:$H$2025=B503,INSTOCK!$K$2:$K$2025))</f>
        <v>0</v>
      </c>
      <c r="H503" s="53">
        <f>SUM(IF(INSTOCK!$H$2:$H$2025=B503,INSTOCK!$I$2:$I$2025))</f>
        <v>0</v>
      </c>
      <c r="I503" s="53" t="str">
        <f>SUM(IF([1]!Table13[ID]=B503,[1]!Table13[QTY]))</f>
        <v>#ERROR!</v>
      </c>
      <c r="J503" s="53" t="str">
        <f>TABLEITEM!$H$3:$H$1138-TABLEITEM!$I$3:$I$1138</f>
        <v>#ERROR!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hidden="1" customHeight="1">
      <c r="A504" s="47">
        <v>503.0</v>
      </c>
      <c r="B504" s="2" t="s">
        <v>558</v>
      </c>
      <c r="C504" s="2" t="s">
        <v>2595</v>
      </c>
      <c r="D504" s="2" t="s">
        <v>3385</v>
      </c>
      <c r="E504" s="51"/>
      <c r="F504" s="47"/>
      <c r="G504" s="52">
        <f t="array" ref="G504">MAX(IF(INSTOCK!$H$2:$H$2025=B504,INSTOCK!$K$2:$K$2025))</f>
        <v>0</v>
      </c>
      <c r="H504" s="53">
        <f>SUM(IF(INSTOCK!$H$2:$H$2025=B504,INSTOCK!$I$2:$I$2025))</f>
        <v>0</v>
      </c>
      <c r="I504" s="53" t="str">
        <f>SUM(IF([1]!Table13[ID]=B504,[1]!Table13[QTY]))</f>
        <v>#ERROR!</v>
      </c>
      <c r="J504" s="53" t="str">
        <f>TABLEITEM!$H$3:$H$1138-TABLEITEM!$I$3:$I$1138</f>
        <v>#ERROR!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hidden="1" customHeight="1">
      <c r="A505" s="47">
        <v>504.0</v>
      </c>
      <c r="B505" s="2" t="s">
        <v>1746</v>
      </c>
      <c r="C505" s="2" t="s">
        <v>2595</v>
      </c>
      <c r="D505" s="2" t="s">
        <v>3386</v>
      </c>
      <c r="E505" s="51"/>
      <c r="F505" s="47"/>
      <c r="G505" s="52">
        <f t="array" ref="G505">MAX(IF(INSTOCK!$H$2:$H$2025=B505,INSTOCK!$K$2:$K$2025))</f>
        <v>0</v>
      </c>
      <c r="H505" s="53">
        <f>SUM(IF(INSTOCK!$H$2:$H$2025=B505,INSTOCK!$I$2:$I$2025))</f>
        <v>0</v>
      </c>
      <c r="I505" s="53" t="str">
        <f>SUM(IF([1]!Table13[ID]=B505,[1]!Table13[QTY]))</f>
        <v>#ERROR!</v>
      </c>
      <c r="J505" s="53" t="str">
        <f>TABLEITEM!$H$3:$H$1138-TABLEITEM!$I$3:$I$1138</f>
        <v>#ERROR!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hidden="1" customHeight="1">
      <c r="A506" s="47">
        <v>505.0</v>
      </c>
      <c r="B506" s="2" t="s">
        <v>1747</v>
      </c>
      <c r="C506" s="2" t="s">
        <v>2595</v>
      </c>
      <c r="D506" s="2" t="s">
        <v>3387</v>
      </c>
      <c r="E506" s="51"/>
      <c r="F506" s="47"/>
      <c r="G506" s="52">
        <f t="array" ref="G506">MAX(IF(INSTOCK!$H$2:$H$2025=B506,INSTOCK!$K$2:$K$2025))</f>
        <v>0</v>
      </c>
      <c r="H506" s="53">
        <f>SUM(IF(INSTOCK!$H$2:$H$2025=B506,INSTOCK!$I$2:$I$2025))</f>
        <v>0</v>
      </c>
      <c r="I506" s="53" t="str">
        <f>SUM(IF([1]!Table13[ID]=B506,[1]!Table13[QTY]))</f>
        <v>#ERROR!</v>
      </c>
      <c r="J506" s="53" t="str">
        <f>TABLEITEM!$H$3:$H$1138-TABLEITEM!$I$3:$I$1138</f>
        <v>#ERROR!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hidden="1" customHeight="1">
      <c r="A507" s="47">
        <v>506.0</v>
      </c>
      <c r="B507" s="2" t="s">
        <v>3388</v>
      </c>
      <c r="C507" s="2" t="s">
        <v>2595</v>
      </c>
      <c r="D507" s="2" t="s">
        <v>3389</v>
      </c>
      <c r="E507" s="51"/>
      <c r="F507" s="47"/>
      <c r="G507" s="52">
        <f t="array" ref="G507">MAX(IF(INSTOCK!$H$2:$H$2025=B507,INSTOCK!$K$2:$K$2025))</f>
        <v>0</v>
      </c>
      <c r="H507" s="53">
        <f>SUM(IF(INSTOCK!$H$2:$H$2025=B507,INSTOCK!$I$2:$I$2025))</f>
        <v>0</v>
      </c>
      <c r="I507" s="53" t="str">
        <f>SUM(IF([1]!Table13[ID]=B507,[1]!Table13[QTY]))</f>
        <v>#ERROR!</v>
      </c>
      <c r="J507" s="53" t="str">
        <f>TABLEITEM!$H$3:$H$1138-TABLEITEM!$I$3:$I$1138</f>
        <v>#ERROR!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hidden="1" customHeight="1">
      <c r="A508" s="47">
        <v>507.0</v>
      </c>
      <c r="B508" s="2" t="s">
        <v>3390</v>
      </c>
      <c r="C508" s="2" t="s">
        <v>2595</v>
      </c>
      <c r="D508" s="2" t="s">
        <v>3391</v>
      </c>
      <c r="E508" s="51"/>
      <c r="F508" s="47"/>
      <c r="G508" s="52">
        <f t="array" ref="G508">MAX(IF(INSTOCK!$H$2:$H$2025=B508,INSTOCK!$K$2:$K$2025))</f>
        <v>0</v>
      </c>
      <c r="H508" s="53">
        <f>SUM(IF(INSTOCK!$H$2:$H$2025=B508,INSTOCK!$I$2:$I$2025))</f>
        <v>0</v>
      </c>
      <c r="I508" s="53" t="str">
        <f>SUM(IF([1]!Table13[ID]=B508,[1]!Table13[QTY]))</f>
        <v>#ERROR!</v>
      </c>
      <c r="J508" s="53" t="str">
        <f>TABLEITEM!$H$3:$H$1138-TABLEITEM!$I$3:$I$1138</f>
        <v>#ERROR!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hidden="1" customHeight="1">
      <c r="A509" s="47">
        <v>508.0</v>
      </c>
      <c r="B509" s="2" t="s">
        <v>1986</v>
      </c>
      <c r="C509" s="2" t="s">
        <v>2595</v>
      </c>
      <c r="D509" s="2" t="s">
        <v>3392</v>
      </c>
      <c r="E509" s="51"/>
      <c r="F509" s="47"/>
      <c r="G509" s="52">
        <f t="array" ref="G509">MAX(IF(INSTOCK!$H$2:$H$2025=B509,INSTOCK!$K$2:$K$2025))</f>
        <v>0</v>
      </c>
      <c r="H509" s="53">
        <f>SUM(IF(INSTOCK!$H$2:$H$2025=B509,INSTOCK!$I$2:$I$2025))</f>
        <v>0</v>
      </c>
      <c r="I509" s="53" t="str">
        <f>SUM(IF([1]!Table13[ID]=B509,[1]!Table13[QTY]))</f>
        <v>#ERROR!</v>
      </c>
      <c r="J509" s="53" t="str">
        <f>TABLEITEM!$H$3:$H$1138-TABLEITEM!$I$3:$I$1138</f>
        <v>#ERROR!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hidden="1" customHeight="1">
      <c r="A510" s="47">
        <v>509.0</v>
      </c>
      <c r="B510" s="2" t="s">
        <v>3393</v>
      </c>
      <c r="C510" s="2" t="s">
        <v>2595</v>
      </c>
      <c r="D510" s="2" t="s">
        <v>3394</v>
      </c>
      <c r="E510" s="51"/>
      <c r="F510" s="47"/>
      <c r="G510" s="52">
        <f t="array" ref="G510">MAX(IF(INSTOCK!$H$2:$H$2025=B510,INSTOCK!$K$2:$K$2025))</f>
        <v>0</v>
      </c>
      <c r="H510" s="53">
        <f>SUM(IF(INSTOCK!$H$2:$H$2025=B510,INSTOCK!$I$2:$I$2025))</f>
        <v>0</v>
      </c>
      <c r="I510" s="53" t="str">
        <f>SUM(IF([1]!Table13[ID]=B510,[1]!Table13[QTY]))</f>
        <v>#ERROR!</v>
      </c>
      <c r="J510" s="53" t="str">
        <f>TABLEITEM!$H$3:$H$1138-TABLEITEM!$I$3:$I$1138</f>
        <v>#ERROR!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hidden="1" customHeight="1">
      <c r="A511" s="47">
        <v>510.0</v>
      </c>
      <c r="B511" s="2" t="s">
        <v>3395</v>
      </c>
      <c r="C511" s="2" t="s">
        <v>2595</v>
      </c>
      <c r="D511" s="2" t="s">
        <v>3396</v>
      </c>
      <c r="E511" s="51"/>
      <c r="F511" s="47"/>
      <c r="G511" s="52">
        <f t="array" ref="G511">MAX(IF(INSTOCK!$H$2:$H$2025=B511,INSTOCK!$K$2:$K$2025))</f>
        <v>0</v>
      </c>
      <c r="H511" s="53">
        <f>SUM(IF(INSTOCK!$H$2:$H$2025=B511,INSTOCK!$I$2:$I$2025))</f>
        <v>0</v>
      </c>
      <c r="I511" s="53" t="str">
        <f>SUM(IF([1]!Table13[ID]=B511,[1]!Table13[QTY]))</f>
        <v>#ERROR!</v>
      </c>
      <c r="J511" s="53" t="str">
        <f>TABLEITEM!$H$3:$H$1138-TABLEITEM!$I$3:$I$1138</f>
        <v>#ERROR!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hidden="1" customHeight="1">
      <c r="A512" s="47">
        <v>511.0</v>
      </c>
      <c r="B512" s="2" t="s">
        <v>1749</v>
      </c>
      <c r="C512" s="2" t="s">
        <v>2595</v>
      </c>
      <c r="D512" s="2" t="s">
        <v>3397</v>
      </c>
      <c r="E512" s="51"/>
      <c r="F512" s="47"/>
      <c r="G512" s="52">
        <f t="array" ref="G512">MAX(IF(INSTOCK!$H$2:$H$2025=B512,INSTOCK!$K$2:$K$2025))</f>
        <v>0</v>
      </c>
      <c r="H512" s="53">
        <f>SUM(IF(INSTOCK!$H$2:$H$2025=B512,INSTOCK!$I$2:$I$2025))</f>
        <v>0</v>
      </c>
      <c r="I512" s="53" t="str">
        <f>SUM(IF([1]!Table13[ID]=B512,[1]!Table13[QTY]))</f>
        <v>#ERROR!</v>
      </c>
      <c r="J512" s="53" t="str">
        <f>TABLEITEM!$H$3:$H$1138-TABLEITEM!$I$3:$I$1138</f>
        <v>#ERROR!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hidden="1" customHeight="1">
      <c r="A513" s="47">
        <v>512.0</v>
      </c>
      <c r="B513" s="2" t="s">
        <v>3398</v>
      </c>
      <c r="C513" s="2" t="s">
        <v>2595</v>
      </c>
      <c r="D513" s="2" t="s">
        <v>3399</v>
      </c>
      <c r="E513" s="51"/>
      <c r="F513" s="47"/>
      <c r="G513" s="52">
        <f t="array" ref="G513">MAX(IF(INSTOCK!$H$2:$H$2025=B513,INSTOCK!$K$2:$K$2025))</f>
        <v>0</v>
      </c>
      <c r="H513" s="53">
        <f>SUM(IF(INSTOCK!$H$2:$H$2025=B513,INSTOCK!$I$2:$I$2025))</f>
        <v>0</v>
      </c>
      <c r="I513" s="53" t="str">
        <f>SUM(IF([1]!Table13[ID]=B513,[1]!Table13[QTY]))</f>
        <v>#ERROR!</v>
      </c>
      <c r="J513" s="53" t="str">
        <f>TABLEITEM!$H$3:$H$1138-TABLEITEM!$I$3:$I$1138</f>
        <v>#ERROR!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hidden="1" customHeight="1">
      <c r="A514" s="47">
        <v>513.0</v>
      </c>
      <c r="B514" s="2" t="s">
        <v>559</v>
      </c>
      <c r="C514" s="2" t="s">
        <v>2595</v>
      </c>
      <c r="D514" s="2" t="s">
        <v>3400</v>
      </c>
      <c r="E514" s="51"/>
      <c r="F514" s="47"/>
      <c r="G514" s="52">
        <f t="array" ref="G514">MAX(IF(INSTOCK!$H$2:$H$2025=B514,INSTOCK!$K$2:$K$2025))</f>
        <v>0</v>
      </c>
      <c r="H514" s="53">
        <f>SUM(IF(INSTOCK!$H$2:$H$2025=B514,INSTOCK!$I$2:$I$2025))</f>
        <v>0</v>
      </c>
      <c r="I514" s="53" t="str">
        <f>SUM(IF([1]!Table13[ID]=B514,[1]!Table13[QTY]))</f>
        <v>#ERROR!</v>
      </c>
      <c r="J514" s="53" t="str">
        <f>TABLEITEM!$H$3:$H$1138-TABLEITEM!$I$3:$I$1138</f>
        <v>#ERROR!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hidden="1" customHeight="1">
      <c r="A515" s="47">
        <v>514.0</v>
      </c>
      <c r="B515" s="2" t="s">
        <v>3401</v>
      </c>
      <c r="C515" s="2" t="s">
        <v>2595</v>
      </c>
      <c r="D515" s="2" t="s">
        <v>3402</v>
      </c>
      <c r="E515" s="51"/>
      <c r="F515" s="47"/>
      <c r="G515" s="52">
        <f t="array" ref="G515">MAX(IF(INSTOCK!$H$2:$H$2025=B515,INSTOCK!$K$2:$K$2025))</f>
        <v>0</v>
      </c>
      <c r="H515" s="53">
        <f>SUM(IF(INSTOCK!$H$2:$H$2025=B515,INSTOCK!$I$2:$I$2025))</f>
        <v>0</v>
      </c>
      <c r="I515" s="53" t="str">
        <f>SUM(IF([1]!Table13[ID]=B515,[1]!Table13[QTY]))</f>
        <v>#ERROR!</v>
      </c>
      <c r="J515" s="53" t="str">
        <f>TABLEITEM!$H$3:$H$1138-TABLEITEM!$I$3:$I$1138</f>
        <v>#ERROR!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hidden="1" customHeight="1">
      <c r="A516" s="47">
        <v>515.0</v>
      </c>
      <c r="B516" s="2" t="s">
        <v>1750</v>
      </c>
      <c r="C516" s="2" t="s">
        <v>2595</v>
      </c>
      <c r="D516" s="2" t="s">
        <v>3403</v>
      </c>
      <c r="E516" s="51"/>
      <c r="F516" s="47"/>
      <c r="G516" s="52">
        <f t="array" ref="G516">MAX(IF(INSTOCK!$H$2:$H$2025=B516,INSTOCK!$K$2:$K$2025))</f>
        <v>0</v>
      </c>
      <c r="H516" s="53">
        <f>SUM(IF(INSTOCK!$H$2:$H$2025=B516,INSTOCK!$I$2:$I$2025))</f>
        <v>0</v>
      </c>
      <c r="I516" s="53" t="str">
        <f>SUM(IF([1]!Table13[ID]=B516,[1]!Table13[QTY]))</f>
        <v>#ERROR!</v>
      </c>
      <c r="J516" s="53" t="str">
        <f>TABLEITEM!$H$3:$H$1138-TABLEITEM!$I$3:$I$1138</f>
        <v>#ERROR!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hidden="1" customHeight="1">
      <c r="A517" s="47">
        <v>516.0</v>
      </c>
      <c r="B517" s="2" t="s">
        <v>1751</v>
      </c>
      <c r="C517" s="2" t="s">
        <v>2595</v>
      </c>
      <c r="D517" s="2" t="s">
        <v>3404</v>
      </c>
      <c r="E517" s="51"/>
      <c r="F517" s="47"/>
      <c r="G517" s="52">
        <f t="array" ref="G517">MAX(IF(INSTOCK!$H$2:$H$2025=B517,INSTOCK!$K$2:$K$2025))</f>
        <v>0</v>
      </c>
      <c r="H517" s="53">
        <f>SUM(IF(INSTOCK!$H$2:$H$2025=B517,INSTOCK!$I$2:$I$2025))</f>
        <v>0</v>
      </c>
      <c r="I517" s="53" t="str">
        <f>SUM(IF([1]!Table13[ID]=B517,[1]!Table13[QTY]))</f>
        <v>#ERROR!</v>
      </c>
      <c r="J517" s="53" t="str">
        <f>TABLEITEM!$H$3:$H$1138-TABLEITEM!$I$3:$I$1138</f>
        <v>#ERROR!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hidden="1" customHeight="1">
      <c r="A518" s="47">
        <v>517.0</v>
      </c>
      <c r="B518" s="2" t="s">
        <v>3405</v>
      </c>
      <c r="C518" s="2" t="s">
        <v>2595</v>
      </c>
      <c r="D518" s="2" t="s">
        <v>3406</v>
      </c>
      <c r="E518" s="51"/>
      <c r="F518" s="47"/>
      <c r="G518" s="52">
        <f t="array" ref="G518">MAX(IF(INSTOCK!$H$2:$H$2025=B518,INSTOCK!$K$2:$K$2025))</f>
        <v>0</v>
      </c>
      <c r="H518" s="53">
        <f>SUM(IF(INSTOCK!$H$2:$H$2025=B518,INSTOCK!$I$2:$I$2025))</f>
        <v>0</v>
      </c>
      <c r="I518" s="53" t="str">
        <f>SUM(IF([1]!Table13[ID]=B518,[1]!Table13[QTY]))</f>
        <v>#ERROR!</v>
      </c>
      <c r="J518" s="53" t="str">
        <f>TABLEITEM!$H$3:$H$1138-TABLEITEM!$I$3:$I$1138</f>
        <v>#ERROR!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hidden="1" customHeight="1">
      <c r="A519" s="47">
        <v>518.0</v>
      </c>
      <c r="B519" s="27" t="s">
        <v>3407</v>
      </c>
      <c r="C519" s="2" t="s">
        <v>2599</v>
      </c>
      <c r="D519" s="27" t="s">
        <v>3408</v>
      </c>
      <c r="E519" s="51" t="s">
        <v>3087</v>
      </c>
      <c r="F519" s="47"/>
      <c r="G519" s="52">
        <f t="array" ref="G519">MAX(IF(INSTOCK!$H$2:$H$2025=B519,INSTOCK!$K$2:$K$2025))</f>
        <v>0</v>
      </c>
      <c r="H519" s="53">
        <f>SUM(IF(INSTOCK!$H$2:$H$2025=B519,INSTOCK!$I$2:$I$2025))</f>
        <v>0</v>
      </c>
      <c r="I519" s="53" t="str">
        <f>SUM(IF([1]!Table13[ID]=B519,[1]!Table13[QTY]))</f>
        <v>#ERROR!</v>
      </c>
      <c r="J519" s="53" t="str">
        <f>TABLEITEM!$H$3:$H$1138-TABLEITEM!$I$3:$I$1138</f>
        <v>#ERROR!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hidden="1" customHeight="1">
      <c r="A520" s="47">
        <v>519.0</v>
      </c>
      <c r="B520" s="27" t="s">
        <v>3409</v>
      </c>
      <c r="C520" s="2" t="s">
        <v>2599</v>
      </c>
      <c r="D520" s="27" t="s">
        <v>3410</v>
      </c>
      <c r="E520" s="51" t="s">
        <v>3087</v>
      </c>
      <c r="F520" s="47"/>
      <c r="G520" s="52">
        <f t="array" ref="G520">MAX(IF(INSTOCK!$H$2:$H$2025=B520,INSTOCK!$K$2:$K$2025))</f>
        <v>0</v>
      </c>
      <c r="H520" s="53">
        <f>SUM(IF(INSTOCK!$H$2:$H$2025=B520,INSTOCK!$I$2:$I$2025))</f>
        <v>0</v>
      </c>
      <c r="I520" s="53" t="str">
        <f>SUM(IF([1]!Table13[ID]=B520,[1]!Table13[QTY]))</f>
        <v>#ERROR!</v>
      </c>
      <c r="J520" s="53" t="str">
        <f>TABLEITEM!$H$3:$H$1138-TABLEITEM!$I$3:$I$1138</f>
        <v>#ERROR!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hidden="1" customHeight="1">
      <c r="A521" s="47">
        <v>520.0</v>
      </c>
      <c r="B521" s="2" t="s">
        <v>3411</v>
      </c>
      <c r="C521" s="2" t="s">
        <v>2595</v>
      </c>
      <c r="D521" s="2" t="s">
        <v>3412</v>
      </c>
      <c r="E521" s="51"/>
      <c r="F521" s="47"/>
      <c r="G521" s="52">
        <f t="array" ref="G521">MAX(IF(INSTOCK!$H$2:$H$2025=B521,INSTOCK!$K$2:$K$2025))</f>
        <v>0</v>
      </c>
      <c r="H521" s="53">
        <f>SUM(IF(INSTOCK!$H$2:$H$2025=B521,INSTOCK!$I$2:$I$2025))</f>
        <v>0</v>
      </c>
      <c r="I521" s="53" t="str">
        <f>SUM(IF([1]!Table13[ID]=B521,[1]!Table13[QTY]))</f>
        <v>#ERROR!</v>
      </c>
      <c r="J521" s="53" t="str">
        <f>TABLEITEM!$H$3:$H$1138-TABLEITEM!$I$3:$I$1138</f>
        <v>#ERROR!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hidden="1" customHeight="1">
      <c r="A522" s="47">
        <v>521.0</v>
      </c>
      <c r="B522" s="2" t="s">
        <v>503</v>
      </c>
      <c r="C522" s="2" t="s">
        <v>2595</v>
      </c>
      <c r="D522" s="2" t="s">
        <v>3413</v>
      </c>
      <c r="E522" s="51"/>
      <c r="F522" s="47"/>
      <c r="G522" s="52">
        <f t="array" ref="G522">MAX(IF(INSTOCK!$H$2:$H$2025=B522,INSTOCK!$K$2:$K$2025))</f>
        <v>0</v>
      </c>
      <c r="H522" s="53">
        <f>SUM(IF(INSTOCK!$H$2:$H$2025=B522,INSTOCK!$I$2:$I$2025))</f>
        <v>0</v>
      </c>
      <c r="I522" s="53" t="str">
        <f>SUM(IF([1]!Table13[ID]=B522,[1]!Table13[QTY]))</f>
        <v>#ERROR!</v>
      </c>
      <c r="J522" s="53" t="str">
        <f>TABLEITEM!$H$3:$H$1138-TABLEITEM!$I$3:$I$1138</f>
        <v>#ERROR!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hidden="1" customHeight="1">
      <c r="A523" s="47">
        <v>522.0</v>
      </c>
      <c r="B523" s="2" t="s">
        <v>3414</v>
      </c>
      <c r="C523" s="2" t="s">
        <v>2595</v>
      </c>
      <c r="D523" s="2" t="s">
        <v>3415</v>
      </c>
      <c r="E523" s="51"/>
      <c r="F523" s="47"/>
      <c r="G523" s="52">
        <f t="array" ref="G523">MAX(IF(INSTOCK!$H$2:$H$2025=B523,INSTOCK!$K$2:$K$2025))</f>
        <v>0</v>
      </c>
      <c r="H523" s="53">
        <f>SUM(IF(INSTOCK!$H$2:$H$2025=B523,INSTOCK!$I$2:$I$2025))</f>
        <v>0</v>
      </c>
      <c r="I523" s="53" t="str">
        <f>SUM(IF([1]!Table13[ID]=B523,[1]!Table13[QTY]))</f>
        <v>#ERROR!</v>
      </c>
      <c r="J523" s="53" t="str">
        <f>TABLEITEM!$H$3:$H$1138-TABLEITEM!$I$3:$I$1138</f>
        <v>#ERROR!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hidden="1" customHeight="1">
      <c r="A524" s="47">
        <v>523.0</v>
      </c>
      <c r="B524" s="2" t="s">
        <v>3416</v>
      </c>
      <c r="C524" s="2" t="s">
        <v>2595</v>
      </c>
      <c r="D524" s="2" t="s">
        <v>3417</v>
      </c>
      <c r="E524" s="51"/>
      <c r="F524" s="47"/>
      <c r="G524" s="52">
        <f t="array" ref="G524">MAX(IF(INSTOCK!$H$2:$H$2025=B524,INSTOCK!$K$2:$K$2025))</f>
        <v>0</v>
      </c>
      <c r="H524" s="53">
        <f>SUM(IF(INSTOCK!$H$2:$H$2025=B524,INSTOCK!$I$2:$I$2025))</f>
        <v>0</v>
      </c>
      <c r="I524" s="53" t="str">
        <f>SUM(IF([1]!Table13[ID]=B524,[1]!Table13[QTY]))</f>
        <v>#ERROR!</v>
      </c>
      <c r="J524" s="53" t="str">
        <f>TABLEITEM!$H$3:$H$1138-TABLEITEM!$I$3:$I$1138</f>
        <v>#ERROR!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hidden="1" customHeight="1">
      <c r="A525" s="47">
        <v>524.0</v>
      </c>
      <c r="B525" s="2" t="s">
        <v>3418</v>
      </c>
      <c r="C525" s="2" t="s">
        <v>2595</v>
      </c>
      <c r="D525" s="2" t="s">
        <v>3419</v>
      </c>
      <c r="E525" s="51"/>
      <c r="F525" s="47"/>
      <c r="G525" s="52">
        <f t="array" ref="G525">MAX(IF(INSTOCK!$H$2:$H$2025=B525,INSTOCK!$K$2:$K$2025))</f>
        <v>0</v>
      </c>
      <c r="H525" s="53">
        <f>SUM(IF(INSTOCK!$H$2:$H$2025=B525,INSTOCK!$I$2:$I$2025))</f>
        <v>0</v>
      </c>
      <c r="I525" s="53" t="str">
        <f>SUM(IF([1]!Table13[ID]=B525,[1]!Table13[QTY]))</f>
        <v>#ERROR!</v>
      </c>
      <c r="J525" s="53" t="str">
        <f>TABLEITEM!$H$3:$H$1138-TABLEITEM!$I$3:$I$1138</f>
        <v>#ERROR!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hidden="1" customHeight="1">
      <c r="A526" s="47">
        <v>525.0</v>
      </c>
      <c r="B526" s="2" t="s">
        <v>3420</v>
      </c>
      <c r="C526" s="2" t="s">
        <v>2595</v>
      </c>
      <c r="D526" s="2" t="s">
        <v>3421</v>
      </c>
      <c r="E526" s="51"/>
      <c r="F526" s="47"/>
      <c r="G526" s="52">
        <f t="array" ref="G526">MAX(IF(INSTOCK!$H$2:$H$2025=B526,INSTOCK!$K$2:$K$2025))</f>
        <v>0</v>
      </c>
      <c r="H526" s="53">
        <f>SUM(IF(INSTOCK!$H$2:$H$2025=B526,INSTOCK!$I$2:$I$2025))</f>
        <v>0</v>
      </c>
      <c r="I526" s="53" t="str">
        <f>SUM(IF([1]!Table13[ID]=B526,[1]!Table13[QTY]))</f>
        <v>#ERROR!</v>
      </c>
      <c r="J526" s="53" t="str">
        <f>TABLEITEM!$H$3:$H$1138-TABLEITEM!$I$3:$I$1138</f>
        <v>#ERROR!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hidden="1" customHeight="1">
      <c r="A527" s="47">
        <v>526.0</v>
      </c>
      <c r="B527" s="2" t="s">
        <v>507</v>
      </c>
      <c r="C527" s="2" t="s">
        <v>2595</v>
      </c>
      <c r="D527" s="2" t="s">
        <v>3422</v>
      </c>
      <c r="E527" s="51"/>
      <c r="F527" s="47"/>
      <c r="G527" s="52">
        <f t="array" ref="G527">MAX(IF(INSTOCK!$H$2:$H$2025=B527,INSTOCK!$K$2:$K$2025))</f>
        <v>0</v>
      </c>
      <c r="H527" s="53">
        <f>SUM(IF(INSTOCK!$H$2:$H$2025=B527,INSTOCK!$I$2:$I$2025))</f>
        <v>0</v>
      </c>
      <c r="I527" s="53" t="str">
        <f>SUM(IF([1]!Table13[ID]=B527,[1]!Table13[QTY]))</f>
        <v>#ERROR!</v>
      </c>
      <c r="J527" s="53" t="str">
        <f>TABLEITEM!$H$3:$H$1138-TABLEITEM!$I$3:$I$1138</f>
        <v>#ERROR!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hidden="1" customHeight="1">
      <c r="A528" s="47">
        <v>527.0</v>
      </c>
      <c r="B528" s="2" t="s">
        <v>1796</v>
      </c>
      <c r="C528" s="2" t="s">
        <v>2595</v>
      </c>
      <c r="D528" s="2" t="s">
        <v>3423</v>
      </c>
      <c r="E528" s="51"/>
      <c r="F528" s="47"/>
      <c r="G528" s="52">
        <f t="array" ref="G528">MAX(IF(INSTOCK!$H$2:$H$2025=B528,INSTOCK!$K$2:$K$2025))</f>
        <v>0</v>
      </c>
      <c r="H528" s="53">
        <f>SUM(IF(INSTOCK!$H$2:$H$2025=B528,INSTOCK!$I$2:$I$2025))</f>
        <v>0</v>
      </c>
      <c r="I528" s="53" t="str">
        <f>SUM(IF([1]!Table13[ID]=B528,[1]!Table13[QTY]))</f>
        <v>#ERROR!</v>
      </c>
      <c r="J528" s="53" t="str">
        <f>TABLEITEM!$H$3:$H$1138-TABLEITEM!$I$3:$I$1138</f>
        <v>#ERROR!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hidden="1" customHeight="1">
      <c r="A529" s="47">
        <v>528.0</v>
      </c>
      <c r="B529" s="2" t="s">
        <v>3424</v>
      </c>
      <c r="C529" s="2" t="s">
        <v>2595</v>
      </c>
      <c r="D529" s="2" t="s">
        <v>3425</v>
      </c>
      <c r="E529" s="51"/>
      <c r="F529" s="47"/>
      <c r="G529" s="52">
        <f t="array" ref="G529">MAX(IF(INSTOCK!$H$2:$H$2025=B529,INSTOCK!$K$2:$K$2025))</f>
        <v>0</v>
      </c>
      <c r="H529" s="53">
        <f>SUM(IF(INSTOCK!$H$2:$H$2025=B529,INSTOCK!$I$2:$I$2025))</f>
        <v>0</v>
      </c>
      <c r="I529" s="53" t="str">
        <f>SUM(IF([1]!Table13[ID]=B529,[1]!Table13[QTY]))</f>
        <v>#ERROR!</v>
      </c>
      <c r="J529" s="53" t="str">
        <f>TABLEITEM!$H$3:$H$1138-TABLEITEM!$I$3:$I$1138</f>
        <v>#ERROR!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hidden="1" customHeight="1">
      <c r="A530" s="47">
        <v>529.0</v>
      </c>
      <c r="B530" s="2" t="s">
        <v>3426</v>
      </c>
      <c r="C530" s="2" t="s">
        <v>2595</v>
      </c>
      <c r="D530" s="2" t="s">
        <v>3427</v>
      </c>
      <c r="E530" s="51"/>
      <c r="F530" s="47"/>
      <c r="G530" s="52">
        <f t="array" ref="G530">MAX(IF(INSTOCK!$H$2:$H$2025=B530,INSTOCK!$K$2:$K$2025))</f>
        <v>0</v>
      </c>
      <c r="H530" s="53">
        <f>SUM(IF(INSTOCK!$H$2:$H$2025=B530,INSTOCK!$I$2:$I$2025))</f>
        <v>0</v>
      </c>
      <c r="I530" s="53" t="str">
        <f>SUM(IF([1]!Table13[ID]=B530,[1]!Table13[QTY]))</f>
        <v>#ERROR!</v>
      </c>
      <c r="J530" s="53" t="str">
        <f>TABLEITEM!$H$3:$H$1138-TABLEITEM!$I$3:$I$1138</f>
        <v>#ERROR!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hidden="1" customHeight="1">
      <c r="A531" s="47">
        <v>530.0</v>
      </c>
      <c r="B531" s="2" t="s">
        <v>3428</v>
      </c>
      <c r="C531" s="2" t="s">
        <v>2595</v>
      </c>
      <c r="D531" s="2" t="s">
        <v>3429</v>
      </c>
      <c r="E531" s="51"/>
      <c r="F531" s="47"/>
      <c r="G531" s="52">
        <f t="array" ref="G531">MAX(IF(INSTOCK!$H$2:$H$2025=B531,INSTOCK!$K$2:$K$2025))</f>
        <v>0</v>
      </c>
      <c r="H531" s="53">
        <f>SUM(IF(INSTOCK!$H$2:$H$2025=B531,INSTOCK!$I$2:$I$2025))</f>
        <v>0</v>
      </c>
      <c r="I531" s="53" t="str">
        <f>SUM(IF([1]!Table13[ID]=B531,[1]!Table13[QTY]))</f>
        <v>#ERROR!</v>
      </c>
      <c r="J531" s="53" t="str">
        <f>TABLEITEM!$H$3:$H$1138-TABLEITEM!$I$3:$I$1138</f>
        <v>#ERROR!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hidden="1" customHeight="1">
      <c r="A532" s="47">
        <v>531.0</v>
      </c>
      <c r="B532" s="2" t="s">
        <v>3430</v>
      </c>
      <c r="C532" s="2" t="s">
        <v>2595</v>
      </c>
      <c r="D532" s="2" t="s">
        <v>3431</v>
      </c>
      <c r="E532" s="51"/>
      <c r="F532" s="47"/>
      <c r="G532" s="52">
        <f t="array" ref="G532">MAX(IF(INSTOCK!$H$2:$H$2025=B532,INSTOCK!$K$2:$K$2025))</f>
        <v>0</v>
      </c>
      <c r="H532" s="53">
        <f>SUM(IF(INSTOCK!$H$2:$H$2025=B532,INSTOCK!$I$2:$I$2025))</f>
        <v>0</v>
      </c>
      <c r="I532" s="53" t="str">
        <f>SUM(IF([1]!Table13[ID]=B532,[1]!Table13[QTY]))</f>
        <v>#ERROR!</v>
      </c>
      <c r="J532" s="53" t="str">
        <f>TABLEITEM!$H$3:$H$1138-TABLEITEM!$I$3:$I$1138</f>
        <v>#ERROR!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hidden="1" customHeight="1">
      <c r="A533" s="47">
        <v>532.0</v>
      </c>
      <c r="B533" s="2" t="s">
        <v>3432</v>
      </c>
      <c r="C533" s="2" t="s">
        <v>2595</v>
      </c>
      <c r="D533" s="2" t="s">
        <v>3433</v>
      </c>
      <c r="E533" s="51"/>
      <c r="F533" s="47"/>
      <c r="G533" s="52">
        <f t="array" ref="G533">MAX(IF(INSTOCK!$H$2:$H$2025=B533,INSTOCK!$K$2:$K$2025))</f>
        <v>0</v>
      </c>
      <c r="H533" s="53">
        <f>SUM(IF(INSTOCK!$H$2:$H$2025=B533,INSTOCK!$I$2:$I$2025))</f>
        <v>0</v>
      </c>
      <c r="I533" s="53" t="str">
        <f>SUM(IF([1]!Table13[ID]=B533,[1]!Table13[QTY]))</f>
        <v>#ERROR!</v>
      </c>
      <c r="J533" s="53" t="str">
        <f>TABLEITEM!$H$3:$H$1138-TABLEITEM!$I$3:$I$1138</f>
        <v>#ERROR!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hidden="1" customHeight="1">
      <c r="A534" s="47">
        <v>533.0</v>
      </c>
      <c r="B534" s="2" t="s">
        <v>3434</v>
      </c>
      <c r="C534" s="2" t="s">
        <v>2595</v>
      </c>
      <c r="D534" s="2" t="s">
        <v>3435</v>
      </c>
      <c r="E534" s="51"/>
      <c r="F534" s="47"/>
      <c r="G534" s="52">
        <f t="array" ref="G534">MAX(IF(INSTOCK!$H$2:$H$2025=B534,INSTOCK!$K$2:$K$2025))</f>
        <v>0</v>
      </c>
      <c r="H534" s="53">
        <f>SUM(IF(INSTOCK!$H$2:$H$2025=B534,INSTOCK!$I$2:$I$2025))</f>
        <v>0</v>
      </c>
      <c r="I534" s="53" t="str">
        <f>SUM(IF([1]!Table13[ID]=B534,[1]!Table13[QTY]))</f>
        <v>#ERROR!</v>
      </c>
      <c r="J534" s="53" t="str">
        <f>TABLEITEM!$H$3:$H$1138-TABLEITEM!$I$3:$I$1138</f>
        <v>#ERROR!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hidden="1" customHeight="1">
      <c r="A535" s="47">
        <v>534.0</v>
      </c>
      <c r="B535" s="2" t="s">
        <v>539</v>
      </c>
      <c r="C535" s="2" t="s">
        <v>2595</v>
      </c>
      <c r="D535" s="2" t="s">
        <v>3436</v>
      </c>
      <c r="E535" s="51"/>
      <c r="F535" s="47"/>
      <c r="G535" s="52">
        <f t="array" ref="G535">MAX(IF(INSTOCK!$H$2:$H$2025=B535,INSTOCK!$K$2:$K$2025))</f>
        <v>0</v>
      </c>
      <c r="H535" s="53">
        <f>SUM(IF(INSTOCK!$H$2:$H$2025=B535,INSTOCK!$I$2:$I$2025))</f>
        <v>0</v>
      </c>
      <c r="I535" s="53" t="str">
        <f>SUM(IF([1]!Table13[ID]=B535,[1]!Table13[QTY]))</f>
        <v>#ERROR!</v>
      </c>
      <c r="J535" s="53" t="str">
        <f>TABLEITEM!$H$3:$H$1138-TABLEITEM!$I$3:$I$1138</f>
        <v>#ERROR!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hidden="1" customHeight="1">
      <c r="A536" s="47">
        <v>535.0</v>
      </c>
      <c r="B536" s="2" t="s">
        <v>504</v>
      </c>
      <c r="C536" s="2" t="s">
        <v>2595</v>
      </c>
      <c r="D536" s="2" t="s">
        <v>3437</v>
      </c>
      <c r="E536" s="51"/>
      <c r="F536" s="47"/>
      <c r="G536" s="52">
        <f t="array" ref="G536">MAX(IF(INSTOCK!$H$2:$H$2025=B536,INSTOCK!$K$2:$K$2025))</f>
        <v>0</v>
      </c>
      <c r="H536" s="53">
        <f>SUM(IF(INSTOCK!$H$2:$H$2025=B536,INSTOCK!$I$2:$I$2025))</f>
        <v>0</v>
      </c>
      <c r="I536" s="53" t="str">
        <f>SUM(IF([1]!Table13[ID]=B536,[1]!Table13[QTY]))</f>
        <v>#ERROR!</v>
      </c>
      <c r="J536" s="53" t="str">
        <f>TABLEITEM!$H$3:$H$1138-TABLEITEM!$I$3:$I$1138</f>
        <v>#ERROR!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hidden="1" customHeight="1">
      <c r="A537" s="47">
        <v>536.0</v>
      </c>
      <c r="B537" s="2" t="s">
        <v>3438</v>
      </c>
      <c r="C537" s="2" t="s">
        <v>2595</v>
      </c>
      <c r="D537" s="2" t="s">
        <v>3439</v>
      </c>
      <c r="E537" s="51"/>
      <c r="F537" s="47"/>
      <c r="G537" s="52">
        <f t="array" ref="G537">MAX(IF(INSTOCK!$H$2:$H$2025=B537,INSTOCK!$K$2:$K$2025))</f>
        <v>0</v>
      </c>
      <c r="H537" s="53">
        <f>SUM(IF(INSTOCK!$H$2:$H$2025=B537,INSTOCK!$I$2:$I$2025))</f>
        <v>0</v>
      </c>
      <c r="I537" s="53" t="str">
        <f>SUM(IF([1]!Table13[ID]=B537,[1]!Table13[QTY]))</f>
        <v>#ERROR!</v>
      </c>
      <c r="J537" s="53" t="str">
        <f>TABLEITEM!$H$3:$H$1138-TABLEITEM!$I$3:$I$1138</f>
        <v>#ERROR!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hidden="1" customHeight="1">
      <c r="A538" s="47">
        <v>537.0</v>
      </c>
      <c r="B538" s="2" t="s">
        <v>540</v>
      </c>
      <c r="C538" s="2" t="s">
        <v>2595</v>
      </c>
      <c r="D538" s="2" t="s">
        <v>3440</v>
      </c>
      <c r="E538" s="51"/>
      <c r="F538" s="47"/>
      <c r="G538" s="52">
        <f t="array" ref="G538">MAX(IF(INSTOCK!$H$2:$H$2025=B538,INSTOCK!$K$2:$K$2025))</f>
        <v>0</v>
      </c>
      <c r="H538" s="53">
        <f>SUM(IF(INSTOCK!$H$2:$H$2025=B538,INSTOCK!$I$2:$I$2025))</f>
        <v>0</v>
      </c>
      <c r="I538" s="53" t="str">
        <f>SUM(IF([1]!Table13[ID]=B538,[1]!Table13[QTY]))</f>
        <v>#ERROR!</v>
      </c>
      <c r="J538" s="53" t="str">
        <f>TABLEITEM!$H$3:$H$1138-TABLEITEM!$I$3:$I$1138</f>
        <v>#ERROR!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hidden="1" customHeight="1">
      <c r="A539" s="47">
        <v>538.0</v>
      </c>
      <c r="B539" s="2" t="s">
        <v>3441</v>
      </c>
      <c r="C539" s="2" t="s">
        <v>2595</v>
      </c>
      <c r="D539" s="2" t="s">
        <v>3442</v>
      </c>
      <c r="E539" s="51"/>
      <c r="F539" s="47"/>
      <c r="G539" s="52">
        <f t="array" ref="G539">MAX(IF(INSTOCK!$H$2:$H$2025=B539,INSTOCK!$K$2:$K$2025))</f>
        <v>0</v>
      </c>
      <c r="H539" s="53">
        <f>SUM(IF(INSTOCK!$H$2:$H$2025=B539,INSTOCK!$I$2:$I$2025))</f>
        <v>0</v>
      </c>
      <c r="I539" s="53" t="str">
        <f>SUM(IF([1]!Table13[ID]=B539,[1]!Table13[QTY]))</f>
        <v>#ERROR!</v>
      </c>
      <c r="J539" s="53" t="str">
        <f>TABLEITEM!$H$3:$H$1138-TABLEITEM!$I$3:$I$1138</f>
        <v>#ERROR!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hidden="1" customHeight="1">
      <c r="A540" s="47">
        <v>539.0</v>
      </c>
      <c r="B540" s="2" t="s">
        <v>3443</v>
      </c>
      <c r="C540" s="2" t="s">
        <v>2595</v>
      </c>
      <c r="D540" s="2" t="s">
        <v>3444</v>
      </c>
      <c r="E540" s="51"/>
      <c r="F540" s="47"/>
      <c r="G540" s="52">
        <f t="array" ref="G540">MAX(IF(INSTOCK!$H$2:$H$2025=B540,INSTOCK!$K$2:$K$2025))</f>
        <v>0</v>
      </c>
      <c r="H540" s="53">
        <f>SUM(IF(INSTOCK!$H$2:$H$2025=B540,INSTOCK!$I$2:$I$2025))</f>
        <v>0</v>
      </c>
      <c r="I540" s="53" t="str">
        <f>SUM(IF([1]!Table13[ID]=B540,[1]!Table13[QTY]))</f>
        <v>#ERROR!</v>
      </c>
      <c r="J540" s="53" t="str">
        <f>TABLEITEM!$H$3:$H$1138-TABLEITEM!$I$3:$I$1138</f>
        <v>#ERROR!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hidden="1" customHeight="1">
      <c r="A541" s="47">
        <v>540.0</v>
      </c>
      <c r="B541" s="2" t="s">
        <v>592</v>
      </c>
      <c r="C541" s="2" t="s">
        <v>2595</v>
      </c>
      <c r="D541" s="2" t="s">
        <v>3445</v>
      </c>
      <c r="E541" s="51"/>
      <c r="F541" s="47"/>
      <c r="G541" s="52">
        <f t="array" ref="G541">MAX(IF(INSTOCK!$H$2:$H$2025=B541,INSTOCK!$K$2:$K$2025))</f>
        <v>0</v>
      </c>
      <c r="H541" s="53">
        <f>SUM(IF(INSTOCK!$H$2:$H$2025=B541,INSTOCK!$I$2:$I$2025))</f>
        <v>0</v>
      </c>
      <c r="I541" s="53" t="str">
        <f>SUM(IF([1]!Table13[ID]=B541,[1]!Table13[QTY]))</f>
        <v>#ERROR!</v>
      </c>
      <c r="J541" s="53" t="str">
        <f>TABLEITEM!$H$3:$H$1138-TABLEITEM!$I$3:$I$1138</f>
        <v>#ERROR!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hidden="1" customHeight="1">
      <c r="A542" s="47">
        <v>541.0</v>
      </c>
      <c r="B542" s="2" t="s">
        <v>3446</v>
      </c>
      <c r="C542" s="2" t="s">
        <v>2595</v>
      </c>
      <c r="D542" s="2" t="s">
        <v>3447</v>
      </c>
      <c r="E542" s="51"/>
      <c r="F542" s="47"/>
      <c r="G542" s="52">
        <f t="array" ref="G542">MAX(IF(INSTOCK!$H$2:$H$2025=B542,INSTOCK!$K$2:$K$2025))</f>
        <v>0</v>
      </c>
      <c r="H542" s="53">
        <f>SUM(IF(INSTOCK!$H$2:$H$2025=B542,INSTOCK!$I$2:$I$2025))</f>
        <v>0</v>
      </c>
      <c r="I542" s="53" t="str">
        <f>SUM(IF([1]!Table13[ID]=B542,[1]!Table13[QTY]))</f>
        <v>#ERROR!</v>
      </c>
      <c r="J542" s="53" t="str">
        <f>TABLEITEM!$H$3:$H$1138-TABLEITEM!$I$3:$I$1138</f>
        <v>#ERROR!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hidden="1" customHeight="1">
      <c r="A543" s="47">
        <v>542.0</v>
      </c>
      <c r="B543" s="2" t="s">
        <v>593</v>
      </c>
      <c r="C543" s="2" t="s">
        <v>2595</v>
      </c>
      <c r="D543" s="2" t="s">
        <v>3448</v>
      </c>
      <c r="E543" s="51"/>
      <c r="F543" s="47"/>
      <c r="G543" s="52">
        <f t="array" ref="G543">MAX(IF(INSTOCK!$H$2:$H$2025=B543,INSTOCK!$K$2:$K$2025))</f>
        <v>0</v>
      </c>
      <c r="H543" s="53">
        <f>SUM(IF(INSTOCK!$H$2:$H$2025=B543,INSTOCK!$I$2:$I$2025))</f>
        <v>0</v>
      </c>
      <c r="I543" s="53" t="str">
        <f>SUM(IF([1]!Table13[ID]=B543,[1]!Table13[QTY]))</f>
        <v>#ERROR!</v>
      </c>
      <c r="J543" s="53" t="str">
        <f>TABLEITEM!$H$3:$H$1138-TABLEITEM!$I$3:$I$1138</f>
        <v>#ERROR!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hidden="1" customHeight="1">
      <c r="A544" s="47">
        <v>543.0</v>
      </c>
      <c r="B544" s="2" t="s">
        <v>3449</v>
      </c>
      <c r="C544" s="2" t="s">
        <v>2595</v>
      </c>
      <c r="D544" s="2" t="s">
        <v>3450</v>
      </c>
      <c r="E544" s="51"/>
      <c r="F544" s="47"/>
      <c r="G544" s="52">
        <f t="array" ref="G544">MAX(IF(INSTOCK!$H$2:$H$2025=B544,INSTOCK!$K$2:$K$2025))</f>
        <v>0</v>
      </c>
      <c r="H544" s="53">
        <f>SUM(IF(INSTOCK!$H$2:$H$2025=B544,INSTOCK!$I$2:$I$2025))</f>
        <v>0</v>
      </c>
      <c r="I544" s="53" t="str">
        <f>SUM(IF([1]!Table13[ID]=B544,[1]!Table13[QTY]))</f>
        <v>#ERROR!</v>
      </c>
      <c r="J544" s="53" t="str">
        <f>TABLEITEM!$H$3:$H$1138-TABLEITEM!$I$3:$I$1138</f>
        <v>#ERROR!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hidden="1" customHeight="1">
      <c r="A545" s="47">
        <v>544.0</v>
      </c>
      <c r="B545" s="2" t="s">
        <v>505</v>
      </c>
      <c r="C545" s="2" t="s">
        <v>2595</v>
      </c>
      <c r="D545" s="2" t="s">
        <v>3451</v>
      </c>
      <c r="E545" s="51"/>
      <c r="F545" s="47"/>
      <c r="G545" s="52">
        <f t="array" ref="G545">MAX(IF(INSTOCK!$H$2:$H$2025=B545,INSTOCK!$K$2:$K$2025))</f>
        <v>0</v>
      </c>
      <c r="H545" s="53">
        <f>SUM(IF(INSTOCK!$H$2:$H$2025=B545,INSTOCK!$I$2:$I$2025))</f>
        <v>0</v>
      </c>
      <c r="I545" s="53" t="str">
        <f>SUM(IF([1]!Table13[ID]=B545,[1]!Table13[QTY]))</f>
        <v>#ERROR!</v>
      </c>
      <c r="J545" s="53" t="str">
        <f>TABLEITEM!$H$3:$H$1138-TABLEITEM!$I$3:$I$1138</f>
        <v>#ERROR!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hidden="1" customHeight="1">
      <c r="A546" s="47">
        <v>545.0</v>
      </c>
      <c r="B546" s="2" t="s">
        <v>3452</v>
      </c>
      <c r="C546" s="2" t="s">
        <v>2595</v>
      </c>
      <c r="D546" s="2" t="s">
        <v>3453</v>
      </c>
      <c r="E546" s="51"/>
      <c r="F546" s="47"/>
      <c r="G546" s="52">
        <f t="array" ref="G546">MAX(IF(INSTOCK!$H$2:$H$2025=B546,INSTOCK!$K$2:$K$2025))</f>
        <v>0</v>
      </c>
      <c r="H546" s="53">
        <f>SUM(IF(INSTOCK!$H$2:$H$2025=B546,INSTOCK!$I$2:$I$2025))</f>
        <v>0</v>
      </c>
      <c r="I546" s="53" t="str">
        <f>SUM(IF([1]!Table13[ID]=B546,[1]!Table13[QTY]))</f>
        <v>#ERROR!</v>
      </c>
      <c r="J546" s="53" t="str">
        <f>TABLEITEM!$H$3:$H$1138-TABLEITEM!$I$3:$I$1138</f>
        <v>#ERROR!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hidden="1" customHeight="1">
      <c r="A547" s="47">
        <v>546.0</v>
      </c>
      <c r="B547" s="2" t="s">
        <v>656</v>
      </c>
      <c r="C547" s="2" t="s">
        <v>2595</v>
      </c>
      <c r="D547" s="2" t="s">
        <v>3454</v>
      </c>
      <c r="E547" s="51"/>
      <c r="F547" s="47"/>
      <c r="G547" s="52">
        <f t="array" ref="G547">MAX(IF(INSTOCK!$H$2:$H$2025=B547,INSTOCK!$K$2:$K$2025))</f>
        <v>0</v>
      </c>
      <c r="H547" s="53">
        <f>SUM(IF(INSTOCK!$H$2:$H$2025=B547,INSTOCK!$I$2:$I$2025))</f>
        <v>0</v>
      </c>
      <c r="I547" s="53" t="str">
        <f>SUM(IF([1]!Table13[ID]=B547,[1]!Table13[QTY]))</f>
        <v>#ERROR!</v>
      </c>
      <c r="J547" s="53" t="str">
        <f>TABLEITEM!$H$3:$H$1138-TABLEITEM!$I$3:$I$1138</f>
        <v>#ERROR!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hidden="1" customHeight="1">
      <c r="A548" s="47">
        <v>547.0</v>
      </c>
      <c r="B548" s="2" t="s">
        <v>3455</v>
      </c>
      <c r="C548" s="2" t="s">
        <v>2595</v>
      </c>
      <c r="D548" s="2" t="s">
        <v>3456</v>
      </c>
      <c r="E548" s="51"/>
      <c r="F548" s="47"/>
      <c r="G548" s="52">
        <f t="array" ref="G548">MAX(IF(INSTOCK!$H$2:$H$2025=B548,INSTOCK!$K$2:$K$2025))</f>
        <v>0</v>
      </c>
      <c r="H548" s="53">
        <f>SUM(IF(INSTOCK!$H$2:$H$2025=B548,INSTOCK!$I$2:$I$2025))</f>
        <v>0</v>
      </c>
      <c r="I548" s="53" t="str">
        <f>SUM(IF([1]!Table13[ID]=B548,[1]!Table13[QTY]))</f>
        <v>#ERROR!</v>
      </c>
      <c r="J548" s="53" t="str">
        <f>TABLEITEM!$H$3:$H$1138-TABLEITEM!$I$3:$I$1138</f>
        <v>#ERROR!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hidden="1" customHeight="1">
      <c r="A549" s="47">
        <v>548.0</v>
      </c>
      <c r="B549" s="2" t="s">
        <v>3457</v>
      </c>
      <c r="C549" s="2" t="s">
        <v>2595</v>
      </c>
      <c r="D549" s="2" t="s">
        <v>3458</v>
      </c>
      <c r="E549" s="51"/>
      <c r="F549" s="47"/>
      <c r="G549" s="52">
        <f t="array" ref="G549">MAX(IF(INSTOCK!$H$2:$H$2025=B549,INSTOCK!$K$2:$K$2025))</f>
        <v>0</v>
      </c>
      <c r="H549" s="53">
        <f>SUM(IF(INSTOCK!$H$2:$H$2025=B549,INSTOCK!$I$2:$I$2025))</f>
        <v>0</v>
      </c>
      <c r="I549" s="53" t="str">
        <f>SUM(IF([1]!Table13[ID]=B549,[1]!Table13[QTY]))</f>
        <v>#ERROR!</v>
      </c>
      <c r="J549" s="53" t="str">
        <f>TABLEITEM!$H$3:$H$1138-TABLEITEM!$I$3:$I$1138</f>
        <v>#ERROR!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hidden="1" customHeight="1">
      <c r="A550" s="47">
        <v>549.0</v>
      </c>
      <c r="B550" s="2" t="s">
        <v>3459</v>
      </c>
      <c r="C550" s="2" t="s">
        <v>2595</v>
      </c>
      <c r="D550" s="2" t="s">
        <v>3460</v>
      </c>
      <c r="E550" s="51"/>
      <c r="F550" s="47"/>
      <c r="G550" s="52">
        <f t="array" ref="G550">MAX(IF(INSTOCK!$H$2:$H$2025=B550,INSTOCK!$K$2:$K$2025))</f>
        <v>0</v>
      </c>
      <c r="H550" s="53">
        <f>SUM(IF(INSTOCK!$H$2:$H$2025=B550,INSTOCK!$I$2:$I$2025))</f>
        <v>0</v>
      </c>
      <c r="I550" s="53" t="str">
        <f>SUM(IF([1]!Table13[ID]=B550,[1]!Table13[QTY]))</f>
        <v>#ERROR!</v>
      </c>
      <c r="J550" s="53" t="str">
        <f>TABLEITEM!$H$3:$H$1138-TABLEITEM!$I$3:$I$1138</f>
        <v>#ERROR!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hidden="1" customHeight="1">
      <c r="A551" s="47">
        <v>550.0</v>
      </c>
      <c r="B551" s="2" t="s">
        <v>3461</v>
      </c>
      <c r="C551" s="2" t="s">
        <v>2595</v>
      </c>
      <c r="D551" s="2" t="s">
        <v>3462</v>
      </c>
      <c r="E551" s="51"/>
      <c r="F551" s="47"/>
      <c r="G551" s="52">
        <f t="array" ref="G551">MAX(IF(INSTOCK!$H$2:$H$2025=B551,INSTOCK!$K$2:$K$2025))</f>
        <v>0</v>
      </c>
      <c r="H551" s="53">
        <f>SUM(IF(INSTOCK!$H$2:$H$2025=B551,INSTOCK!$I$2:$I$2025))</f>
        <v>0</v>
      </c>
      <c r="I551" s="53" t="str">
        <f>SUM(IF([1]!Table13[ID]=B551,[1]!Table13[QTY]))</f>
        <v>#ERROR!</v>
      </c>
      <c r="J551" s="53" t="str">
        <f>TABLEITEM!$H$3:$H$1138-TABLEITEM!$I$3:$I$1138</f>
        <v>#ERROR!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hidden="1" customHeight="1">
      <c r="A552" s="47">
        <v>551.0</v>
      </c>
      <c r="B552" s="2" t="s">
        <v>3463</v>
      </c>
      <c r="C552" s="2" t="s">
        <v>2595</v>
      </c>
      <c r="D552" s="2" t="s">
        <v>3464</v>
      </c>
      <c r="E552" s="51"/>
      <c r="F552" s="47"/>
      <c r="G552" s="52">
        <f t="array" ref="G552">MAX(IF(INSTOCK!$H$2:$H$2025=B552,INSTOCK!$K$2:$K$2025))</f>
        <v>0</v>
      </c>
      <c r="H552" s="53">
        <f>SUM(IF(INSTOCK!$H$2:$H$2025=B552,INSTOCK!$I$2:$I$2025))</f>
        <v>0</v>
      </c>
      <c r="I552" s="53" t="str">
        <f>SUM(IF([1]!Table13[ID]=B552,[1]!Table13[QTY]))</f>
        <v>#ERROR!</v>
      </c>
      <c r="J552" s="53" t="str">
        <f>TABLEITEM!$H$3:$H$1138-TABLEITEM!$I$3:$I$1138</f>
        <v>#ERROR!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hidden="1" customHeight="1">
      <c r="A553" s="47">
        <v>552.0</v>
      </c>
      <c r="B553" s="2" t="s">
        <v>3465</v>
      </c>
      <c r="C553" s="2" t="s">
        <v>2595</v>
      </c>
      <c r="D553" s="2" t="s">
        <v>3466</v>
      </c>
      <c r="E553" s="51"/>
      <c r="F553" s="47"/>
      <c r="G553" s="52">
        <f t="array" ref="G553">MAX(IF(INSTOCK!$H$2:$H$2025=B553,INSTOCK!$K$2:$K$2025))</f>
        <v>0</v>
      </c>
      <c r="H553" s="53">
        <f>SUM(IF(INSTOCK!$H$2:$H$2025=B553,INSTOCK!$I$2:$I$2025))</f>
        <v>0</v>
      </c>
      <c r="I553" s="53" t="str">
        <f>SUM(IF([1]!Table13[ID]=B553,[1]!Table13[QTY]))</f>
        <v>#ERROR!</v>
      </c>
      <c r="J553" s="53" t="str">
        <f>TABLEITEM!$H$3:$H$1138-TABLEITEM!$I$3:$I$1138</f>
        <v>#ERROR!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hidden="1" customHeight="1">
      <c r="A554" s="47">
        <v>553.0</v>
      </c>
      <c r="B554" s="2" t="s">
        <v>3467</v>
      </c>
      <c r="C554" s="2" t="s">
        <v>2595</v>
      </c>
      <c r="D554" s="2" t="s">
        <v>3468</v>
      </c>
      <c r="E554" s="51"/>
      <c r="F554" s="47"/>
      <c r="G554" s="52">
        <f t="array" ref="G554">MAX(IF(INSTOCK!$H$2:$H$2025=B554,INSTOCK!$K$2:$K$2025))</f>
        <v>0</v>
      </c>
      <c r="H554" s="53">
        <f>SUM(IF(INSTOCK!$H$2:$H$2025=B554,INSTOCK!$I$2:$I$2025))</f>
        <v>0</v>
      </c>
      <c r="I554" s="53" t="str">
        <f>SUM(IF([1]!Table13[ID]=B554,[1]!Table13[QTY]))</f>
        <v>#ERROR!</v>
      </c>
      <c r="J554" s="53" t="str">
        <f>TABLEITEM!$H$3:$H$1138-TABLEITEM!$I$3:$I$1138</f>
        <v>#ERROR!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hidden="1" customHeight="1">
      <c r="A555" s="47">
        <v>554.0</v>
      </c>
      <c r="B555" s="2" t="s">
        <v>3469</v>
      </c>
      <c r="C555" s="2" t="s">
        <v>2595</v>
      </c>
      <c r="D555" s="2" t="s">
        <v>3470</v>
      </c>
      <c r="E555" s="51"/>
      <c r="F555" s="47"/>
      <c r="G555" s="52">
        <f t="array" ref="G555">MAX(IF(INSTOCK!$H$2:$H$2025=B555,INSTOCK!$K$2:$K$2025))</f>
        <v>0</v>
      </c>
      <c r="H555" s="53">
        <f>SUM(IF(INSTOCK!$H$2:$H$2025=B555,INSTOCK!$I$2:$I$2025))</f>
        <v>0</v>
      </c>
      <c r="I555" s="53" t="str">
        <f>SUM(IF([1]!Table13[ID]=B555,[1]!Table13[QTY]))</f>
        <v>#ERROR!</v>
      </c>
      <c r="J555" s="53" t="str">
        <f>TABLEITEM!$H$3:$H$1138-TABLEITEM!$I$3:$I$1138</f>
        <v>#ERROR!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hidden="1" customHeight="1">
      <c r="A556" s="47">
        <v>555.0</v>
      </c>
      <c r="B556" s="2" t="s">
        <v>3471</v>
      </c>
      <c r="C556" s="2" t="s">
        <v>2595</v>
      </c>
      <c r="D556" s="2" t="s">
        <v>3472</v>
      </c>
      <c r="E556" s="51"/>
      <c r="F556" s="47"/>
      <c r="G556" s="52">
        <f t="array" ref="G556">MAX(IF(INSTOCK!$H$2:$H$2025=B556,INSTOCK!$K$2:$K$2025))</f>
        <v>0</v>
      </c>
      <c r="H556" s="53">
        <f>SUM(IF(INSTOCK!$H$2:$H$2025=B556,INSTOCK!$I$2:$I$2025))</f>
        <v>0</v>
      </c>
      <c r="I556" s="53" t="str">
        <f>SUM(IF([1]!Table13[ID]=B556,[1]!Table13[QTY]))</f>
        <v>#ERROR!</v>
      </c>
      <c r="J556" s="53" t="str">
        <f>TABLEITEM!$H$3:$H$1138-TABLEITEM!$I$3:$I$1138</f>
        <v>#ERROR!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hidden="1" customHeight="1">
      <c r="A557" s="47">
        <v>556.0</v>
      </c>
      <c r="B557" s="2" t="s">
        <v>3473</v>
      </c>
      <c r="C557" s="2" t="s">
        <v>2595</v>
      </c>
      <c r="D557" s="2" t="s">
        <v>3474</v>
      </c>
      <c r="E557" s="51"/>
      <c r="F557" s="47"/>
      <c r="G557" s="52">
        <f t="array" ref="G557">MAX(IF(INSTOCK!$H$2:$H$2025=B557,INSTOCK!$K$2:$K$2025))</f>
        <v>0</v>
      </c>
      <c r="H557" s="53">
        <f>SUM(IF(INSTOCK!$H$2:$H$2025=B557,INSTOCK!$I$2:$I$2025))</f>
        <v>0</v>
      </c>
      <c r="I557" s="53" t="str">
        <f>SUM(IF([1]!Table13[ID]=B557,[1]!Table13[QTY]))</f>
        <v>#ERROR!</v>
      </c>
      <c r="J557" s="53" t="str">
        <f>TABLEITEM!$H$3:$H$1138-TABLEITEM!$I$3:$I$1138</f>
        <v>#ERROR!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hidden="1" customHeight="1">
      <c r="A558" s="47">
        <v>557.0</v>
      </c>
      <c r="B558" s="2" t="s">
        <v>3475</v>
      </c>
      <c r="C558" s="2" t="s">
        <v>2595</v>
      </c>
      <c r="D558" s="2" t="s">
        <v>3476</v>
      </c>
      <c r="E558" s="51"/>
      <c r="F558" s="47"/>
      <c r="G558" s="52">
        <f t="array" ref="G558">MAX(IF(INSTOCK!$H$2:$H$2025=B558,INSTOCK!$K$2:$K$2025))</f>
        <v>0</v>
      </c>
      <c r="H558" s="53">
        <f>SUM(IF(INSTOCK!$H$2:$H$2025=B558,INSTOCK!$I$2:$I$2025))</f>
        <v>0</v>
      </c>
      <c r="I558" s="53" t="str">
        <f>SUM(IF([1]!Table13[ID]=B558,[1]!Table13[QTY]))</f>
        <v>#ERROR!</v>
      </c>
      <c r="J558" s="53" t="str">
        <f>TABLEITEM!$H$3:$H$1138-TABLEITEM!$I$3:$I$1138</f>
        <v>#ERROR!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hidden="1" customHeight="1">
      <c r="A559" s="47">
        <v>558.0</v>
      </c>
      <c r="B559" s="2" t="s">
        <v>3477</v>
      </c>
      <c r="C559" s="2" t="s">
        <v>2595</v>
      </c>
      <c r="D559" s="2" t="s">
        <v>3478</v>
      </c>
      <c r="E559" s="51"/>
      <c r="F559" s="47"/>
      <c r="G559" s="52">
        <f t="array" ref="G559">MAX(IF(INSTOCK!$H$2:$H$2025=B559,INSTOCK!$K$2:$K$2025))</f>
        <v>0</v>
      </c>
      <c r="H559" s="53">
        <f>SUM(IF(INSTOCK!$H$2:$H$2025=B559,INSTOCK!$I$2:$I$2025))</f>
        <v>0</v>
      </c>
      <c r="I559" s="53" t="str">
        <f>SUM(IF([1]!Table13[ID]=B559,[1]!Table13[QTY]))</f>
        <v>#ERROR!</v>
      </c>
      <c r="J559" s="53" t="str">
        <f>TABLEITEM!$H$3:$H$1138-TABLEITEM!$I$3:$I$1138</f>
        <v>#ERROR!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hidden="1" customHeight="1">
      <c r="A560" s="47">
        <v>559.0</v>
      </c>
      <c r="B560" s="2" t="s">
        <v>487</v>
      </c>
      <c r="C560" s="2" t="s">
        <v>2595</v>
      </c>
      <c r="D560" s="2" t="s">
        <v>3479</v>
      </c>
      <c r="E560" s="51"/>
      <c r="F560" s="47"/>
      <c r="G560" s="52">
        <f t="array" ref="G560">MAX(IF(INSTOCK!$H$2:$H$2025=B560,INSTOCK!$K$2:$K$2025))</f>
        <v>0</v>
      </c>
      <c r="H560" s="53">
        <f>SUM(IF(INSTOCK!$H$2:$H$2025=B560,INSTOCK!$I$2:$I$2025))</f>
        <v>0</v>
      </c>
      <c r="I560" s="53" t="str">
        <f>SUM(IF([1]!Table13[ID]=B560,[1]!Table13[QTY]))</f>
        <v>#ERROR!</v>
      </c>
      <c r="J560" s="53" t="str">
        <f>TABLEITEM!$H$3:$H$1138-TABLEITEM!$I$3:$I$1138</f>
        <v>#ERROR!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hidden="1" customHeight="1">
      <c r="A561" s="47">
        <v>560.0</v>
      </c>
      <c r="B561" s="2" t="s">
        <v>486</v>
      </c>
      <c r="C561" s="2" t="s">
        <v>2595</v>
      </c>
      <c r="D561" s="2" t="s">
        <v>3480</v>
      </c>
      <c r="E561" s="51"/>
      <c r="F561" s="47"/>
      <c r="G561" s="52">
        <f t="array" ref="G561">MAX(IF(INSTOCK!$H$2:$H$2025=B561,INSTOCK!$K$2:$K$2025))</f>
        <v>0</v>
      </c>
      <c r="H561" s="53">
        <f>SUM(IF(INSTOCK!$H$2:$H$2025=B561,INSTOCK!$I$2:$I$2025))</f>
        <v>0</v>
      </c>
      <c r="I561" s="53" t="str">
        <f>SUM(IF([1]!Table13[ID]=B561,[1]!Table13[QTY]))</f>
        <v>#ERROR!</v>
      </c>
      <c r="J561" s="53" t="str">
        <f>TABLEITEM!$H$3:$H$1138-TABLEITEM!$I$3:$I$1138</f>
        <v>#ERROR!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hidden="1" customHeight="1">
      <c r="A562" s="47">
        <v>561.0</v>
      </c>
      <c r="B562" s="2" t="s">
        <v>73</v>
      </c>
      <c r="C562" s="2" t="s">
        <v>1056</v>
      </c>
      <c r="D562" s="2" t="s">
        <v>3481</v>
      </c>
      <c r="E562" s="51" t="s">
        <v>3482</v>
      </c>
      <c r="F562" s="47"/>
      <c r="G562" s="52">
        <f t="array" ref="G562">MAX(IF(INSTOCK!$H$2:$H$2025=B562,INSTOCK!$K$2:$K$2025))</f>
        <v>1400</v>
      </c>
      <c r="H562" s="53">
        <f>SUM(IF(INSTOCK!$H$2:$H$2025=B562,INSTOCK!$I$2:$I$2025))</f>
        <v>0</v>
      </c>
      <c r="I562" s="53" t="str">
        <f>SUM(IF([1]!Table13[ID]=B562,[1]!Table13[QTY]))</f>
        <v>#ERROR!</v>
      </c>
      <c r="J562" s="53" t="str">
        <f>TABLEITEM!$H$3:$H$1138-TABLEITEM!$I$3:$I$1138</f>
        <v>#ERROR!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hidden="1" customHeight="1">
      <c r="A563" s="47">
        <v>562.0</v>
      </c>
      <c r="B563" s="2" t="s">
        <v>166</v>
      </c>
      <c r="C563" s="2" t="s">
        <v>1056</v>
      </c>
      <c r="D563" s="2" t="s">
        <v>3483</v>
      </c>
      <c r="E563" s="51"/>
      <c r="F563" s="47"/>
      <c r="G563" s="52">
        <f t="array" ref="G563">MAX(IF(INSTOCK!$H$2:$H$2025=B563,INSTOCK!$K$2:$K$2025))</f>
        <v>2480</v>
      </c>
      <c r="H563" s="53">
        <f>SUM(IF(INSTOCK!$H$2:$H$2025=B563,INSTOCK!$I$2:$I$2025))</f>
        <v>0</v>
      </c>
      <c r="I563" s="53" t="str">
        <f>SUM(IF([1]!Table13[ID]=B563,[1]!Table13[QTY]))</f>
        <v>#ERROR!</v>
      </c>
      <c r="J563" s="53" t="str">
        <f>TABLEITEM!$H$3:$H$1138-TABLEITEM!$I$3:$I$1138</f>
        <v>#ERROR!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hidden="1" customHeight="1">
      <c r="A564" s="47">
        <v>563.0</v>
      </c>
      <c r="B564" s="2" t="s">
        <v>990</v>
      </c>
      <c r="C564" s="2" t="s">
        <v>1056</v>
      </c>
      <c r="D564" s="2" t="s">
        <v>3484</v>
      </c>
      <c r="E564" s="51"/>
      <c r="F564" s="47"/>
      <c r="G564" s="52">
        <f t="array" ref="G564">MAX(IF(INSTOCK!$H$2:$H$2025=B564,INSTOCK!$K$2:$K$2025))</f>
        <v>206.7</v>
      </c>
      <c r="H564" s="53">
        <f>SUM(IF(INSTOCK!$H$2:$H$2025=B564,INSTOCK!$I$2:$I$2025))</f>
        <v>0</v>
      </c>
      <c r="I564" s="53" t="str">
        <f>SUM(IF([1]!Table13[ID]=B564,[1]!Table13[QTY]))</f>
        <v>#ERROR!</v>
      </c>
      <c r="J564" s="53" t="str">
        <f>TABLEITEM!$H$3:$H$1138-TABLEITEM!$I$3:$I$1138</f>
        <v>#ERROR!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hidden="1" customHeight="1">
      <c r="A565" s="47">
        <v>564.0</v>
      </c>
      <c r="B565" s="2" t="s">
        <v>71</v>
      </c>
      <c r="C565" s="2" t="s">
        <v>1056</v>
      </c>
      <c r="D565" s="2" t="s">
        <v>3485</v>
      </c>
      <c r="E565" s="51" t="s">
        <v>3486</v>
      </c>
      <c r="F565" s="47"/>
      <c r="G565" s="52">
        <f t="array" ref="G565">MAX(IF(INSTOCK!$H$2:$H$2025=B565,INSTOCK!$K$2:$K$2025))</f>
        <v>2365</v>
      </c>
      <c r="H565" s="53">
        <f>SUM(IF(INSTOCK!$H$2:$H$2025=B565,INSTOCK!$I$2:$I$2025))</f>
        <v>0</v>
      </c>
      <c r="I565" s="53" t="str">
        <f>SUM(IF([1]!Table13[ID]=B565,[1]!Table13[QTY]))</f>
        <v>#ERROR!</v>
      </c>
      <c r="J565" s="53" t="str">
        <f>TABLEITEM!$H$3:$H$1138-TABLEITEM!$I$3:$I$1138</f>
        <v>#ERROR!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hidden="1" customHeight="1">
      <c r="A566" s="47">
        <v>565.0</v>
      </c>
      <c r="B566" s="2" t="s">
        <v>72</v>
      </c>
      <c r="C566" s="2" t="s">
        <v>1056</v>
      </c>
      <c r="D566" s="2" t="s">
        <v>3487</v>
      </c>
      <c r="E566" s="51" t="s">
        <v>3486</v>
      </c>
      <c r="F566" s="47"/>
      <c r="G566" s="52">
        <f t="array" ref="G566">MAX(IF(INSTOCK!$H$2:$H$2025=B566,INSTOCK!$K$2:$K$2025))</f>
        <v>4990</v>
      </c>
      <c r="H566" s="53">
        <f>SUM(IF(INSTOCK!$H$2:$H$2025=B566,INSTOCK!$I$2:$I$2025))</f>
        <v>0</v>
      </c>
      <c r="I566" s="53" t="str">
        <f>SUM(IF([1]!Table13[ID]=B566,[1]!Table13[QTY]))</f>
        <v>#ERROR!</v>
      </c>
      <c r="J566" s="53" t="str">
        <f>TABLEITEM!$H$3:$H$1138-TABLEITEM!$I$3:$I$1138</f>
        <v>#ERROR!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hidden="1" customHeight="1">
      <c r="A567" s="47">
        <v>566.0</v>
      </c>
      <c r="B567" s="2" t="s">
        <v>76</v>
      </c>
      <c r="C567" s="2" t="s">
        <v>1056</v>
      </c>
      <c r="D567" s="2" t="s">
        <v>3488</v>
      </c>
      <c r="E567" s="51" t="s">
        <v>3489</v>
      </c>
      <c r="F567" s="47"/>
      <c r="G567" s="52">
        <f t="array" ref="G567">MAX(IF(INSTOCK!$H$2:$H$2025=B567,INSTOCK!$K$2:$K$2025))</f>
        <v>520</v>
      </c>
      <c r="H567" s="53">
        <f>SUM(IF(INSTOCK!$H$2:$H$2025=B567,INSTOCK!$I$2:$I$2025))</f>
        <v>0</v>
      </c>
      <c r="I567" s="53" t="str">
        <f>SUM(IF([1]!Table13[ID]=B567,[1]!Table13[QTY]))</f>
        <v>#ERROR!</v>
      </c>
      <c r="J567" s="53" t="str">
        <f>TABLEITEM!$H$3:$H$1138-TABLEITEM!$I$3:$I$1138</f>
        <v>#ERROR!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hidden="1" customHeight="1">
      <c r="A568" s="47">
        <v>567.0</v>
      </c>
      <c r="B568" s="2" t="s">
        <v>39</v>
      </c>
      <c r="C568" s="2" t="s">
        <v>1056</v>
      </c>
      <c r="D568" s="2" t="s">
        <v>3490</v>
      </c>
      <c r="E568" s="51" t="s">
        <v>3491</v>
      </c>
      <c r="F568" s="47"/>
      <c r="G568" s="52">
        <f t="array" ref="G568">MAX(IF(INSTOCK!$H$2:$H$2025=B568,INSTOCK!$K$2:$K$2025))</f>
        <v>783.75</v>
      </c>
      <c r="H568" s="53">
        <f>SUM(IF(INSTOCK!$H$2:$H$2025=B568,INSTOCK!$I$2:$I$2025))</f>
        <v>0</v>
      </c>
      <c r="I568" s="53" t="str">
        <f>SUM(IF([1]!Table13[ID]=B568,[1]!Table13[QTY]))</f>
        <v>#ERROR!</v>
      </c>
      <c r="J568" s="53" t="str">
        <f>TABLEITEM!$H$3:$H$1138-TABLEITEM!$I$3:$I$1138</f>
        <v>#ERROR!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hidden="1" customHeight="1">
      <c r="A569" s="47">
        <v>568.0</v>
      </c>
      <c r="B569" s="2" t="s">
        <v>3492</v>
      </c>
      <c r="C569" s="2" t="s">
        <v>1056</v>
      </c>
      <c r="D569" s="2" t="s">
        <v>3493</v>
      </c>
      <c r="E569" s="51"/>
      <c r="F569" s="47"/>
      <c r="G569" s="52">
        <f t="array" ref="G569">MAX(IF(INSTOCK!$H$2:$H$2025=B569,INSTOCK!$K$2:$K$2025))</f>
        <v>0</v>
      </c>
      <c r="H569" s="53">
        <f>SUM(IF(INSTOCK!$H$2:$H$2025=B569,INSTOCK!$I$2:$I$2025))</f>
        <v>0</v>
      </c>
      <c r="I569" s="53" t="str">
        <f>SUM(IF([1]!Table13[ID]=B569,[1]!Table13[QTY]))</f>
        <v>#ERROR!</v>
      </c>
      <c r="J569" s="53" t="str">
        <f>TABLEITEM!$H$3:$H$1138-TABLEITEM!$I$3:$I$1138</f>
        <v>#ERROR!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hidden="1" customHeight="1">
      <c r="A570" s="47">
        <v>569.0</v>
      </c>
      <c r="B570" s="2" t="s">
        <v>40</v>
      </c>
      <c r="C570" s="2" t="s">
        <v>1056</v>
      </c>
      <c r="D570" s="2" t="s">
        <v>3494</v>
      </c>
      <c r="E570" s="51" t="s">
        <v>3491</v>
      </c>
      <c r="F570" s="47"/>
      <c r="G570" s="52">
        <f t="array" ref="G570">MAX(IF(INSTOCK!$H$2:$H$2025=B570,INSTOCK!$K$2:$K$2025))</f>
        <v>1062.56</v>
      </c>
      <c r="H570" s="53">
        <f>SUM(IF(INSTOCK!$H$2:$H$2025=B570,INSTOCK!$I$2:$I$2025))</f>
        <v>0</v>
      </c>
      <c r="I570" s="53" t="str">
        <f>SUM(IF([1]!Table13[ID]=B570,[1]!Table13[QTY]))</f>
        <v>#ERROR!</v>
      </c>
      <c r="J570" s="53" t="str">
        <f>TABLEITEM!$H$3:$H$1138-TABLEITEM!$I$3:$I$1138</f>
        <v>#ERROR!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hidden="1" customHeight="1">
      <c r="A571" s="47">
        <v>570.0</v>
      </c>
      <c r="B571" s="2" t="s">
        <v>41</v>
      </c>
      <c r="C571" s="2" t="s">
        <v>1056</v>
      </c>
      <c r="D571" s="2" t="s">
        <v>3495</v>
      </c>
      <c r="E571" s="51" t="s">
        <v>3491</v>
      </c>
      <c r="F571" s="47"/>
      <c r="G571" s="52">
        <f t="array" ref="G571">MAX(IF(INSTOCK!$H$2:$H$2025=B571,INSTOCK!$K$2:$K$2025))</f>
        <v>1282.5</v>
      </c>
      <c r="H571" s="53">
        <f>SUM(IF(INSTOCK!$H$2:$H$2025=B571,INSTOCK!$I$2:$I$2025))</f>
        <v>0</v>
      </c>
      <c r="I571" s="53" t="str">
        <f>SUM(IF([1]!Table13[ID]=B571,[1]!Table13[QTY]))</f>
        <v>#ERROR!</v>
      </c>
      <c r="J571" s="53" t="str">
        <f>TABLEITEM!$H$3:$H$1138-TABLEITEM!$I$3:$I$1138</f>
        <v>#ERROR!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hidden="1" customHeight="1">
      <c r="A572" s="47">
        <v>571.0</v>
      </c>
      <c r="B572" s="2" t="s">
        <v>42</v>
      </c>
      <c r="C572" s="2" t="s">
        <v>1056</v>
      </c>
      <c r="D572" s="2" t="s">
        <v>3496</v>
      </c>
      <c r="E572" s="51" t="s">
        <v>3491</v>
      </c>
      <c r="F572" s="47"/>
      <c r="G572" s="52">
        <f t="array" ref="G572">MAX(IF(INSTOCK!$H$2:$H$2025=B572,INSTOCK!$K$2:$K$2025))</f>
        <v>1605.975</v>
      </c>
      <c r="H572" s="53">
        <f>SUM(IF(INSTOCK!$H$2:$H$2025=B572,INSTOCK!$I$2:$I$2025))</f>
        <v>0</v>
      </c>
      <c r="I572" s="53" t="str">
        <f>SUM(IF([1]!Table13[ID]=B572,[1]!Table13[QTY]))</f>
        <v>#ERROR!</v>
      </c>
      <c r="J572" s="53" t="str">
        <f>TABLEITEM!$H$3:$H$1138-TABLEITEM!$I$3:$I$1138</f>
        <v>#ERROR!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hidden="1" customHeight="1">
      <c r="A573" s="47">
        <v>572.0</v>
      </c>
      <c r="B573" s="2" t="s">
        <v>43</v>
      </c>
      <c r="C573" s="2" t="s">
        <v>1056</v>
      </c>
      <c r="D573" s="2" t="s">
        <v>3497</v>
      </c>
      <c r="E573" s="51" t="s">
        <v>3491</v>
      </c>
      <c r="F573" s="47"/>
      <c r="G573" s="52">
        <f t="array" ref="G573">MAX(IF(INSTOCK!$H$2:$H$2025=B573,INSTOCK!$K$2:$K$2025))</f>
        <v>1733</v>
      </c>
      <c r="H573" s="53">
        <f>SUM(IF(INSTOCK!$H$2:$H$2025=B573,INSTOCK!$I$2:$I$2025))</f>
        <v>0</v>
      </c>
      <c r="I573" s="53" t="str">
        <f>SUM(IF([1]!Table13[ID]=B573,[1]!Table13[QTY]))</f>
        <v>#ERROR!</v>
      </c>
      <c r="J573" s="53" t="str">
        <f>TABLEITEM!$H$3:$H$1138-TABLEITEM!$I$3:$I$1138</f>
        <v>#ERROR!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hidden="1" customHeight="1">
      <c r="A574" s="47">
        <v>573.0</v>
      </c>
      <c r="B574" s="2" t="s">
        <v>44</v>
      </c>
      <c r="C574" s="2" t="s">
        <v>1056</v>
      </c>
      <c r="D574" s="2" t="s">
        <v>3498</v>
      </c>
      <c r="E574" s="51" t="s">
        <v>3491</v>
      </c>
      <c r="F574" s="47"/>
      <c r="G574" s="52">
        <f t="array" ref="G574">MAX(IF(INSTOCK!$H$2:$H$2025=B574,INSTOCK!$K$2:$K$2025))</f>
        <v>1502</v>
      </c>
      <c r="H574" s="53">
        <f>SUM(IF(INSTOCK!$H$2:$H$2025=B574,INSTOCK!$I$2:$I$2025))</f>
        <v>0</v>
      </c>
      <c r="I574" s="53" t="str">
        <f>SUM(IF([1]!Table13[ID]=B574,[1]!Table13[QTY]))</f>
        <v>#ERROR!</v>
      </c>
      <c r="J574" s="53" t="str">
        <f>TABLEITEM!$H$3:$H$1138-TABLEITEM!$I$3:$I$1138</f>
        <v>#ERROR!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hidden="1" customHeight="1">
      <c r="A575" s="47">
        <v>574.0</v>
      </c>
      <c r="B575" s="2" t="s">
        <v>45</v>
      </c>
      <c r="C575" s="2" t="s">
        <v>1056</v>
      </c>
      <c r="D575" s="2" t="s">
        <v>3499</v>
      </c>
      <c r="E575" s="51"/>
      <c r="F575" s="47"/>
      <c r="G575" s="52">
        <f t="array" ref="G575">MAX(IF(INSTOCK!$H$2:$H$2025=B575,INSTOCK!$K$2:$K$2025))</f>
        <v>0</v>
      </c>
      <c r="H575" s="53">
        <f>SUM(IF(INSTOCK!$H$2:$H$2025=B575,INSTOCK!$I$2:$I$2025))</f>
        <v>0</v>
      </c>
      <c r="I575" s="53" t="str">
        <f>SUM(IF([1]!Table13[ID]=B575,[1]!Table13[QTY]))</f>
        <v>#ERROR!</v>
      </c>
      <c r="J575" s="53" t="str">
        <f>TABLEITEM!$H$3:$H$1138-TABLEITEM!$I$3:$I$1138</f>
        <v>#ERROR!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hidden="1" customHeight="1">
      <c r="A576" s="47">
        <v>575.0</v>
      </c>
      <c r="B576" s="2" t="s">
        <v>46</v>
      </c>
      <c r="C576" s="2" t="s">
        <v>1056</v>
      </c>
      <c r="D576" s="2" t="s">
        <v>1057</v>
      </c>
      <c r="E576" s="51" t="s">
        <v>3500</v>
      </c>
      <c r="F576" s="47"/>
      <c r="G576" s="52">
        <f t="array" ref="G576">MAX(IF(INSTOCK!$H$2:$H$2025=B576,INSTOCK!$K$2:$K$2025))</f>
        <v>2345</v>
      </c>
      <c r="H576" s="53">
        <f>SUM(IF(INSTOCK!$H$2:$H$2025=B576,INSTOCK!$I$2:$I$2025))</f>
        <v>0</v>
      </c>
      <c r="I576" s="53" t="str">
        <f>SUM(IF([1]!Table13[ID]=B576,[1]!Table13[QTY]))</f>
        <v>#ERROR!</v>
      </c>
      <c r="J576" s="53" t="str">
        <f>TABLEITEM!$H$3:$H$1138-TABLEITEM!$I$3:$I$1138</f>
        <v>#ERROR!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hidden="1" customHeight="1">
      <c r="A577" s="47">
        <v>576.0</v>
      </c>
      <c r="B577" s="2" t="s">
        <v>47</v>
      </c>
      <c r="C577" s="2" t="s">
        <v>1056</v>
      </c>
      <c r="D577" s="2" t="s">
        <v>3501</v>
      </c>
      <c r="E577" s="51" t="s">
        <v>3500</v>
      </c>
      <c r="F577" s="47"/>
      <c r="G577" s="52">
        <f t="array" ref="G577">MAX(IF(INSTOCK!$H$2:$H$2025=B577,INSTOCK!$K$2:$K$2025))</f>
        <v>2881</v>
      </c>
      <c r="H577" s="53">
        <f>SUM(IF(INSTOCK!$H$2:$H$2025=B577,INSTOCK!$I$2:$I$2025))</f>
        <v>0</v>
      </c>
      <c r="I577" s="53" t="str">
        <f>SUM(IF([1]!Table13[ID]=B577,[1]!Table13[QTY]))</f>
        <v>#ERROR!</v>
      </c>
      <c r="J577" s="53" t="str">
        <f>TABLEITEM!$H$3:$H$1138-TABLEITEM!$I$3:$I$1138</f>
        <v>#ERROR!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hidden="1" customHeight="1">
      <c r="A578" s="47">
        <v>577.0</v>
      </c>
      <c r="B578" s="2" t="s">
        <v>118</v>
      </c>
      <c r="C578" s="2" t="s">
        <v>1056</v>
      </c>
      <c r="D578" s="2" t="s">
        <v>3502</v>
      </c>
      <c r="E578" s="51"/>
      <c r="F578" s="47"/>
      <c r="G578" s="52">
        <f t="array" ref="G578">MAX(IF(INSTOCK!$H$2:$H$2025=B578,INSTOCK!$K$2:$K$2025))</f>
        <v>0</v>
      </c>
      <c r="H578" s="53">
        <f>SUM(IF(INSTOCK!$H$2:$H$2025=B578,INSTOCK!$I$2:$I$2025))</f>
        <v>0</v>
      </c>
      <c r="I578" s="53" t="str">
        <f>SUM(IF([1]!Table13[ID]=B578,[1]!Table13[QTY]))</f>
        <v>#ERROR!</v>
      </c>
      <c r="J578" s="53" t="str">
        <f>TABLEITEM!$H$3:$H$1138-TABLEITEM!$I$3:$I$1138</f>
        <v>#ERROR!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hidden="1" customHeight="1">
      <c r="A579" s="47">
        <v>578.0</v>
      </c>
      <c r="B579" s="2" t="s">
        <v>3503</v>
      </c>
      <c r="C579" s="2" t="s">
        <v>1056</v>
      </c>
      <c r="D579" s="2" t="s">
        <v>3504</v>
      </c>
      <c r="E579" s="51"/>
      <c r="F579" s="47"/>
      <c r="G579" s="52">
        <f t="array" ref="G579">MAX(IF(INSTOCK!$H$2:$H$2025=B579,INSTOCK!$K$2:$K$2025))</f>
        <v>0</v>
      </c>
      <c r="H579" s="53">
        <f>SUM(IF(INSTOCK!$H$2:$H$2025=B579,INSTOCK!$I$2:$I$2025))</f>
        <v>0</v>
      </c>
      <c r="I579" s="53" t="str">
        <f>SUM(IF([1]!Table13[ID]=B579,[1]!Table13[QTY]))</f>
        <v>#ERROR!</v>
      </c>
      <c r="J579" s="53" t="str">
        <f>TABLEITEM!$H$3:$H$1138-TABLEITEM!$I$3:$I$1138</f>
        <v>#ERROR!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hidden="1" customHeight="1">
      <c r="A580" s="47">
        <v>579.0</v>
      </c>
      <c r="B580" s="2" t="s">
        <v>119</v>
      </c>
      <c r="C580" s="2" t="s">
        <v>1056</v>
      </c>
      <c r="D580" s="2" t="s">
        <v>3505</v>
      </c>
      <c r="E580" s="51"/>
      <c r="F580" s="47"/>
      <c r="G580" s="52">
        <f t="array" ref="G580">MAX(IF(INSTOCK!$H$2:$H$2025=B580,INSTOCK!$K$2:$K$2025))</f>
        <v>0</v>
      </c>
      <c r="H580" s="53">
        <f>SUM(IF(INSTOCK!$H$2:$H$2025=B580,INSTOCK!$I$2:$I$2025))</f>
        <v>0</v>
      </c>
      <c r="I580" s="53" t="str">
        <f>SUM(IF([1]!Table13[ID]=B580,[1]!Table13[QTY]))</f>
        <v>#ERROR!</v>
      </c>
      <c r="J580" s="53" t="str">
        <f>TABLEITEM!$H$3:$H$1138-TABLEITEM!$I$3:$I$1138</f>
        <v>#ERROR!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hidden="1" customHeight="1">
      <c r="A581" s="47">
        <v>580.0</v>
      </c>
      <c r="B581" s="2" t="s">
        <v>120</v>
      </c>
      <c r="C581" s="2" t="s">
        <v>1056</v>
      </c>
      <c r="D581" s="2" t="s">
        <v>3506</v>
      </c>
      <c r="E581" s="51"/>
      <c r="F581" s="47"/>
      <c r="G581" s="52">
        <f t="array" ref="G581">MAX(IF(INSTOCK!$H$2:$H$2025=B581,INSTOCK!$K$2:$K$2025))</f>
        <v>0</v>
      </c>
      <c r="H581" s="53">
        <f>SUM(IF(INSTOCK!$H$2:$H$2025=B581,INSTOCK!$I$2:$I$2025))</f>
        <v>0</v>
      </c>
      <c r="I581" s="53" t="str">
        <f>SUM(IF([1]!Table13[ID]=B581,[1]!Table13[QTY]))</f>
        <v>#ERROR!</v>
      </c>
      <c r="J581" s="53" t="str">
        <f>TABLEITEM!$H$3:$H$1138-TABLEITEM!$I$3:$I$1138</f>
        <v>#ERROR!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hidden="1" customHeight="1">
      <c r="A582" s="47">
        <v>581.0</v>
      </c>
      <c r="B582" s="2" t="s">
        <v>291</v>
      </c>
      <c r="C582" s="2" t="s">
        <v>1056</v>
      </c>
      <c r="D582" s="2" t="s">
        <v>3507</v>
      </c>
      <c r="E582" s="51"/>
      <c r="F582" s="47"/>
      <c r="G582" s="52">
        <f t="array" ref="G582">MAX(IF(INSTOCK!$H$2:$H$2025=B582,INSTOCK!$K$2:$K$2025))</f>
        <v>55</v>
      </c>
      <c r="H582" s="53">
        <f>SUM(IF(INSTOCK!$H$2:$H$2025=B582,INSTOCK!$I$2:$I$2025))</f>
        <v>0</v>
      </c>
      <c r="I582" s="53" t="str">
        <f>SUM(IF([1]!Table13[ID]=B582,[1]!Table13[QTY]))</f>
        <v>#ERROR!</v>
      </c>
      <c r="J582" s="53" t="str">
        <f>TABLEITEM!$H$3:$H$1138-TABLEITEM!$I$3:$I$1138</f>
        <v>#ERROR!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hidden="1" customHeight="1">
      <c r="A583" s="47">
        <v>582.0</v>
      </c>
      <c r="B583" s="2" t="s">
        <v>123</v>
      </c>
      <c r="C583" s="2" t="s">
        <v>1056</v>
      </c>
      <c r="D583" s="2" t="s">
        <v>3508</v>
      </c>
      <c r="E583" s="51"/>
      <c r="F583" s="47"/>
      <c r="G583" s="52">
        <f t="array" ref="G583">MAX(IF(INSTOCK!$H$2:$H$2025=B583,INSTOCK!$K$2:$K$2025))</f>
        <v>0</v>
      </c>
      <c r="H583" s="53">
        <f>SUM(IF(INSTOCK!$H$2:$H$2025=B583,INSTOCK!$I$2:$I$2025))</f>
        <v>0</v>
      </c>
      <c r="I583" s="53" t="str">
        <f>SUM(IF([1]!Table13[ID]=B583,[1]!Table13[QTY]))</f>
        <v>#ERROR!</v>
      </c>
      <c r="J583" s="53" t="str">
        <f>TABLEITEM!$H$3:$H$1138-TABLEITEM!$I$3:$I$1138</f>
        <v>#ERROR!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hidden="1" customHeight="1">
      <c r="A584" s="47">
        <v>583.0</v>
      </c>
      <c r="B584" s="2" t="s">
        <v>121</v>
      </c>
      <c r="C584" s="2" t="s">
        <v>1056</v>
      </c>
      <c r="D584" s="2" t="s">
        <v>3509</v>
      </c>
      <c r="E584" s="51"/>
      <c r="F584" s="47"/>
      <c r="G584" s="52">
        <f t="array" ref="G584">MAX(IF(INSTOCK!$H$2:$H$2025=B584,INSTOCK!$K$2:$K$2025))</f>
        <v>0</v>
      </c>
      <c r="H584" s="53">
        <f>SUM(IF(INSTOCK!$H$2:$H$2025=B584,INSTOCK!$I$2:$I$2025))</f>
        <v>0</v>
      </c>
      <c r="I584" s="53" t="str">
        <f>SUM(IF([1]!Table13[ID]=B584,[1]!Table13[QTY]))</f>
        <v>#ERROR!</v>
      </c>
      <c r="J584" s="53" t="str">
        <f>TABLEITEM!$H$3:$H$1138-TABLEITEM!$I$3:$I$1138</f>
        <v>#ERROR!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hidden="1" customHeight="1">
      <c r="A585" s="47">
        <v>584.0</v>
      </c>
      <c r="B585" s="2" t="s">
        <v>122</v>
      </c>
      <c r="C585" s="2" t="s">
        <v>1056</v>
      </c>
      <c r="D585" s="2" t="s">
        <v>3510</v>
      </c>
      <c r="E585" s="51"/>
      <c r="F585" s="47"/>
      <c r="G585" s="52">
        <f t="array" ref="G585">MAX(IF(INSTOCK!$H$2:$H$2025=B585,INSTOCK!$K$2:$K$2025))</f>
        <v>0</v>
      </c>
      <c r="H585" s="53">
        <f>SUM(IF(INSTOCK!$H$2:$H$2025=B585,INSTOCK!$I$2:$I$2025))</f>
        <v>0</v>
      </c>
      <c r="I585" s="53" t="str">
        <f>SUM(IF([1]!Table13[ID]=B585,[1]!Table13[QTY]))</f>
        <v>#ERROR!</v>
      </c>
      <c r="J585" s="53" t="str">
        <f>TABLEITEM!$H$3:$H$1138-TABLEITEM!$I$3:$I$1138</f>
        <v>#ERROR!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hidden="1" customHeight="1">
      <c r="A586" s="47">
        <v>585.0</v>
      </c>
      <c r="B586" s="2" t="s">
        <v>67</v>
      </c>
      <c r="C586" s="2" t="s">
        <v>1056</v>
      </c>
      <c r="D586" s="2" t="s">
        <v>3511</v>
      </c>
      <c r="E586" s="51"/>
      <c r="F586" s="47"/>
      <c r="G586" s="52">
        <f t="array" ref="G586">MAX(IF(INSTOCK!$H$2:$H$2025=B586,INSTOCK!$K$2:$K$2025))</f>
        <v>0</v>
      </c>
      <c r="H586" s="53">
        <f>SUM(IF(INSTOCK!$H$2:$H$2025=B586,INSTOCK!$I$2:$I$2025))</f>
        <v>0</v>
      </c>
      <c r="I586" s="53" t="str">
        <f>SUM(IF([1]!Table13[ID]=B586,[1]!Table13[QTY]))</f>
        <v>#ERROR!</v>
      </c>
      <c r="J586" s="53" t="str">
        <f>TABLEITEM!$H$3:$H$1138-TABLEITEM!$I$3:$I$1138</f>
        <v>#ERROR!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hidden="1" customHeight="1">
      <c r="A587" s="47">
        <v>586.0</v>
      </c>
      <c r="B587" s="2" t="s">
        <v>68</v>
      </c>
      <c r="C587" s="2" t="s">
        <v>1056</v>
      </c>
      <c r="D587" s="2" t="s">
        <v>3512</v>
      </c>
      <c r="E587" s="51" t="s">
        <v>3486</v>
      </c>
      <c r="F587" s="47"/>
      <c r="G587" s="52">
        <f t="array" ref="G587">MAX(IF(INSTOCK!$H$2:$H$2025=B587,INSTOCK!$K$2:$K$2025))</f>
        <v>895</v>
      </c>
      <c r="H587" s="53">
        <f>SUM(IF(INSTOCK!$H$2:$H$2025=B587,INSTOCK!$I$2:$I$2025))</f>
        <v>0</v>
      </c>
      <c r="I587" s="53" t="str">
        <f>SUM(IF([1]!Table13[ID]=B587,[1]!Table13[QTY]))</f>
        <v>#ERROR!</v>
      </c>
      <c r="J587" s="53" t="str">
        <f>TABLEITEM!$H$3:$H$1138-TABLEITEM!$I$3:$I$1138</f>
        <v>#ERROR!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hidden="1" customHeight="1">
      <c r="A588" s="47">
        <v>587.0</v>
      </c>
      <c r="B588" s="2" t="s">
        <v>69</v>
      </c>
      <c r="C588" s="2" t="s">
        <v>1056</v>
      </c>
      <c r="D588" s="2" t="s">
        <v>3513</v>
      </c>
      <c r="E588" s="51" t="s">
        <v>3486</v>
      </c>
      <c r="F588" s="47"/>
      <c r="G588" s="52">
        <f t="array" ref="G588">MAX(IF(INSTOCK!$H$2:$H$2025=B588,INSTOCK!$K$2:$K$2025))</f>
        <v>1155</v>
      </c>
      <c r="H588" s="53">
        <f>SUM(IF(INSTOCK!$H$2:$H$2025=B588,INSTOCK!$I$2:$I$2025))</f>
        <v>0</v>
      </c>
      <c r="I588" s="53" t="str">
        <f>SUM(IF([1]!Table13[ID]=B588,[1]!Table13[QTY]))</f>
        <v>#ERROR!</v>
      </c>
      <c r="J588" s="53" t="str">
        <f>TABLEITEM!$H$3:$H$1138-TABLEITEM!$I$3:$I$1138</f>
        <v>#ERROR!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hidden="1" customHeight="1">
      <c r="A589" s="47">
        <v>588.0</v>
      </c>
      <c r="B589" s="2" t="s">
        <v>70</v>
      </c>
      <c r="C589" s="2" t="s">
        <v>1056</v>
      </c>
      <c r="D589" s="2" t="s">
        <v>3514</v>
      </c>
      <c r="E589" s="51" t="s">
        <v>3486</v>
      </c>
      <c r="F589" s="47"/>
      <c r="G589" s="52">
        <f t="array" ref="G589">MAX(IF(INSTOCK!$H$2:$H$2025=B589,INSTOCK!$K$2:$K$2025))</f>
        <v>2350</v>
      </c>
      <c r="H589" s="53">
        <f>SUM(IF(INSTOCK!$H$2:$H$2025=B589,INSTOCK!$I$2:$I$2025))</f>
        <v>0</v>
      </c>
      <c r="I589" s="53" t="str">
        <f>SUM(IF([1]!Table13[ID]=B589,[1]!Table13[QTY]))</f>
        <v>#ERROR!</v>
      </c>
      <c r="J589" s="53" t="str">
        <f>TABLEITEM!$H$3:$H$1138-TABLEITEM!$I$3:$I$1138</f>
        <v>#ERROR!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hidden="1" customHeight="1">
      <c r="A590" s="47">
        <v>589.0</v>
      </c>
      <c r="B590" s="2" t="s">
        <v>150</v>
      </c>
      <c r="C590" s="2" t="s">
        <v>1056</v>
      </c>
      <c r="D590" s="2" t="s">
        <v>3515</v>
      </c>
      <c r="E590" s="51"/>
      <c r="F590" s="47"/>
      <c r="G590" s="52">
        <f t="array" ref="G590">MAX(IF(INSTOCK!$H$2:$H$2025=B590,INSTOCK!$K$2:$K$2025))</f>
        <v>491.6667</v>
      </c>
      <c r="H590" s="53">
        <f>SUM(IF(INSTOCK!$H$2:$H$2025=B590,INSTOCK!$I$2:$I$2025))</f>
        <v>0</v>
      </c>
      <c r="I590" s="53" t="str">
        <f>SUM(IF([1]!Table13[ID]=B590,[1]!Table13[QTY]))</f>
        <v>#ERROR!</v>
      </c>
      <c r="J590" s="53" t="str">
        <f>TABLEITEM!$H$3:$H$1138-TABLEITEM!$I$3:$I$1138</f>
        <v>#ERROR!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hidden="1" customHeight="1">
      <c r="A591" s="47">
        <v>590.0</v>
      </c>
      <c r="B591" s="2" t="s">
        <v>3516</v>
      </c>
      <c r="C591" s="2" t="s">
        <v>1056</v>
      </c>
      <c r="D591" s="2" t="s">
        <v>3517</v>
      </c>
      <c r="E591" s="51"/>
      <c r="F591" s="47"/>
      <c r="G591" s="52">
        <f t="array" ref="G591">MAX(IF(INSTOCK!$H$2:$H$2025=B591,INSTOCK!$K$2:$K$2025))</f>
        <v>0</v>
      </c>
      <c r="H591" s="53">
        <f>SUM(IF(INSTOCK!$H$2:$H$2025=B591,INSTOCK!$I$2:$I$2025))</f>
        <v>0</v>
      </c>
      <c r="I591" s="53" t="str">
        <f>SUM(IF([1]!Table13[ID]=B591,[1]!Table13[QTY]))</f>
        <v>#ERROR!</v>
      </c>
      <c r="J591" s="53" t="str">
        <f>TABLEITEM!$H$3:$H$1138-TABLEITEM!$I$3:$I$1138</f>
        <v>#ERROR!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hidden="1" customHeight="1">
      <c r="A592" s="47">
        <v>591.0</v>
      </c>
      <c r="B592" s="2" t="s">
        <v>155</v>
      </c>
      <c r="C592" s="2" t="s">
        <v>1056</v>
      </c>
      <c r="D592" s="2" t="s">
        <v>3518</v>
      </c>
      <c r="E592" s="51"/>
      <c r="F592" s="47"/>
      <c r="G592" s="52">
        <f t="array" ref="G592">MAX(IF(INSTOCK!$H$2:$H$2025=B592,INSTOCK!$K$2:$K$2025))</f>
        <v>724.17</v>
      </c>
      <c r="H592" s="53">
        <f>SUM(IF(INSTOCK!$H$2:$H$2025=B592,INSTOCK!$I$2:$I$2025))</f>
        <v>0</v>
      </c>
      <c r="I592" s="53" t="str">
        <f>SUM(IF([1]!Table13[ID]=B592,[1]!Table13[QTY]))</f>
        <v>#ERROR!</v>
      </c>
      <c r="J592" s="53" t="str">
        <f>TABLEITEM!$H$3:$H$1138-TABLEITEM!$I$3:$I$1138</f>
        <v>#ERROR!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hidden="1" customHeight="1">
      <c r="A593" s="47">
        <v>592.0</v>
      </c>
      <c r="B593" s="2" t="s">
        <v>154</v>
      </c>
      <c r="C593" s="2" t="s">
        <v>1056</v>
      </c>
      <c r="D593" s="2" t="s">
        <v>3519</v>
      </c>
      <c r="E593" s="51"/>
      <c r="F593" s="47"/>
      <c r="G593" s="52">
        <f t="array" ref="G593">MAX(IF(INSTOCK!$H$2:$H$2025=B593,INSTOCK!$K$2:$K$2025))</f>
        <v>1402.5</v>
      </c>
      <c r="H593" s="53">
        <f>SUM(IF(INSTOCK!$H$2:$H$2025=B593,INSTOCK!$I$2:$I$2025))</f>
        <v>0</v>
      </c>
      <c r="I593" s="53" t="str">
        <f>SUM(IF([1]!Table13[ID]=B593,[1]!Table13[QTY]))</f>
        <v>#ERROR!</v>
      </c>
      <c r="J593" s="53" t="str">
        <f>TABLEITEM!$H$3:$H$1138-TABLEITEM!$I$3:$I$1138</f>
        <v>#ERROR!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hidden="1" customHeight="1">
      <c r="A594" s="47">
        <v>593.0</v>
      </c>
      <c r="B594" s="2" t="s">
        <v>93</v>
      </c>
      <c r="C594" s="2" t="s">
        <v>1056</v>
      </c>
      <c r="D594" s="2" t="s">
        <v>3520</v>
      </c>
      <c r="E594" s="51" t="s">
        <v>3521</v>
      </c>
      <c r="F594" s="47"/>
      <c r="G594" s="52">
        <f t="array" ref="G594">MAX(IF(INSTOCK!$H$2:$H$2025=B594,INSTOCK!$K$2:$K$2025))</f>
        <v>16.6667</v>
      </c>
      <c r="H594" s="53">
        <f>SUM(IF(INSTOCK!$H$2:$H$2025=B594,INSTOCK!$I$2:$I$2025))</f>
        <v>0</v>
      </c>
      <c r="I594" s="53" t="str">
        <f>SUM(IF([1]!Table13[ID]=B594,[1]!Table13[QTY]))</f>
        <v>#ERROR!</v>
      </c>
      <c r="J594" s="53" t="str">
        <f>TABLEITEM!$H$3:$H$1138-TABLEITEM!$I$3:$I$1138</f>
        <v>#ERROR!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hidden="1" customHeight="1">
      <c r="A595" s="47">
        <v>594.0</v>
      </c>
      <c r="B595" s="2" t="s">
        <v>147</v>
      </c>
      <c r="C595" s="2" t="s">
        <v>1056</v>
      </c>
      <c r="D595" s="2" t="s">
        <v>3522</v>
      </c>
      <c r="E595" s="51"/>
      <c r="F595" s="47"/>
      <c r="G595" s="52">
        <f t="array" ref="G595">MAX(IF(INSTOCK!$H$2:$H$2025=B595,INSTOCK!$K$2:$K$2025))</f>
        <v>25</v>
      </c>
      <c r="H595" s="53">
        <f>SUM(IF(INSTOCK!$H$2:$H$2025=B595,INSTOCK!$I$2:$I$2025))</f>
        <v>0</v>
      </c>
      <c r="I595" s="53" t="str">
        <f>SUM(IF([1]!Table13[ID]=B595,[1]!Table13[QTY]))</f>
        <v>#ERROR!</v>
      </c>
      <c r="J595" s="53" t="str">
        <f>TABLEITEM!$H$3:$H$1138-TABLEITEM!$I$3:$I$1138</f>
        <v>#ERROR!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hidden="1" customHeight="1">
      <c r="A596" s="47">
        <v>595.0</v>
      </c>
      <c r="B596" s="2" t="s">
        <v>94</v>
      </c>
      <c r="C596" s="2" t="s">
        <v>1056</v>
      </c>
      <c r="D596" s="2" t="s">
        <v>3523</v>
      </c>
      <c r="E596" s="51" t="s">
        <v>3521</v>
      </c>
      <c r="F596" s="47"/>
      <c r="G596" s="52">
        <f t="array" ref="G596">MAX(IF(INSTOCK!$H$2:$H$2025=B596,INSTOCK!$K$2:$K$2025))</f>
        <v>30</v>
      </c>
      <c r="H596" s="53">
        <f>SUM(IF(INSTOCK!$H$2:$H$2025=B596,INSTOCK!$I$2:$I$2025))</f>
        <v>0</v>
      </c>
      <c r="I596" s="53" t="str">
        <f>SUM(IF([1]!Table13[ID]=B596,[1]!Table13[QTY]))</f>
        <v>#ERROR!</v>
      </c>
      <c r="J596" s="53" t="str">
        <f>TABLEITEM!$H$3:$H$1138-TABLEITEM!$I$3:$I$1138</f>
        <v>#ERROR!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hidden="1" customHeight="1">
      <c r="A597" s="47">
        <v>596.0</v>
      </c>
      <c r="B597" s="2" t="s">
        <v>96</v>
      </c>
      <c r="C597" s="2" t="s">
        <v>1056</v>
      </c>
      <c r="D597" s="2" t="s">
        <v>3524</v>
      </c>
      <c r="E597" s="51" t="s">
        <v>3521</v>
      </c>
      <c r="F597" s="47"/>
      <c r="G597" s="52">
        <f t="array" ref="G597">MAX(IF(INSTOCK!$H$2:$H$2025=B597,INSTOCK!$K$2:$K$2025))</f>
        <v>45</v>
      </c>
      <c r="H597" s="53">
        <f>SUM(IF(INSTOCK!$H$2:$H$2025=B597,INSTOCK!$I$2:$I$2025))</f>
        <v>0</v>
      </c>
      <c r="I597" s="53" t="str">
        <f>SUM(IF([1]!Table13[ID]=B597,[1]!Table13[QTY]))</f>
        <v>#ERROR!</v>
      </c>
      <c r="J597" s="53" t="str">
        <f>TABLEITEM!$H$3:$H$1138-TABLEITEM!$I$3:$I$1138</f>
        <v>#ERROR!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hidden="1" customHeight="1">
      <c r="A598" s="47">
        <v>597.0</v>
      </c>
      <c r="B598" s="2" t="s">
        <v>104</v>
      </c>
      <c r="C598" s="2" t="s">
        <v>1056</v>
      </c>
      <c r="D598" s="2" t="s">
        <v>3525</v>
      </c>
      <c r="E598" s="51" t="s">
        <v>3521</v>
      </c>
      <c r="F598" s="47"/>
      <c r="G598" s="52">
        <f t="array" ref="G598">MAX(IF(INSTOCK!$H$2:$H$2025=B598,INSTOCK!$K$2:$K$2025))</f>
        <v>550</v>
      </c>
      <c r="H598" s="53">
        <f>SUM(IF(INSTOCK!$H$2:$H$2025=B598,INSTOCK!$I$2:$I$2025))</f>
        <v>0</v>
      </c>
      <c r="I598" s="53" t="str">
        <f>SUM(IF([1]!Table13[ID]=B598,[1]!Table13[QTY]))</f>
        <v>#ERROR!</v>
      </c>
      <c r="J598" s="53" t="str">
        <f>TABLEITEM!$H$3:$H$1138-TABLEITEM!$I$3:$I$1138</f>
        <v>#ERROR!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hidden="1" customHeight="1">
      <c r="A599" s="47">
        <v>598.0</v>
      </c>
      <c r="B599" s="2" t="s">
        <v>357</v>
      </c>
      <c r="C599" s="2" t="s">
        <v>1056</v>
      </c>
      <c r="D599" s="2" t="s">
        <v>3526</v>
      </c>
      <c r="E599" s="51"/>
      <c r="F599" s="47"/>
      <c r="G599" s="52">
        <f t="array" ref="G599">MAX(IF(INSTOCK!$H$2:$H$2025=B599,INSTOCK!$K$2:$K$2025))</f>
        <v>105</v>
      </c>
      <c r="H599" s="53">
        <f>SUM(IF(INSTOCK!$H$2:$H$2025=B599,INSTOCK!$I$2:$I$2025))</f>
        <v>0</v>
      </c>
      <c r="I599" s="53" t="str">
        <f>SUM(IF([1]!Table13[ID]=B599,[1]!Table13[QTY]))</f>
        <v>#ERROR!</v>
      </c>
      <c r="J599" s="53" t="str">
        <f>TABLEITEM!$H$3:$H$1138-TABLEITEM!$I$3:$I$1138</f>
        <v>#ERROR!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hidden="1" customHeight="1">
      <c r="A600" s="47">
        <v>599.0</v>
      </c>
      <c r="B600" s="2" t="s">
        <v>100</v>
      </c>
      <c r="C600" s="2" t="s">
        <v>1056</v>
      </c>
      <c r="D600" s="2" t="s">
        <v>3527</v>
      </c>
      <c r="E600" s="51" t="s">
        <v>3521</v>
      </c>
      <c r="F600" s="47"/>
      <c r="G600" s="52">
        <f t="array" ref="G600">MAX(IF(INSTOCK!$H$2:$H$2025=B600,INSTOCK!$K$2:$K$2025))</f>
        <v>1000</v>
      </c>
      <c r="H600" s="53">
        <f>SUM(IF(INSTOCK!$H$2:$H$2025=B600,INSTOCK!$I$2:$I$2025))</f>
        <v>0</v>
      </c>
      <c r="I600" s="53" t="str">
        <f>SUM(IF([1]!Table13[ID]=B600,[1]!Table13[QTY]))</f>
        <v>#ERROR!</v>
      </c>
      <c r="J600" s="53" t="str">
        <f>TABLEITEM!$H$3:$H$1138-TABLEITEM!$I$3:$I$1138</f>
        <v>#ERROR!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hidden="1" customHeight="1">
      <c r="A601" s="47">
        <v>600.0</v>
      </c>
      <c r="B601" s="57" t="s">
        <v>177</v>
      </c>
      <c r="C601" s="2" t="s">
        <v>1056</v>
      </c>
      <c r="D601" s="2" t="s">
        <v>3528</v>
      </c>
      <c r="E601" s="51"/>
      <c r="F601" s="47"/>
      <c r="G601" s="52">
        <f t="array" ref="G601">MAX(IF(INSTOCK!$H$2:$H$2025=B601,INSTOCK!$K$2:$K$2025))</f>
        <v>75</v>
      </c>
      <c r="H601" s="53">
        <f>SUM(IF(INSTOCK!$H$2:$H$2025=B601,INSTOCK!$I$2:$I$2025))</f>
        <v>0</v>
      </c>
      <c r="I601" s="53" t="str">
        <f>SUM(IF([1]!Table13[ID]=B601,[1]!Table13[QTY]))</f>
        <v>#ERROR!</v>
      </c>
      <c r="J601" s="53" t="str">
        <f>TABLEITEM!$H$3:$H$1138-TABLEITEM!$I$3:$I$1138</f>
        <v>#ERROR!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hidden="1" customHeight="1">
      <c r="A602" s="47">
        <v>601.0</v>
      </c>
      <c r="B602" s="57" t="s">
        <v>97</v>
      </c>
      <c r="C602" s="2" t="s">
        <v>1056</v>
      </c>
      <c r="D602" s="2" t="s">
        <v>1062</v>
      </c>
      <c r="E602" s="51" t="s">
        <v>3521</v>
      </c>
      <c r="F602" s="47"/>
      <c r="G602" s="52">
        <f t="array" ref="G602">MAX(IF(INSTOCK!$H$2:$H$2025=B602,INSTOCK!$K$2:$K$2025))</f>
        <v>450</v>
      </c>
      <c r="H602" s="53">
        <f>SUM(IF(INSTOCK!$H$2:$H$2025=B602,INSTOCK!$I$2:$I$2025))</f>
        <v>0</v>
      </c>
      <c r="I602" s="53" t="str">
        <f>SUM(IF([1]!Table13[ID]=B602,[1]!Table13[QTY]))</f>
        <v>#ERROR!</v>
      </c>
      <c r="J602" s="53" t="str">
        <f>TABLEITEM!$H$3:$H$1138-TABLEITEM!$I$3:$I$1138</f>
        <v>#ERROR!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hidden="1" customHeight="1">
      <c r="A603" s="47">
        <v>602.0</v>
      </c>
      <c r="B603" s="57" t="s">
        <v>98</v>
      </c>
      <c r="C603" s="2" t="s">
        <v>1056</v>
      </c>
      <c r="D603" s="2" t="s">
        <v>3529</v>
      </c>
      <c r="E603" s="51" t="s">
        <v>3521</v>
      </c>
      <c r="F603" s="47"/>
      <c r="G603" s="52">
        <f t="array" ref="G603">MAX(IF(INSTOCK!$H$2:$H$2025=B603,INSTOCK!$K$2:$K$2025))</f>
        <v>130.83</v>
      </c>
      <c r="H603" s="53">
        <f>SUM(IF(INSTOCK!$H$2:$H$2025=B603,INSTOCK!$I$2:$I$2025))</f>
        <v>0</v>
      </c>
      <c r="I603" s="53" t="str">
        <f>SUM(IF([1]!Table13[ID]=B603,[1]!Table13[QTY]))</f>
        <v>#ERROR!</v>
      </c>
      <c r="J603" s="53" t="str">
        <f>TABLEITEM!$H$3:$H$1138-TABLEITEM!$I$3:$I$1138</f>
        <v>#ERROR!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hidden="1" customHeight="1">
      <c r="A604" s="47">
        <v>603.0</v>
      </c>
      <c r="B604" s="57" t="s">
        <v>102</v>
      </c>
      <c r="C604" s="2" t="s">
        <v>1056</v>
      </c>
      <c r="D604" s="2" t="s">
        <v>3530</v>
      </c>
      <c r="E604" s="51" t="s">
        <v>3521</v>
      </c>
      <c r="F604" s="47"/>
      <c r="G604" s="52">
        <f t="array" ref="G604">MAX(IF(INSTOCK!$H$2:$H$2025=B604,INSTOCK!$K$2:$K$2025))</f>
        <v>950</v>
      </c>
      <c r="H604" s="53">
        <f>SUM(IF(INSTOCK!$H$2:$H$2025=B604,INSTOCK!$I$2:$I$2025))</f>
        <v>0</v>
      </c>
      <c r="I604" s="53" t="str">
        <f>SUM(IF([1]!Table13[ID]=B604,[1]!Table13[QTY]))</f>
        <v>#ERROR!</v>
      </c>
      <c r="J604" s="53" t="str">
        <f>TABLEITEM!$H$3:$H$1138-TABLEITEM!$I$3:$I$1138</f>
        <v>#ERROR!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hidden="1" customHeight="1">
      <c r="A605" s="47">
        <v>604.0</v>
      </c>
      <c r="B605" s="57" t="s">
        <v>101</v>
      </c>
      <c r="C605" s="2" t="s">
        <v>1056</v>
      </c>
      <c r="D605" s="2" t="s">
        <v>3531</v>
      </c>
      <c r="E605" s="51" t="s">
        <v>3521</v>
      </c>
      <c r="F605" s="47"/>
      <c r="G605" s="52">
        <f t="array" ref="G605">MAX(IF(INSTOCK!$H$2:$H$2025=B605,INSTOCK!$K$2:$K$2025))</f>
        <v>0</v>
      </c>
      <c r="H605" s="53">
        <f>SUM(IF(INSTOCK!$H$2:$H$2025=B605,INSTOCK!$I$2:$I$2025))</f>
        <v>0</v>
      </c>
      <c r="I605" s="53" t="str">
        <f>SUM(IF([1]!Table13[ID]=B605,[1]!Table13[QTY]))</f>
        <v>#ERROR!</v>
      </c>
      <c r="J605" s="53" t="str">
        <f>TABLEITEM!$H$3:$H$1138-TABLEITEM!$I$3:$I$1138</f>
        <v>#ERROR!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hidden="1" customHeight="1">
      <c r="A606" s="47">
        <v>605.0</v>
      </c>
      <c r="B606" s="57" t="s">
        <v>448</v>
      </c>
      <c r="C606" s="2" t="s">
        <v>1056</v>
      </c>
      <c r="D606" s="2" t="s">
        <v>3532</v>
      </c>
      <c r="E606" s="51"/>
      <c r="F606" s="47"/>
      <c r="G606" s="52">
        <f t="array" ref="G606">MAX(IF(INSTOCK!$H$2:$H$2025=B606,INSTOCK!$K$2:$K$2025))</f>
        <v>169.17</v>
      </c>
      <c r="H606" s="53">
        <f>SUM(IF(INSTOCK!$H$2:$H$2025=B606,INSTOCK!$I$2:$I$2025))</f>
        <v>0</v>
      </c>
      <c r="I606" s="53" t="str">
        <f>SUM(IF([1]!Table13[ID]=B606,[1]!Table13[QTY]))</f>
        <v>#ERROR!</v>
      </c>
      <c r="J606" s="53" t="str">
        <f>TABLEITEM!$H$3:$H$1138-TABLEITEM!$I$3:$I$1138</f>
        <v>#ERROR!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hidden="1" customHeight="1">
      <c r="A607" s="47">
        <v>606.0</v>
      </c>
      <c r="B607" s="57" t="s">
        <v>356</v>
      </c>
      <c r="C607" s="2" t="s">
        <v>1056</v>
      </c>
      <c r="D607" s="2" t="s">
        <v>3533</v>
      </c>
      <c r="E607" s="51"/>
      <c r="F607" s="47"/>
      <c r="G607" s="52">
        <f t="array" ref="G607">MAX(IF(INSTOCK!$H$2:$H$2025=B607,INSTOCK!$K$2:$K$2025))</f>
        <v>240</v>
      </c>
      <c r="H607" s="53">
        <f>SUM(IF(INSTOCK!$H$2:$H$2025=B607,INSTOCK!$I$2:$I$2025))</f>
        <v>0</v>
      </c>
      <c r="I607" s="53" t="str">
        <f>SUM(IF([1]!Table13[ID]=B607,[1]!Table13[QTY]))</f>
        <v>#ERROR!</v>
      </c>
      <c r="J607" s="53" t="str">
        <f>TABLEITEM!$H$3:$H$1138-TABLEITEM!$I$3:$I$1138</f>
        <v>#ERROR!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hidden="1" customHeight="1">
      <c r="A608" s="47">
        <v>607.0</v>
      </c>
      <c r="B608" s="57" t="s">
        <v>103</v>
      </c>
      <c r="C608" s="2" t="s">
        <v>1056</v>
      </c>
      <c r="D608" s="2" t="s">
        <v>3534</v>
      </c>
      <c r="E608" s="51" t="s">
        <v>3521</v>
      </c>
      <c r="F608" s="47"/>
      <c r="G608" s="52">
        <f t="array" ref="G608">MAX(IF(INSTOCK!$H$2:$H$2025=B608,INSTOCK!$K$2:$K$2025))</f>
        <v>0</v>
      </c>
      <c r="H608" s="53">
        <f>SUM(IF(INSTOCK!$H$2:$H$2025=B608,INSTOCK!$I$2:$I$2025))</f>
        <v>0</v>
      </c>
      <c r="I608" s="53" t="str">
        <f>SUM(IF([1]!Table13[ID]=B608,[1]!Table13[QTY]))</f>
        <v>#ERROR!</v>
      </c>
      <c r="J608" s="53" t="str">
        <f>TABLEITEM!$H$3:$H$1138-TABLEITEM!$I$3:$I$1138</f>
        <v>#ERROR!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hidden="1" customHeight="1">
      <c r="A609" s="47">
        <v>608.0</v>
      </c>
      <c r="B609" s="57" t="s">
        <v>1652</v>
      </c>
      <c r="C609" s="2" t="s">
        <v>1056</v>
      </c>
      <c r="D609" s="2" t="s">
        <v>3535</v>
      </c>
      <c r="E609" s="51"/>
      <c r="F609" s="47"/>
      <c r="G609" s="52">
        <f t="array" ref="G609">MAX(IF(INSTOCK!$H$2:$H$2025=B609,INSTOCK!$K$2:$K$2025))</f>
        <v>118.333333</v>
      </c>
      <c r="H609" s="53">
        <f>SUM(IF(INSTOCK!$H$2:$H$2025=B609,INSTOCK!$I$2:$I$2025))</f>
        <v>0</v>
      </c>
      <c r="I609" s="53" t="str">
        <f>SUM(IF([1]!Table13[ID]=B609,[1]!Table13[QTY]))</f>
        <v>#ERROR!</v>
      </c>
      <c r="J609" s="53" t="str">
        <f>TABLEITEM!$H$3:$H$1138-TABLEITEM!$I$3:$I$1138</f>
        <v>#ERROR!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hidden="1" customHeight="1">
      <c r="A610" s="47">
        <v>609.0</v>
      </c>
      <c r="B610" s="57" t="s">
        <v>84</v>
      </c>
      <c r="C610" s="2" t="s">
        <v>1056</v>
      </c>
      <c r="D610" s="2" t="s">
        <v>3536</v>
      </c>
      <c r="E610" s="51" t="s">
        <v>3537</v>
      </c>
      <c r="F610" s="47"/>
      <c r="G610" s="52">
        <f t="array" ref="G610">MAX(IF(INSTOCK!$H$2:$H$2025=B610,INSTOCK!$K$2:$K$2025))</f>
        <v>178</v>
      </c>
      <c r="H610" s="53">
        <f>SUM(IF(INSTOCK!$H$2:$H$2025=B610,INSTOCK!$I$2:$I$2025))</f>
        <v>0</v>
      </c>
      <c r="I610" s="53" t="str">
        <f>SUM(IF([1]!Table13[ID]=B610,[1]!Table13[QTY]))</f>
        <v>#ERROR!</v>
      </c>
      <c r="J610" s="53" t="str">
        <f>TABLEITEM!$H$3:$H$1138-TABLEITEM!$I$3:$I$1138</f>
        <v>#ERROR!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hidden="1" customHeight="1">
      <c r="A611" s="47">
        <v>610.0</v>
      </c>
      <c r="B611" s="57" t="s">
        <v>92</v>
      </c>
      <c r="C611" s="2" t="s">
        <v>1056</v>
      </c>
      <c r="D611" s="2" t="s">
        <v>3538</v>
      </c>
      <c r="E611" s="51"/>
      <c r="F611" s="47"/>
      <c r="G611" s="52">
        <f t="array" ref="G611">MAX(IF(INSTOCK!$H$2:$H$2025=B611,INSTOCK!$K$2:$K$2025))</f>
        <v>0</v>
      </c>
      <c r="H611" s="53">
        <f>SUM(IF(INSTOCK!$H$2:$H$2025=B611,INSTOCK!$I$2:$I$2025))</f>
        <v>0</v>
      </c>
      <c r="I611" s="53" t="str">
        <f>SUM(IF([1]!Table13[ID]=B611,[1]!Table13[QTY]))</f>
        <v>#ERROR!</v>
      </c>
      <c r="J611" s="53" t="str">
        <f>TABLEITEM!$H$3:$H$1138-TABLEITEM!$I$3:$I$1138</f>
        <v>#ERROR!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hidden="1" customHeight="1">
      <c r="A612" s="47">
        <v>611.0</v>
      </c>
      <c r="B612" s="57" t="s">
        <v>85</v>
      </c>
      <c r="C612" s="2" t="s">
        <v>1056</v>
      </c>
      <c r="D612" s="2" t="s">
        <v>3539</v>
      </c>
      <c r="E612" s="51" t="s">
        <v>3537</v>
      </c>
      <c r="F612" s="47"/>
      <c r="G612" s="52">
        <f t="array" ref="G612">MAX(IF(INSTOCK!$H$2:$H$2025=B612,INSTOCK!$K$2:$K$2025))</f>
        <v>339.1667</v>
      </c>
      <c r="H612" s="53">
        <f>SUM(IF(INSTOCK!$H$2:$H$2025=B612,INSTOCK!$I$2:$I$2025))</f>
        <v>0</v>
      </c>
      <c r="I612" s="53" t="str">
        <f>SUM(IF([1]!Table13[ID]=B612,[1]!Table13[QTY]))</f>
        <v>#ERROR!</v>
      </c>
      <c r="J612" s="53" t="str">
        <f>TABLEITEM!$H$3:$H$1138-TABLEITEM!$I$3:$I$1138</f>
        <v>#ERROR!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hidden="1" customHeight="1">
      <c r="A613" s="47">
        <v>612.0</v>
      </c>
      <c r="B613" s="57" t="s">
        <v>87</v>
      </c>
      <c r="C613" s="2" t="s">
        <v>1056</v>
      </c>
      <c r="D613" s="2" t="s">
        <v>3540</v>
      </c>
      <c r="E613" s="51" t="s">
        <v>3537</v>
      </c>
      <c r="F613" s="47"/>
      <c r="G613" s="52">
        <f t="array" ref="G613">MAX(IF(INSTOCK!$H$2:$H$2025=B613,INSTOCK!$K$2:$K$2025))</f>
        <v>30</v>
      </c>
      <c r="H613" s="53">
        <f>SUM(IF(INSTOCK!$H$2:$H$2025=B613,INSTOCK!$I$2:$I$2025))</f>
        <v>0</v>
      </c>
      <c r="I613" s="53" t="str">
        <f>SUM(IF([1]!Table13[ID]=B613,[1]!Table13[QTY]))</f>
        <v>#ERROR!</v>
      </c>
      <c r="J613" s="53" t="str">
        <f>TABLEITEM!$H$3:$H$1138-TABLEITEM!$I$3:$I$1138</f>
        <v>#ERROR!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hidden="1" customHeight="1">
      <c r="A614" s="47">
        <v>613.0</v>
      </c>
      <c r="B614" s="57" t="s">
        <v>88</v>
      </c>
      <c r="C614" s="2" t="s">
        <v>1056</v>
      </c>
      <c r="D614" s="2" t="s">
        <v>3541</v>
      </c>
      <c r="E614" s="51" t="s">
        <v>3537</v>
      </c>
      <c r="F614" s="47"/>
      <c r="G614" s="52">
        <f t="array" ref="G614">MAX(IF(INSTOCK!$H$2:$H$2025=B614,INSTOCK!$K$2:$K$2025))</f>
        <v>30</v>
      </c>
      <c r="H614" s="53">
        <f>SUM(IF(INSTOCK!$H$2:$H$2025=B614,INSTOCK!$I$2:$I$2025))</f>
        <v>0</v>
      </c>
      <c r="I614" s="53" t="str">
        <f>SUM(IF([1]!Table13[ID]=B614,[1]!Table13[QTY]))</f>
        <v>#ERROR!</v>
      </c>
      <c r="J614" s="53" t="str">
        <f>TABLEITEM!$H$3:$H$1138-TABLEITEM!$I$3:$I$1138</f>
        <v>#ERROR!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hidden="1" customHeight="1">
      <c r="A615" s="47">
        <v>614.0</v>
      </c>
      <c r="B615" s="57" t="s">
        <v>86</v>
      </c>
      <c r="C615" s="2" t="s">
        <v>1056</v>
      </c>
      <c r="D615" s="2" t="s">
        <v>3542</v>
      </c>
      <c r="E615" s="51" t="s">
        <v>3537</v>
      </c>
      <c r="F615" s="47"/>
      <c r="G615" s="52">
        <f t="array" ref="G615">MAX(IF(INSTOCK!$H$2:$H$2025=B615,INSTOCK!$K$2:$K$2025))</f>
        <v>415</v>
      </c>
      <c r="H615" s="53">
        <f>SUM(IF(INSTOCK!$H$2:$H$2025=B615,INSTOCK!$I$2:$I$2025))</f>
        <v>0</v>
      </c>
      <c r="I615" s="53" t="str">
        <f>SUM(IF([1]!Table13[ID]=B615,[1]!Table13[QTY]))</f>
        <v>#ERROR!</v>
      </c>
      <c r="J615" s="53" t="str">
        <f>TABLEITEM!$H$3:$H$1138-TABLEITEM!$I$3:$I$1138</f>
        <v>#ERROR!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hidden="1" customHeight="1">
      <c r="A616" s="47">
        <v>615.0</v>
      </c>
      <c r="B616" s="57" t="s">
        <v>89</v>
      </c>
      <c r="C616" s="2" t="s">
        <v>1056</v>
      </c>
      <c r="D616" s="2" t="s">
        <v>3543</v>
      </c>
      <c r="E616" s="51" t="s">
        <v>3544</v>
      </c>
      <c r="F616" s="47"/>
      <c r="G616" s="52">
        <f t="array" ref="G616">MAX(IF(INSTOCK!$H$2:$H$2025=B616,INSTOCK!$K$2:$K$2025))</f>
        <v>535</v>
      </c>
      <c r="H616" s="53">
        <f>SUM(IF(INSTOCK!$H$2:$H$2025=B616,INSTOCK!$I$2:$I$2025))</f>
        <v>0</v>
      </c>
      <c r="I616" s="53" t="str">
        <f>SUM(IF([1]!Table13[ID]=B616,[1]!Table13[QTY]))</f>
        <v>#ERROR!</v>
      </c>
      <c r="J616" s="53" t="str">
        <f>TABLEITEM!$H$3:$H$1138-TABLEITEM!$I$3:$I$1138</f>
        <v>#ERROR!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hidden="1" customHeight="1">
      <c r="A617" s="47">
        <v>616.0</v>
      </c>
      <c r="B617" s="57" t="s">
        <v>90</v>
      </c>
      <c r="C617" s="2" t="s">
        <v>1056</v>
      </c>
      <c r="D617" s="2" t="s">
        <v>3545</v>
      </c>
      <c r="E617" s="51" t="s">
        <v>3537</v>
      </c>
      <c r="F617" s="47"/>
      <c r="G617" s="52">
        <f t="array" ref="G617">MAX(IF(INSTOCK!$H$2:$H$2025=B617,INSTOCK!$K$2:$K$2025))</f>
        <v>915</v>
      </c>
      <c r="H617" s="53">
        <f>SUM(IF(INSTOCK!$H$2:$H$2025=B617,INSTOCK!$I$2:$I$2025))</f>
        <v>0</v>
      </c>
      <c r="I617" s="53" t="str">
        <f>SUM(IF([1]!Table13[ID]=B617,[1]!Table13[QTY]))</f>
        <v>#ERROR!</v>
      </c>
      <c r="J617" s="53" t="str">
        <f>TABLEITEM!$H$3:$H$1138-TABLEITEM!$I$3:$I$1138</f>
        <v>#ERROR!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hidden="1" customHeight="1">
      <c r="A618" s="47">
        <v>617.0</v>
      </c>
      <c r="B618" s="57" t="s">
        <v>91</v>
      </c>
      <c r="C618" s="2" t="s">
        <v>1056</v>
      </c>
      <c r="D618" s="2" t="s">
        <v>3546</v>
      </c>
      <c r="E618" s="51"/>
      <c r="F618" s="47"/>
      <c r="G618" s="52">
        <f t="array" ref="G618">MAX(IF(INSTOCK!$H$2:$H$2025=B618,INSTOCK!$K$2:$K$2025))</f>
        <v>0</v>
      </c>
      <c r="H618" s="53">
        <f>SUM(IF(INSTOCK!$H$2:$H$2025=B618,INSTOCK!$I$2:$I$2025))</f>
        <v>0</v>
      </c>
      <c r="I618" s="53" t="str">
        <f>SUM(IF([1]!Table13[ID]=B618,[1]!Table13[QTY]))</f>
        <v>#ERROR!</v>
      </c>
      <c r="J618" s="53" t="str">
        <f>TABLEITEM!$H$3:$H$1138-TABLEITEM!$I$3:$I$1138</f>
        <v>#ERROR!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hidden="1" customHeight="1">
      <c r="A619" s="47">
        <v>618.0</v>
      </c>
      <c r="B619" s="57" t="s">
        <v>108</v>
      </c>
      <c r="C619" s="2" t="s">
        <v>1056</v>
      </c>
      <c r="D619" s="2" t="s">
        <v>3547</v>
      </c>
      <c r="E619" s="51"/>
      <c r="F619" s="47"/>
      <c r="G619" s="52">
        <f t="array" ref="G619">MAX(IF(INSTOCK!$H$2:$H$2025=B619,INSTOCK!$K$2:$K$2025))</f>
        <v>0</v>
      </c>
      <c r="H619" s="53">
        <f>SUM(IF(INSTOCK!$H$2:$H$2025=B619,INSTOCK!$I$2:$I$2025))</f>
        <v>0</v>
      </c>
      <c r="I619" s="53" t="str">
        <f>SUM(IF([1]!Table13[ID]=B619,[1]!Table13[QTY]))</f>
        <v>#ERROR!</v>
      </c>
      <c r="J619" s="53" t="str">
        <f>TABLEITEM!$H$3:$H$1138-TABLEITEM!$I$3:$I$1138</f>
        <v>#ERROR!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hidden="1" customHeight="1">
      <c r="A620" s="47">
        <v>619.0</v>
      </c>
      <c r="B620" s="57" t="s">
        <v>114</v>
      </c>
      <c r="C620" s="2" t="s">
        <v>1056</v>
      </c>
      <c r="D620" s="2" t="s">
        <v>3548</v>
      </c>
      <c r="E620" s="51"/>
      <c r="F620" s="47"/>
      <c r="G620" s="52">
        <f t="array" ref="G620">MAX(IF(INSTOCK!$H$2:$H$2025=B620,INSTOCK!$K$2:$K$2025))</f>
        <v>0</v>
      </c>
      <c r="H620" s="53">
        <f>SUM(IF(INSTOCK!$H$2:$H$2025=B620,INSTOCK!$I$2:$I$2025))</f>
        <v>0</v>
      </c>
      <c r="I620" s="53" t="str">
        <f>SUM(IF([1]!Table13[ID]=B620,[1]!Table13[QTY]))</f>
        <v>#ERROR!</v>
      </c>
      <c r="J620" s="53" t="str">
        <f>TABLEITEM!$H$3:$H$1138-TABLEITEM!$I$3:$I$1138</f>
        <v>#ERROR!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hidden="1" customHeight="1">
      <c r="A621" s="47">
        <v>620.0</v>
      </c>
      <c r="B621" s="2" t="s">
        <v>115</v>
      </c>
      <c r="C621" s="2" t="s">
        <v>1056</v>
      </c>
      <c r="D621" s="2" t="s">
        <v>3549</v>
      </c>
      <c r="E621" s="51"/>
      <c r="F621" s="47"/>
      <c r="G621" s="52">
        <f t="array" ref="G621">MAX(IF(INSTOCK!$H$2:$H$2025=B621,INSTOCK!$K$2:$K$2025))</f>
        <v>0</v>
      </c>
      <c r="H621" s="53">
        <f>SUM(IF(INSTOCK!$H$2:$H$2025=B621,INSTOCK!$I$2:$I$2025))</f>
        <v>0</v>
      </c>
      <c r="I621" s="53" t="str">
        <f>SUM(IF([1]!Table13[ID]=B621,[1]!Table13[QTY]))</f>
        <v>#ERROR!</v>
      </c>
      <c r="J621" s="53" t="str">
        <f>TABLEITEM!$H$3:$H$1138-TABLEITEM!$I$3:$I$1138</f>
        <v>#ERROR!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hidden="1" customHeight="1">
      <c r="A622" s="47">
        <v>621.0</v>
      </c>
      <c r="B622" s="2" t="s">
        <v>109</v>
      </c>
      <c r="C622" s="2" t="s">
        <v>1056</v>
      </c>
      <c r="D622" s="2" t="s">
        <v>3550</v>
      </c>
      <c r="E622" s="51"/>
      <c r="F622" s="47"/>
      <c r="G622" s="52">
        <f t="array" ref="G622">MAX(IF(INSTOCK!$H$2:$H$2025=B622,INSTOCK!$K$2:$K$2025))</f>
        <v>0</v>
      </c>
      <c r="H622" s="53">
        <f>SUM(IF(INSTOCK!$H$2:$H$2025=B622,INSTOCK!$I$2:$I$2025))</f>
        <v>0</v>
      </c>
      <c r="I622" s="53" t="str">
        <f>SUM(IF([1]!Table13[ID]=B622,[1]!Table13[QTY]))</f>
        <v>#ERROR!</v>
      </c>
      <c r="J622" s="53" t="str">
        <f>TABLEITEM!$H$3:$H$1138-TABLEITEM!$I$3:$I$1138</f>
        <v>#ERROR!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hidden="1" customHeight="1">
      <c r="A623" s="47">
        <v>622.0</v>
      </c>
      <c r="B623" s="2" t="s">
        <v>111</v>
      </c>
      <c r="C623" s="2" t="s">
        <v>1056</v>
      </c>
      <c r="D623" s="2" t="s">
        <v>3551</v>
      </c>
      <c r="E623" s="51" t="s">
        <v>3552</v>
      </c>
      <c r="F623" s="47"/>
      <c r="G623" s="52">
        <f t="array" ref="G623">MAX(IF(INSTOCK!$H$2:$H$2025=B623,INSTOCK!$K$2:$K$2025))</f>
        <v>890</v>
      </c>
      <c r="H623" s="53">
        <f>SUM(IF(INSTOCK!$H$2:$H$2025=B623,INSTOCK!$I$2:$I$2025))</f>
        <v>0</v>
      </c>
      <c r="I623" s="53" t="str">
        <f>SUM(IF([1]!Table13[ID]=B623,[1]!Table13[QTY]))</f>
        <v>#ERROR!</v>
      </c>
      <c r="J623" s="53" t="str">
        <f>TABLEITEM!$H$3:$H$1138-TABLEITEM!$I$3:$I$1138</f>
        <v>#ERROR!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hidden="1" customHeight="1">
      <c r="A624" s="47">
        <v>623.0</v>
      </c>
      <c r="B624" s="2" t="s">
        <v>110</v>
      </c>
      <c r="C624" s="2" t="s">
        <v>1056</v>
      </c>
      <c r="D624" s="2" t="s">
        <v>3553</v>
      </c>
      <c r="E624" s="51" t="s">
        <v>3552</v>
      </c>
      <c r="F624" s="47"/>
      <c r="G624" s="52">
        <f t="array" ref="G624">MAX(IF(INSTOCK!$H$2:$H$2025=B624,INSTOCK!$K$2:$K$2025))</f>
        <v>850</v>
      </c>
      <c r="H624" s="53">
        <f>SUM(IF(INSTOCK!$H$2:$H$2025=B624,INSTOCK!$I$2:$I$2025))</f>
        <v>0</v>
      </c>
      <c r="I624" s="53" t="str">
        <f>SUM(IF([1]!Table13[ID]=B624,[1]!Table13[QTY]))</f>
        <v>#ERROR!</v>
      </c>
      <c r="J624" s="53" t="str">
        <f>TABLEITEM!$H$3:$H$1138-TABLEITEM!$I$3:$I$1138</f>
        <v>#ERROR!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hidden="1" customHeight="1">
      <c r="A625" s="47">
        <v>624.0</v>
      </c>
      <c r="B625" s="2" t="s">
        <v>112</v>
      </c>
      <c r="C625" s="2" t="s">
        <v>1056</v>
      </c>
      <c r="D625" s="2" t="s">
        <v>3554</v>
      </c>
      <c r="E625" s="51"/>
      <c r="F625" s="47"/>
      <c r="G625" s="52">
        <f t="array" ref="G625">MAX(IF(INSTOCK!$H$2:$H$2025=B625,INSTOCK!$K$2:$K$2025))</f>
        <v>0</v>
      </c>
      <c r="H625" s="53">
        <f>SUM(IF(INSTOCK!$H$2:$H$2025=B625,INSTOCK!$I$2:$I$2025))</f>
        <v>0</v>
      </c>
      <c r="I625" s="53" t="str">
        <f>SUM(IF([1]!Table13[ID]=B625,[1]!Table13[QTY]))</f>
        <v>#ERROR!</v>
      </c>
      <c r="J625" s="53" t="str">
        <f>TABLEITEM!$H$3:$H$1138-TABLEITEM!$I$3:$I$1138</f>
        <v>#ERROR!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hidden="1" customHeight="1">
      <c r="A626" s="47">
        <v>625.0</v>
      </c>
      <c r="B626" s="2" t="s">
        <v>116</v>
      </c>
      <c r="C626" s="2" t="s">
        <v>1056</v>
      </c>
      <c r="D626" s="2" t="s">
        <v>3555</v>
      </c>
      <c r="E626" s="51" t="s">
        <v>3537</v>
      </c>
      <c r="F626" s="47"/>
      <c r="G626" s="52">
        <f t="array" ref="G626">MAX(IF(INSTOCK!$H$2:$H$2025=B626,INSTOCK!$K$2:$K$2025))</f>
        <v>245</v>
      </c>
      <c r="H626" s="53">
        <f>SUM(IF(INSTOCK!$H$2:$H$2025=B626,INSTOCK!$I$2:$I$2025))</f>
        <v>0</v>
      </c>
      <c r="I626" s="53" t="str">
        <f>SUM(IF([1]!Table13[ID]=B626,[1]!Table13[QTY]))</f>
        <v>#ERROR!</v>
      </c>
      <c r="J626" s="53" t="str">
        <f>TABLEITEM!$H$3:$H$1138-TABLEITEM!$I$3:$I$1138</f>
        <v>#ERROR!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hidden="1" customHeight="1">
      <c r="A627" s="47">
        <v>626.0</v>
      </c>
      <c r="B627" s="2" t="s">
        <v>117</v>
      </c>
      <c r="C627" s="2" t="s">
        <v>1056</v>
      </c>
      <c r="D627" s="2" t="s">
        <v>3556</v>
      </c>
      <c r="E627" s="51"/>
      <c r="F627" s="47"/>
      <c r="G627" s="52">
        <f t="array" ref="G627">MAX(IF(INSTOCK!$H$2:$H$2025=B627,INSTOCK!$K$2:$K$2025))</f>
        <v>0</v>
      </c>
      <c r="H627" s="53">
        <f>SUM(IF(INSTOCK!$H$2:$H$2025=B627,INSTOCK!$I$2:$I$2025))</f>
        <v>0</v>
      </c>
      <c r="I627" s="53" t="str">
        <f>SUM(IF([1]!Table13[ID]=B627,[1]!Table13[QTY]))</f>
        <v>#ERROR!</v>
      </c>
      <c r="J627" s="53" t="str">
        <f>TABLEITEM!$H$3:$H$1138-TABLEITEM!$I$3:$I$1138</f>
        <v>#ERROR!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hidden="1" customHeight="1">
      <c r="A628" s="47">
        <v>627.0</v>
      </c>
      <c r="B628" s="2" t="s">
        <v>113</v>
      </c>
      <c r="C628" s="2" t="s">
        <v>1056</v>
      </c>
      <c r="D628" s="2" t="s">
        <v>3557</v>
      </c>
      <c r="E628" s="51"/>
      <c r="F628" s="47"/>
      <c r="G628" s="52">
        <f t="array" ref="G628">MAX(IF(INSTOCK!$H$2:$H$2025=B628,INSTOCK!$K$2:$K$2025))</f>
        <v>0</v>
      </c>
      <c r="H628" s="53">
        <f>SUM(IF(INSTOCK!$H$2:$H$2025=B628,INSTOCK!$I$2:$I$2025))</f>
        <v>0</v>
      </c>
      <c r="I628" s="53" t="str">
        <f>SUM(IF([1]!Table13[ID]=B628,[1]!Table13[QTY]))</f>
        <v>#ERROR!</v>
      </c>
      <c r="J628" s="53" t="str">
        <f>TABLEITEM!$H$3:$H$1138-TABLEITEM!$I$3:$I$1138</f>
        <v>#ERROR!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hidden="1" customHeight="1">
      <c r="A629" s="47">
        <v>628.0</v>
      </c>
      <c r="B629" s="2" t="s">
        <v>1894</v>
      </c>
      <c r="C629" s="2" t="s">
        <v>1056</v>
      </c>
      <c r="D629" s="2" t="s">
        <v>3558</v>
      </c>
      <c r="E629" s="51"/>
      <c r="F629" s="47"/>
      <c r="G629" s="52">
        <f t="array" ref="G629">MAX(IF(INSTOCK!$H$2:$H$2025=B629,INSTOCK!$K$2:$K$2025))</f>
        <v>51.6667</v>
      </c>
      <c r="H629" s="53">
        <f>SUM(IF(INSTOCK!$H$2:$H$2025=B629,INSTOCK!$I$2:$I$2025))</f>
        <v>0</v>
      </c>
      <c r="I629" s="53" t="str">
        <f>SUM(IF([1]!Table13[ID]=B629,[1]!Table13[QTY]))</f>
        <v>#ERROR!</v>
      </c>
      <c r="J629" s="53" t="str">
        <f>TABLEITEM!$H$3:$H$1138-TABLEITEM!$I$3:$I$1138</f>
        <v>#ERROR!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hidden="1" customHeight="1">
      <c r="A630" s="47">
        <v>629.0</v>
      </c>
      <c r="B630" s="2" t="s">
        <v>16</v>
      </c>
      <c r="C630" s="2" t="s">
        <v>1056</v>
      </c>
      <c r="D630" s="2" t="s">
        <v>3559</v>
      </c>
      <c r="E630" s="51" t="s">
        <v>3491</v>
      </c>
      <c r="F630" s="47"/>
      <c r="G630" s="52">
        <f t="array" ref="G630">MAX(IF(INSTOCK!$H$2:$H$2025=B630,INSTOCK!$K$2:$K$2025))</f>
        <v>561.6</v>
      </c>
      <c r="H630" s="53">
        <f>SUM(IF(INSTOCK!$H$2:$H$2025=B630,INSTOCK!$I$2:$I$2025))</f>
        <v>0</v>
      </c>
      <c r="I630" s="53" t="str">
        <f>SUM(IF([1]!Table13[ID]=B630,[1]!Table13[QTY]))</f>
        <v>#ERROR!</v>
      </c>
      <c r="J630" s="53" t="str">
        <f>TABLEITEM!$H$3:$H$1138-TABLEITEM!$I$3:$I$1138</f>
        <v>#ERROR!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hidden="1" customHeight="1">
      <c r="A631" s="47">
        <v>630.0</v>
      </c>
      <c r="B631" s="2" t="s">
        <v>18</v>
      </c>
      <c r="C631" s="2" t="s">
        <v>1056</v>
      </c>
      <c r="D631" s="2" t="s">
        <v>3560</v>
      </c>
      <c r="E631" s="51" t="s">
        <v>3491</v>
      </c>
      <c r="F631" s="47"/>
      <c r="G631" s="52">
        <f t="array" ref="G631">MAX(IF(INSTOCK!$H$2:$H$2025=B631,INSTOCK!$K$2:$K$2025))</f>
        <v>570.7</v>
      </c>
      <c r="H631" s="53">
        <f>SUM(IF(INSTOCK!$H$2:$H$2025=B631,INSTOCK!$I$2:$I$2025))</f>
        <v>0</v>
      </c>
      <c r="I631" s="53" t="str">
        <f>SUM(IF([1]!Table13[ID]=B631,[1]!Table13[QTY]))</f>
        <v>#ERROR!</v>
      </c>
      <c r="J631" s="53" t="str">
        <f>TABLEITEM!$H$3:$H$1138-TABLEITEM!$I$3:$I$1138</f>
        <v>#ERROR!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hidden="1" customHeight="1">
      <c r="A632" s="47">
        <v>631.0</v>
      </c>
      <c r="B632" s="2" t="s">
        <v>17</v>
      </c>
      <c r="C632" s="2" t="s">
        <v>1056</v>
      </c>
      <c r="D632" s="2" t="s">
        <v>3561</v>
      </c>
      <c r="E632" s="51" t="s">
        <v>3491</v>
      </c>
      <c r="F632" s="47"/>
      <c r="G632" s="52">
        <f t="array" ref="G632">MAX(IF(INSTOCK!$H$2:$H$2025=B632,INSTOCK!$K$2:$K$2025))</f>
        <v>6498.1227</v>
      </c>
      <c r="H632" s="53">
        <f>SUM(IF(INSTOCK!$H$2:$H$2025=B632,INSTOCK!$I$2:$I$2025))</f>
        <v>0</v>
      </c>
      <c r="I632" s="53" t="str">
        <f>SUM(IF([1]!Table13[ID]=B632,[1]!Table13[QTY]))</f>
        <v>#ERROR!</v>
      </c>
      <c r="J632" s="53" t="str">
        <f>TABLEITEM!$H$3:$H$1138-TABLEITEM!$I$3:$I$1138</f>
        <v>#ERROR!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hidden="1" customHeight="1">
      <c r="A633" s="47">
        <v>632.0</v>
      </c>
      <c r="B633" s="2" t="s">
        <v>3562</v>
      </c>
      <c r="C633" s="2" t="s">
        <v>1056</v>
      </c>
      <c r="D633" s="2" t="s">
        <v>3563</v>
      </c>
      <c r="E633" s="51"/>
      <c r="F633" s="47"/>
      <c r="G633" s="52">
        <f t="array" ref="G633">MAX(IF(INSTOCK!$H$2:$H$2025=B633,INSTOCK!$K$2:$K$2025))</f>
        <v>0</v>
      </c>
      <c r="H633" s="53">
        <f>SUM(IF(INSTOCK!$H$2:$H$2025=B633,INSTOCK!$I$2:$I$2025))</f>
        <v>0</v>
      </c>
      <c r="I633" s="53" t="str">
        <f>SUM(IF([1]!Table13[ID]=B633,[1]!Table13[QTY]))</f>
        <v>#ERROR!</v>
      </c>
      <c r="J633" s="53" t="str">
        <f>TABLEITEM!$H$3:$H$1138-TABLEITEM!$I$3:$I$1138</f>
        <v>#ERROR!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hidden="1" customHeight="1">
      <c r="A634" s="47">
        <v>633.0</v>
      </c>
      <c r="B634" s="2" t="s">
        <v>27</v>
      </c>
      <c r="C634" s="2" t="s">
        <v>1056</v>
      </c>
      <c r="D634" s="2" t="s">
        <v>3564</v>
      </c>
      <c r="E634" s="51" t="s">
        <v>3491</v>
      </c>
      <c r="F634" s="47"/>
      <c r="G634" s="52">
        <f t="array" ref="G634">MAX(IF(INSTOCK!$H$2:$H$2025=B634,INSTOCK!$K$2:$K$2025))</f>
        <v>297.076</v>
      </c>
      <c r="H634" s="53">
        <f>SUM(IF(INSTOCK!$H$2:$H$2025=B634,INSTOCK!$I$2:$I$2025))</f>
        <v>0</v>
      </c>
      <c r="I634" s="53" t="str">
        <f>SUM(IF([1]!Table13[ID]=B634,[1]!Table13[QTY]))</f>
        <v>#ERROR!</v>
      </c>
      <c r="J634" s="53" t="str">
        <f>TABLEITEM!$H$3:$H$1138-TABLEITEM!$I$3:$I$1138</f>
        <v>#ERROR!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hidden="1" customHeight="1">
      <c r="A635" s="47">
        <v>634.0</v>
      </c>
      <c r="B635" s="2" t="s">
        <v>388</v>
      </c>
      <c r="C635" s="2" t="s">
        <v>1056</v>
      </c>
      <c r="D635" s="2" t="s">
        <v>3565</v>
      </c>
      <c r="E635" s="51"/>
      <c r="F635" s="47"/>
      <c r="G635" s="52">
        <f t="array" ref="G635">MAX(IF(INSTOCK!$H$2:$H$2025=B635,INSTOCK!$K$2:$K$2025))</f>
        <v>360</v>
      </c>
      <c r="H635" s="53">
        <f>SUM(IF(INSTOCK!$H$2:$H$2025=B635,INSTOCK!$I$2:$I$2025))</f>
        <v>0</v>
      </c>
      <c r="I635" s="53" t="str">
        <f>SUM(IF([1]!Table13[ID]=B635,[1]!Table13[QTY]))</f>
        <v>#ERROR!</v>
      </c>
      <c r="J635" s="53" t="str">
        <f>TABLEITEM!$H$3:$H$1138-TABLEITEM!$I$3:$I$1138</f>
        <v>#ERROR!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hidden="1" customHeight="1">
      <c r="A636" s="47">
        <v>635.0</v>
      </c>
      <c r="B636" s="2" t="s">
        <v>28</v>
      </c>
      <c r="C636" s="2" t="s">
        <v>1056</v>
      </c>
      <c r="D636" s="2" t="s">
        <v>3566</v>
      </c>
      <c r="E636" s="51" t="s">
        <v>3491</v>
      </c>
      <c r="F636" s="47"/>
      <c r="G636" s="52">
        <f t="array" ref="G636">MAX(IF(INSTOCK!$H$2:$H$2025=B636,INSTOCK!$K$2:$K$2025))</f>
        <v>449.854</v>
      </c>
      <c r="H636" s="53">
        <f>SUM(IF(INSTOCK!$H$2:$H$2025=B636,INSTOCK!$I$2:$I$2025))</f>
        <v>0</v>
      </c>
      <c r="I636" s="53" t="str">
        <f>SUM(IF([1]!Table13[ID]=B636,[1]!Table13[QTY]))</f>
        <v>#ERROR!</v>
      </c>
      <c r="J636" s="53" t="str">
        <f>TABLEITEM!$H$3:$H$1138-TABLEITEM!$I$3:$I$1138</f>
        <v>#ERROR!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hidden="1" customHeight="1">
      <c r="A637" s="47">
        <v>636.0</v>
      </c>
      <c r="B637" s="2" t="s">
        <v>29</v>
      </c>
      <c r="C637" s="2" t="s">
        <v>1056</v>
      </c>
      <c r="D637" s="2" t="s">
        <v>3567</v>
      </c>
      <c r="E637" s="51" t="s">
        <v>3491</v>
      </c>
      <c r="F637" s="47"/>
      <c r="G637" s="52">
        <f t="array" ref="G637">MAX(IF(INSTOCK!$H$2:$H$2025=B637,INSTOCK!$K$2:$K$2025))</f>
        <v>381.172</v>
      </c>
      <c r="H637" s="53">
        <f>SUM(IF(INSTOCK!$H$2:$H$2025=B637,INSTOCK!$I$2:$I$2025))</f>
        <v>0</v>
      </c>
      <c r="I637" s="53" t="str">
        <f>SUM(IF([1]!Table13[ID]=B637,[1]!Table13[QTY]))</f>
        <v>#ERROR!</v>
      </c>
      <c r="J637" s="53" t="str">
        <f>TABLEITEM!$H$3:$H$1138-TABLEITEM!$I$3:$I$1138</f>
        <v>#ERROR!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hidden="1" customHeight="1">
      <c r="A638" s="47">
        <v>637.0</v>
      </c>
      <c r="B638" s="2" t="s">
        <v>33</v>
      </c>
      <c r="C638" s="2" t="s">
        <v>1056</v>
      </c>
      <c r="D638" s="2" t="s">
        <v>3568</v>
      </c>
      <c r="E638" s="51" t="s">
        <v>3491</v>
      </c>
      <c r="F638" s="47"/>
      <c r="G638" s="52">
        <f t="array" ref="G638">MAX(IF(INSTOCK!$H$2:$H$2025=B638,INSTOCK!$K$2:$K$2025))</f>
        <v>419.5</v>
      </c>
      <c r="H638" s="53">
        <f>SUM(IF(INSTOCK!$H$2:$H$2025=B638,INSTOCK!$I$2:$I$2025))</f>
        <v>0</v>
      </c>
      <c r="I638" s="53" t="str">
        <f>SUM(IF([1]!Table13[ID]=B638,[1]!Table13[QTY]))</f>
        <v>#ERROR!</v>
      </c>
      <c r="J638" s="53" t="str">
        <f>TABLEITEM!$H$3:$H$1138-TABLEITEM!$I$3:$I$1138</f>
        <v>#ERROR!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hidden="1" customHeight="1">
      <c r="A639" s="47">
        <v>638.0</v>
      </c>
      <c r="B639" s="2" t="s">
        <v>30</v>
      </c>
      <c r="C639" s="2" t="s">
        <v>1056</v>
      </c>
      <c r="D639" s="2" t="s">
        <v>3569</v>
      </c>
      <c r="E639" s="51" t="s">
        <v>3491</v>
      </c>
      <c r="F639" s="47"/>
      <c r="G639" s="52">
        <f t="array" ref="G639">MAX(IF(INSTOCK!$H$2:$H$2025=B639,INSTOCK!$K$2:$K$2025))</f>
        <v>432.6</v>
      </c>
      <c r="H639" s="53">
        <f>SUM(IF(INSTOCK!$H$2:$H$2025=B639,INSTOCK!$I$2:$I$2025))</f>
        <v>0</v>
      </c>
      <c r="I639" s="53" t="str">
        <f>SUM(IF([1]!Table13[ID]=B639,[1]!Table13[QTY]))</f>
        <v>#ERROR!</v>
      </c>
      <c r="J639" s="53" t="str">
        <f>TABLEITEM!$H$3:$H$1138-TABLEITEM!$I$3:$I$1138</f>
        <v>#ERROR!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hidden="1" customHeight="1">
      <c r="A640" s="47">
        <v>639.0</v>
      </c>
      <c r="B640" s="2" t="s">
        <v>34</v>
      </c>
      <c r="C640" s="2" t="s">
        <v>1056</v>
      </c>
      <c r="D640" s="2" t="s">
        <v>3570</v>
      </c>
      <c r="E640" s="51" t="s">
        <v>3491</v>
      </c>
      <c r="F640" s="47"/>
      <c r="G640" s="52">
        <f t="array" ref="G640">MAX(IF(INSTOCK!$H$2:$H$2025=B640,INSTOCK!$K$2:$K$2025))</f>
        <v>524.1</v>
      </c>
      <c r="H640" s="53">
        <f>SUM(IF(INSTOCK!$H$2:$H$2025=B640,INSTOCK!$I$2:$I$2025))</f>
        <v>0</v>
      </c>
      <c r="I640" s="53" t="str">
        <f>SUM(IF([1]!Table13[ID]=B640,[1]!Table13[QTY]))</f>
        <v>#ERROR!</v>
      </c>
      <c r="J640" s="53" t="str">
        <f>TABLEITEM!$H$3:$H$1138-TABLEITEM!$I$3:$I$1138</f>
        <v>#ERROR!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hidden="1" customHeight="1">
      <c r="A641" s="47">
        <v>640.0</v>
      </c>
      <c r="B641" s="2" t="s">
        <v>31</v>
      </c>
      <c r="C641" s="2" t="s">
        <v>1056</v>
      </c>
      <c r="D641" s="2" t="s">
        <v>3571</v>
      </c>
      <c r="E641" s="51" t="s">
        <v>3491</v>
      </c>
      <c r="F641" s="47"/>
      <c r="G641" s="52">
        <f t="array" ref="G641">MAX(IF(INSTOCK!$H$2:$H$2025=B641,INSTOCK!$K$2:$K$2025))</f>
        <v>501.5</v>
      </c>
      <c r="H641" s="53">
        <f>SUM(IF(INSTOCK!$H$2:$H$2025=B641,INSTOCK!$I$2:$I$2025))</f>
        <v>0</v>
      </c>
      <c r="I641" s="53" t="str">
        <f>SUM(IF([1]!Table13[ID]=B641,[1]!Table13[QTY]))</f>
        <v>#ERROR!</v>
      </c>
      <c r="J641" s="53" t="str">
        <f>TABLEITEM!$H$3:$H$1138-TABLEITEM!$I$3:$I$1138</f>
        <v>#ERROR!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hidden="1" customHeight="1">
      <c r="A642" s="47">
        <v>641.0</v>
      </c>
      <c r="B642" s="2" t="s">
        <v>35</v>
      </c>
      <c r="C642" s="2" t="s">
        <v>1056</v>
      </c>
      <c r="D642" s="2" t="s">
        <v>3572</v>
      </c>
      <c r="E642" s="51" t="s">
        <v>3491</v>
      </c>
      <c r="F642" s="47"/>
      <c r="G642" s="52">
        <f t="array" ref="G642">MAX(IF(INSTOCK!$H$2:$H$2025=B642,INSTOCK!$K$2:$K$2025))</f>
        <v>554</v>
      </c>
      <c r="H642" s="53">
        <f>SUM(IF(INSTOCK!$H$2:$H$2025=B642,INSTOCK!$I$2:$I$2025))</f>
        <v>0</v>
      </c>
      <c r="I642" s="53" t="str">
        <f>SUM(IF([1]!Table13[ID]=B642,[1]!Table13[QTY]))</f>
        <v>#ERROR!</v>
      </c>
      <c r="J642" s="53" t="str">
        <f>TABLEITEM!$H$3:$H$1138-TABLEITEM!$I$3:$I$1138</f>
        <v>#ERROR!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hidden="1" customHeight="1">
      <c r="A643" s="47">
        <v>642.0</v>
      </c>
      <c r="B643" s="2" t="s">
        <v>32</v>
      </c>
      <c r="C643" s="2" t="s">
        <v>1056</v>
      </c>
      <c r="D643" s="2" t="s">
        <v>3573</v>
      </c>
      <c r="E643" s="51" t="s">
        <v>3491</v>
      </c>
      <c r="F643" s="47"/>
      <c r="G643" s="52">
        <f t="array" ref="G643">MAX(IF(INSTOCK!$H$2:$H$2025=B643,INSTOCK!$K$2:$K$2025))</f>
        <v>0</v>
      </c>
      <c r="H643" s="53">
        <f>SUM(IF(INSTOCK!$H$2:$H$2025=B643,INSTOCK!$I$2:$I$2025))</f>
        <v>0</v>
      </c>
      <c r="I643" s="53" t="str">
        <f>SUM(IF([1]!Table13[ID]=B643,[1]!Table13[QTY]))</f>
        <v>#ERROR!</v>
      </c>
      <c r="J643" s="53" t="str">
        <f>TABLEITEM!$H$3:$H$1138-TABLEITEM!$I$3:$I$1138</f>
        <v>#ERROR!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hidden="1" customHeight="1">
      <c r="A644" s="47">
        <v>643.0</v>
      </c>
      <c r="B644" s="2" t="s">
        <v>37</v>
      </c>
      <c r="C644" s="2" t="s">
        <v>1056</v>
      </c>
      <c r="D644" s="2" t="s">
        <v>3574</v>
      </c>
      <c r="E644" s="51" t="s">
        <v>3491</v>
      </c>
      <c r="F644" s="47"/>
      <c r="G644" s="52">
        <f t="array" ref="G644">MAX(IF(INSTOCK!$H$2:$H$2025=B644,INSTOCK!$K$2:$K$2025))</f>
        <v>596.5</v>
      </c>
      <c r="H644" s="53">
        <f>SUM(IF(INSTOCK!$H$2:$H$2025=B644,INSTOCK!$I$2:$I$2025))</f>
        <v>0</v>
      </c>
      <c r="I644" s="53" t="str">
        <f>SUM(IF([1]!Table13[ID]=B644,[1]!Table13[QTY]))</f>
        <v>#ERROR!</v>
      </c>
      <c r="J644" s="53" t="str">
        <f>TABLEITEM!$H$3:$H$1138-TABLEITEM!$I$3:$I$1138</f>
        <v>#ERROR!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hidden="1" customHeight="1">
      <c r="A645" s="47">
        <v>644.0</v>
      </c>
      <c r="B645" s="2" t="s">
        <v>301</v>
      </c>
      <c r="C645" s="2" t="s">
        <v>1056</v>
      </c>
      <c r="D645" s="2" t="s">
        <v>3575</v>
      </c>
      <c r="E645" s="51"/>
      <c r="F645" s="47"/>
      <c r="G645" s="52">
        <f t="array" ref="G645">MAX(IF(INSTOCK!$H$2:$H$2025=B645,INSTOCK!$K$2:$K$2025))</f>
        <v>25</v>
      </c>
      <c r="H645" s="53">
        <f>SUM(IF(INSTOCK!$H$2:$H$2025=B645,INSTOCK!$I$2:$I$2025))</f>
        <v>0</v>
      </c>
      <c r="I645" s="53" t="str">
        <f>SUM(IF([1]!Table13[ID]=B645,[1]!Table13[QTY]))</f>
        <v>#ERROR!</v>
      </c>
      <c r="J645" s="53" t="str">
        <f>TABLEITEM!$H$3:$H$1138-TABLEITEM!$I$3:$I$1138</f>
        <v>#ERROR!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hidden="1" customHeight="1">
      <c r="A646" s="47">
        <v>645.0</v>
      </c>
      <c r="B646" s="2" t="s">
        <v>184</v>
      </c>
      <c r="C646" s="2" t="s">
        <v>1056</v>
      </c>
      <c r="D646" s="2" t="s">
        <v>3576</v>
      </c>
      <c r="E646" s="51"/>
      <c r="F646" s="47"/>
      <c r="G646" s="52">
        <f t="array" ref="G646">MAX(IF(INSTOCK!$H$2:$H$2025=B646,INSTOCK!$K$2:$K$2025))</f>
        <v>696.54</v>
      </c>
      <c r="H646" s="53">
        <f>SUM(IF(INSTOCK!$H$2:$H$2025=B646,INSTOCK!$I$2:$I$2025))</f>
        <v>0</v>
      </c>
      <c r="I646" s="53" t="str">
        <f>SUM(IF([1]!Table13[ID]=B646,[1]!Table13[QTY]))</f>
        <v>#ERROR!</v>
      </c>
      <c r="J646" s="53" t="str">
        <f>TABLEITEM!$H$3:$H$1138-TABLEITEM!$I$3:$I$1138</f>
        <v>#ERROR!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hidden="1" customHeight="1">
      <c r="A647" s="47">
        <v>646.0</v>
      </c>
      <c r="B647" s="2" t="s">
        <v>36</v>
      </c>
      <c r="C647" s="2" t="s">
        <v>1056</v>
      </c>
      <c r="D647" s="2" t="s">
        <v>3577</v>
      </c>
      <c r="E647" s="51" t="s">
        <v>3491</v>
      </c>
      <c r="F647" s="47"/>
      <c r="G647" s="52">
        <f t="array" ref="G647">MAX(IF(INSTOCK!$H$2:$H$2025=B647,INSTOCK!$K$2:$K$2025))</f>
        <v>860</v>
      </c>
      <c r="H647" s="53">
        <f>SUM(IF(INSTOCK!$H$2:$H$2025=B647,INSTOCK!$I$2:$I$2025))</f>
        <v>0</v>
      </c>
      <c r="I647" s="53" t="str">
        <f>SUM(IF([1]!Table13[ID]=B647,[1]!Table13[QTY]))</f>
        <v>#ERROR!</v>
      </c>
      <c r="J647" s="53" t="str">
        <f>TABLEITEM!$H$3:$H$1138-TABLEITEM!$I$3:$I$1138</f>
        <v>#ERROR!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hidden="1" customHeight="1">
      <c r="A648" s="47">
        <v>647.0</v>
      </c>
      <c r="B648" s="2" t="s">
        <v>19</v>
      </c>
      <c r="C648" s="2" t="s">
        <v>1056</v>
      </c>
      <c r="D648" s="2" t="s">
        <v>3578</v>
      </c>
      <c r="E648" s="51" t="s">
        <v>3491</v>
      </c>
      <c r="F648" s="47"/>
      <c r="G648" s="52">
        <f t="array" ref="G648">MAX(IF(INSTOCK!$H$2:$H$2025=B648,INSTOCK!$K$2:$K$2025))</f>
        <v>1122.1</v>
      </c>
      <c r="H648" s="53">
        <f>SUM(IF(INSTOCK!$H$2:$H$2025=B648,INSTOCK!$I$2:$I$2025))</f>
        <v>0</v>
      </c>
      <c r="I648" s="53" t="str">
        <f>SUM(IF([1]!Table13[ID]=B648,[1]!Table13[QTY]))</f>
        <v>#ERROR!</v>
      </c>
      <c r="J648" s="53" t="str">
        <f>TABLEITEM!$H$3:$H$1138-TABLEITEM!$I$3:$I$1138</f>
        <v>#ERROR!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hidden="1" customHeight="1">
      <c r="A649" s="47">
        <v>648.0</v>
      </c>
      <c r="B649" s="2" t="s">
        <v>20</v>
      </c>
      <c r="C649" s="2" t="s">
        <v>1056</v>
      </c>
      <c r="D649" s="2" t="s">
        <v>3579</v>
      </c>
      <c r="E649" s="51" t="s">
        <v>3491</v>
      </c>
      <c r="F649" s="47"/>
      <c r="G649" s="52">
        <f t="array" ref="G649">MAX(IF(INSTOCK!$H$2:$H$2025=B649,INSTOCK!$K$2:$K$2025))</f>
        <v>1078.65</v>
      </c>
      <c r="H649" s="53">
        <f>SUM(IF(INSTOCK!$H$2:$H$2025=B649,INSTOCK!$I$2:$I$2025))</f>
        <v>0</v>
      </c>
      <c r="I649" s="53" t="str">
        <f>SUM(IF([1]!Table13[ID]=B649,[1]!Table13[QTY]))</f>
        <v>#ERROR!</v>
      </c>
      <c r="J649" s="53" t="str">
        <f>TABLEITEM!$H$3:$H$1138-TABLEITEM!$I$3:$I$1138</f>
        <v>#ERROR!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hidden="1" customHeight="1">
      <c r="A650" s="47">
        <v>649.0</v>
      </c>
      <c r="B650" s="2" t="s">
        <v>21</v>
      </c>
      <c r="C650" s="2" t="s">
        <v>1056</v>
      </c>
      <c r="D650" s="2" t="s">
        <v>1060</v>
      </c>
      <c r="E650" s="51" t="s">
        <v>3491</v>
      </c>
      <c r="F650" s="47"/>
      <c r="G650" s="52">
        <f t="array" ref="G650">MAX(IF(INSTOCK!$H$2:$H$2025=B650,INSTOCK!$K$2:$K$2025))</f>
        <v>1358.8</v>
      </c>
      <c r="H650" s="53">
        <f>SUM(IF(INSTOCK!$H$2:$H$2025=B650,INSTOCK!$I$2:$I$2025))</f>
        <v>0</v>
      </c>
      <c r="I650" s="53" t="str">
        <f>SUM(IF([1]!Table13[ID]=B650,[1]!Table13[QTY]))</f>
        <v>#ERROR!</v>
      </c>
      <c r="J650" s="53" t="str">
        <f>TABLEITEM!$H$3:$H$1138-TABLEITEM!$I$3:$I$1138</f>
        <v>#ERROR!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hidden="1" customHeight="1">
      <c r="A651" s="47">
        <v>650.0</v>
      </c>
      <c r="B651" s="2" t="s">
        <v>22</v>
      </c>
      <c r="C651" s="2" t="s">
        <v>1056</v>
      </c>
      <c r="D651" s="2" t="s">
        <v>3580</v>
      </c>
      <c r="E651" s="51" t="s">
        <v>3491</v>
      </c>
      <c r="F651" s="47"/>
      <c r="G651" s="52">
        <f t="array" ref="G651">MAX(IF(INSTOCK!$H$2:$H$2025=B651,INSTOCK!$K$2:$K$2025))</f>
        <v>1413.27</v>
      </c>
      <c r="H651" s="53">
        <f>SUM(IF(INSTOCK!$H$2:$H$2025=B651,INSTOCK!$I$2:$I$2025))</f>
        <v>0</v>
      </c>
      <c r="I651" s="53" t="str">
        <f>SUM(IF([1]!Table13[ID]=B651,[1]!Table13[QTY]))</f>
        <v>#ERROR!</v>
      </c>
      <c r="J651" s="53" t="str">
        <f>TABLEITEM!$H$3:$H$1138-TABLEITEM!$I$3:$I$1138</f>
        <v>#ERROR!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hidden="1" customHeight="1">
      <c r="A652" s="47">
        <v>651.0</v>
      </c>
      <c r="B652" s="2" t="s">
        <v>23</v>
      </c>
      <c r="C652" s="2" t="s">
        <v>1056</v>
      </c>
      <c r="D652" s="2" t="s">
        <v>3581</v>
      </c>
      <c r="E652" s="51" t="s">
        <v>3491</v>
      </c>
      <c r="F652" s="47"/>
      <c r="G652" s="52">
        <f t="array" ref="G652">MAX(IF(INSTOCK!$H$2:$H$2025=B652,INSTOCK!$K$2:$K$2025))</f>
        <v>1317.6</v>
      </c>
      <c r="H652" s="53">
        <f>SUM(IF(INSTOCK!$H$2:$H$2025=B652,INSTOCK!$I$2:$I$2025))</f>
        <v>0</v>
      </c>
      <c r="I652" s="53" t="str">
        <f>SUM(IF([1]!Table13[ID]=B652,[1]!Table13[QTY]))</f>
        <v>#ERROR!</v>
      </c>
      <c r="J652" s="53" t="str">
        <f>TABLEITEM!$H$3:$H$1138-TABLEITEM!$I$3:$I$1138</f>
        <v>#ERROR!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hidden="1" customHeight="1">
      <c r="A653" s="47">
        <v>652.0</v>
      </c>
      <c r="B653" s="2" t="s">
        <v>24</v>
      </c>
      <c r="C653" s="2" t="s">
        <v>1056</v>
      </c>
      <c r="D653" s="2" t="s">
        <v>3582</v>
      </c>
      <c r="E653" s="51" t="s">
        <v>3491</v>
      </c>
      <c r="F653" s="47"/>
      <c r="G653" s="52">
        <f t="array" ref="G653">MAX(IF(INSTOCK!$H$2:$H$2025=B653,INSTOCK!$K$2:$K$2025))</f>
        <v>1501.8</v>
      </c>
      <c r="H653" s="53">
        <f>SUM(IF(INSTOCK!$H$2:$H$2025=B653,INSTOCK!$I$2:$I$2025))</f>
        <v>0</v>
      </c>
      <c r="I653" s="53" t="str">
        <f>SUM(IF([1]!Table13[ID]=B653,[1]!Table13[QTY]))</f>
        <v>#ERROR!</v>
      </c>
      <c r="J653" s="53" t="str">
        <f>TABLEITEM!$H$3:$H$1138-TABLEITEM!$I$3:$I$1138</f>
        <v>#ERROR!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hidden="1" customHeight="1">
      <c r="A654" s="47">
        <v>653.0</v>
      </c>
      <c r="B654" s="2" t="s">
        <v>25</v>
      </c>
      <c r="C654" s="2" t="s">
        <v>1056</v>
      </c>
      <c r="D654" s="2" t="s">
        <v>3583</v>
      </c>
      <c r="E654" s="51" t="s">
        <v>3491</v>
      </c>
      <c r="F654" s="47"/>
      <c r="G654" s="52">
        <f t="array" ref="G654">MAX(IF(INSTOCK!$H$2:$H$2025=B654,INSTOCK!$K$2:$K$2025))</f>
        <v>1808</v>
      </c>
      <c r="H654" s="53">
        <f>SUM(IF(INSTOCK!$H$2:$H$2025=B654,INSTOCK!$I$2:$I$2025))</f>
        <v>0</v>
      </c>
      <c r="I654" s="53" t="str">
        <f>SUM(IF([1]!Table13[ID]=B654,[1]!Table13[QTY]))</f>
        <v>#ERROR!</v>
      </c>
      <c r="J654" s="53" t="str">
        <f>TABLEITEM!$H$3:$H$1138-TABLEITEM!$I$3:$I$1138</f>
        <v>#ERROR!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hidden="1" customHeight="1">
      <c r="A655" s="47">
        <v>654.0</v>
      </c>
      <c r="B655" s="2" t="s">
        <v>38</v>
      </c>
      <c r="C655" s="2" t="s">
        <v>1056</v>
      </c>
      <c r="D655" s="2" t="s">
        <v>3584</v>
      </c>
      <c r="E655" s="51" t="s">
        <v>3491</v>
      </c>
      <c r="F655" s="47"/>
      <c r="G655" s="52">
        <f t="array" ref="G655">MAX(IF(INSTOCK!$H$2:$H$2025=B655,INSTOCK!$K$2:$K$2025))</f>
        <v>2206.7</v>
      </c>
      <c r="H655" s="53">
        <f>SUM(IF(INSTOCK!$H$2:$H$2025=B655,INSTOCK!$I$2:$I$2025))</f>
        <v>0</v>
      </c>
      <c r="I655" s="53" t="str">
        <f>SUM(IF([1]!Table13[ID]=B655,[1]!Table13[QTY]))</f>
        <v>#ERROR!</v>
      </c>
      <c r="J655" s="53" t="str">
        <f>TABLEITEM!$H$3:$H$1138-TABLEITEM!$I$3:$I$1138</f>
        <v>#ERROR!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hidden="1" customHeight="1">
      <c r="A656" s="47">
        <v>655.0</v>
      </c>
      <c r="B656" s="2" t="s">
        <v>26</v>
      </c>
      <c r="C656" s="2" t="s">
        <v>1056</v>
      </c>
      <c r="D656" s="2" t="s">
        <v>3585</v>
      </c>
      <c r="E656" s="51" t="s">
        <v>3586</v>
      </c>
      <c r="F656" s="47"/>
      <c r="G656" s="52">
        <f t="array" ref="G656">MAX(IF(INSTOCK!$H$2:$H$2025=B656,INSTOCK!$K$2:$K$2025))</f>
        <v>2256</v>
      </c>
      <c r="H656" s="53">
        <f>SUM(IF(INSTOCK!$H$2:$H$2025=B656,INSTOCK!$I$2:$I$2025))</f>
        <v>0</v>
      </c>
      <c r="I656" s="53" t="str">
        <f>SUM(IF([1]!Table13[ID]=B656,[1]!Table13[QTY]))</f>
        <v>#ERROR!</v>
      </c>
      <c r="J656" s="53" t="str">
        <f>TABLEITEM!$H$3:$H$1138-TABLEITEM!$I$3:$I$1138</f>
        <v>#ERROR!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hidden="1" customHeight="1">
      <c r="A657" s="47">
        <v>656.0</v>
      </c>
      <c r="B657" s="2" t="s">
        <v>48</v>
      </c>
      <c r="C657" s="2" t="s">
        <v>1056</v>
      </c>
      <c r="D657" s="2" t="s">
        <v>3587</v>
      </c>
      <c r="E657" s="51"/>
      <c r="F657" s="47"/>
      <c r="G657" s="52">
        <f t="array" ref="G657">MAX(IF(INSTOCK!$H$2:$H$2025=B657,INSTOCK!$K$2:$K$2025))</f>
        <v>970</v>
      </c>
      <c r="H657" s="53">
        <f>SUM(IF(INSTOCK!$H$2:$H$2025=B657,INSTOCK!$I$2:$I$2025))</f>
        <v>0</v>
      </c>
      <c r="I657" s="53" t="str">
        <f>SUM(IF([1]!Table13[ID]=B657,[1]!Table13[QTY]))</f>
        <v>#ERROR!</v>
      </c>
      <c r="J657" s="53" t="str">
        <f>TABLEITEM!$H$3:$H$1138-TABLEITEM!$I$3:$I$1138</f>
        <v>#ERROR!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hidden="1" customHeight="1">
      <c r="A658" s="47">
        <v>657.0</v>
      </c>
      <c r="B658" s="2" t="s">
        <v>49</v>
      </c>
      <c r="C658" s="2" t="s">
        <v>1056</v>
      </c>
      <c r="D658" s="2" t="s">
        <v>3588</v>
      </c>
      <c r="E658" s="51"/>
      <c r="F658" s="47"/>
      <c r="G658" s="52">
        <f t="array" ref="G658">MAX(IF(INSTOCK!$H$2:$H$2025=B658,INSTOCK!$K$2:$K$2025))</f>
        <v>0</v>
      </c>
      <c r="H658" s="53">
        <f>SUM(IF(INSTOCK!$H$2:$H$2025=B658,INSTOCK!$I$2:$I$2025))</f>
        <v>0</v>
      </c>
      <c r="I658" s="53" t="str">
        <f>SUM(IF([1]!Table13[ID]=B658,[1]!Table13[QTY]))</f>
        <v>#ERROR!</v>
      </c>
      <c r="J658" s="53" t="str">
        <f>TABLEITEM!$H$3:$H$1138-TABLEITEM!$I$3:$I$1138</f>
        <v>#ERROR!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hidden="1" customHeight="1">
      <c r="A659" s="47">
        <v>658.0</v>
      </c>
      <c r="B659" s="2" t="s">
        <v>50</v>
      </c>
      <c r="C659" s="2" t="s">
        <v>1056</v>
      </c>
      <c r="D659" s="2" t="s">
        <v>3589</v>
      </c>
      <c r="E659" s="51"/>
      <c r="F659" s="47"/>
      <c r="G659" s="52">
        <f t="array" ref="G659">MAX(IF(INSTOCK!$H$2:$H$2025=B659,INSTOCK!$K$2:$K$2025))</f>
        <v>1035</v>
      </c>
      <c r="H659" s="53">
        <f>SUM(IF(INSTOCK!$H$2:$H$2025=B659,INSTOCK!$I$2:$I$2025))</f>
        <v>0</v>
      </c>
      <c r="I659" s="53" t="str">
        <f>SUM(IF([1]!Table13[ID]=B659,[1]!Table13[QTY]))</f>
        <v>#ERROR!</v>
      </c>
      <c r="J659" s="53" t="str">
        <f>TABLEITEM!$H$3:$H$1138-TABLEITEM!$I$3:$I$1138</f>
        <v>#ERROR!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hidden="1" customHeight="1">
      <c r="A660" s="47">
        <v>659.0</v>
      </c>
      <c r="B660" s="2" t="s">
        <v>51</v>
      </c>
      <c r="C660" s="2" t="s">
        <v>1056</v>
      </c>
      <c r="D660" s="2" t="s">
        <v>3590</v>
      </c>
      <c r="E660" s="51"/>
      <c r="F660" s="47"/>
      <c r="G660" s="52">
        <f t="array" ref="G660">MAX(IF(INSTOCK!$H$2:$H$2025=B660,INSTOCK!$K$2:$K$2025))</f>
        <v>0</v>
      </c>
      <c r="H660" s="53">
        <f>SUM(IF(INSTOCK!$H$2:$H$2025=B660,INSTOCK!$I$2:$I$2025))</f>
        <v>0</v>
      </c>
      <c r="I660" s="53" t="str">
        <f>SUM(IF([1]!Table13[ID]=B660,[1]!Table13[QTY]))</f>
        <v>#ERROR!</v>
      </c>
      <c r="J660" s="53" t="str">
        <f>TABLEITEM!$H$3:$H$1138-TABLEITEM!$I$3:$I$1138</f>
        <v>#ERROR!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hidden="1" customHeight="1">
      <c r="A661" s="47">
        <v>660.0</v>
      </c>
      <c r="B661" s="2" t="s">
        <v>52</v>
      </c>
      <c r="C661" s="2" t="s">
        <v>1056</v>
      </c>
      <c r="D661" s="2" t="s">
        <v>3591</v>
      </c>
      <c r="E661" s="51" t="s">
        <v>3500</v>
      </c>
      <c r="F661" s="47"/>
      <c r="G661" s="52">
        <f t="array" ref="G661">MAX(IF(INSTOCK!$H$2:$H$2025=B661,INSTOCK!$K$2:$K$2025))</f>
        <v>1860</v>
      </c>
      <c r="H661" s="53">
        <f>SUM(IF(INSTOCK!$H$2:$H$2025=B661,INSTOCK!$I$2:$I$2025))</f>
        <v>0</v>
      </c>
      <c r="I661" s="53" t="str">
        <f>SUM(IF([1]!Table13[ID]=B661,[1]!Table13[QTY]))</f>
        <v>#ERROR!</v>
      </c>
      <c r="J661" s="53" t="str">
        <f>TABLEITEM!$H$3:$H$1138-TABLEITEM!$I$3:$I$1138</f>
        <v>#ERROR!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hidden="1" customHeight="1">
      <c r="A662" s="47">
        <v>661.0</v>
      </c>
      <c r="B662" s="2" t="s">
        <v>53</v>
      </c>
      <c r="C662" s="2" t="s">
        <v>1056</v>
      </c>
      <c r="D662" s="2" t="s">
        <v>3592</v>
      </c>
      <c r="E662" s="51"/>
      <c r="F662" s="47"/>
      <c r="G662" s="52">
        <f t="array" ref="G662">MAX(IF(INSTOCK!$H$2:$H$2025=B662,INSTOCK!$K$2:$K$2025))</f>
        <v>0</v>
      </c>
      <c r="H662" s="53">
        <f>SUM(IF(INSTOCK!$H$2:$H$2025=B662,INSTOCK!$I$2:$I$2025))</f>
        <v>0</v>
      </c>
      <c r="I662" s="53" t="str">
        <f>SUM(IF([1]!Table13[ID]=B662,[1]!Table13[QTY]))</f>
        <v>#ERROR!</v>
      </c>
      <c r="J662" s="53" t="str">
        <f>TABLEITEM!$H$3:$H$1138-TABLEITEM!$I$3:$I$1138</f>
        <v>#ERROR!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hidden="1" customHeight="1">
      <c r="A663" s="47">
        <v>662.0</v>
      </c>
      <c r="B663" s="2" t="s">
        <v>58</v>
      </c>
      <c r="C663" s="2" t="s">
        <v>1056</v>
      </c>
      <c r="D663" s="2" t="s">
        <v>3593</v>
      </c>
      <c r="E663" s="51" t="s">
        <v>3544</v>
      </c>
      <c r="F663" s="47"/>
      <c r="G663" s="52">
        <f t="array" ref="G663">MAX(IF(INSTOCK!$H$2:$H$2025=B663,INSTOCK!$K$2:$K$2025))</f>
        <v>1730</v>
      </c>
      <c r="H663" s="53">
        <f>SUM(IF(INSTOCK!$H$2:$H$2025=B663,INSTOCK!$I$2:$I$2025))</f>
        <v>0</v>
      </c>
      <c r="I663" s="53" t="str">
        <f>SUM(IF([1]!Table13[ID]=B663,[1]!Table13[QTY]))</f>
        <v>#ERROR!</v>
      </c>
      <c r="J663" s="53" t="str">
        <f>TABLEITEM!$H$3:$H$1138-TABLEITEM!$I$3:$I$1138</f>
        <v>#ERROR!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hidden="1" customHeight="1">
      <c r="A664" s="47">
        <v>663.0</v>
      </c>
      <c r="B664" s="2" t="s">
        <v>54</v>
      </c>
      <c r="C664" s="2" t="s">
        <v>1056</v>
      </c>
      <c r="D664" s="2" t="s">
        <v>3594</v>
      </c>
      <c r="E664" s="51" t="s">
        <v>3500</v>
      </c>
      <c r="F664" s="47"/>
      <c r="G664" s="52">
        <f t="array" ref="G664">MAX(IF(INSTOCK!$H$2:$H$2025=B664,INSTOCK!$K$2:$K$2025))</f>
        <v>2745</v>
      </c>
      <c r="H664" s="53">
        <f>SUM(IF(INSTOCK!$H$2:$H$2025=B664,INSTOCK!$I$2:$I$2025))</f>
        <v>0</v>
      </c>
      <c r="I664" s="53" t="str">
        <f>SUM(IF([1]!Table13[ID]=B664,[1]!Table13[QTY]))</f>
        <v>#ERROR!</v>
      </c>
      <c r="J664" s="53" t="str">
        <f>TABLEITEM!$H$3:$H$1138-TABLEITEM!$I$3:$I$1138</f>
        <v>#ERROR!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hidden="1" customHeight="1">
      <c r="A665" s="47">
        <v>664.0</v>
      </c>
      <c r="B665" s="2" t="s">
        <v>55</v>
      </c>
      <c r="C665" s="2" t="s">
        <v>1056</v>
      </c>
      <c r="D665" s="2" t="s">
        <v>3595</v>
      </c>
      <c r="E665" s="51"/>
      <c r="F665" s="47"/>
      <c r="G665" s="52">
        <f t="array" ref="G665">MAX(IF(INSTOCK!$H$2:$H$2025=B665,INSTOCK!$K$2:$K$2025))</f>
        <v>4070</v>
      </c>
      <c r="H665" s="53">
        <f>SUM(IF(INSTOCK!$H$2:$H$2025=B665,INSTOCK!$I$2:$I$2025))</f>
        <v>0</v>
      </c>
      <c r="I665" s="53" t="str">
        <f>SUM(IF([1]!Table13[ID]=B665,[1]!Table13[QTY]))</f>
        <v>#ERROR!</v>
      </c>
      <c r="J665" s="53" t="str">
        <f>TABLEITEM!$H$3:$H$1138-TABLEITEM!$I$3:$I$1138</f>
        <v>#ERROR!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hidden="1" customHeight="1">
      <c r="A666" s="47">
        <v>665.0</v>
      </c>
      <c r="B666" s="2" t="s">
        <v>3596</v>
      </c>
      <c r="C666" s="2" t="s">
        <v>1056</v>
      </c>
      <c r="D666" s="2" t="s">
        <v>3597</v>
      </c>
      <c r="E666" s="51"/>
      <c r="F666" s="47"/>
      <c r="G666" s="52">
        <f t="array" ref="G666">MAX(IF(INSTOCK!$H$2:$H$2025=B666,INSTOCK!$K$2:$K$2025))</f>
        <v>0</v>
      </c>
      <c r="H666" s="53">
        <f>SUM(IF(INSTOCK!$H$2:$H$2025=B666,INSTOCK!$I$2:$I$2025))</f>
        <v>0</v>
      </c>
      <c r="I666" s="53" t="str">
        <f>SUM(IF([1]!Table13[ID]=B666,[1]!Table13[QTY]))</f>
        <v>#ERROR!</v>
      </c>
      <c r="J666" s="53" t="str">
        <f>TABLEITEM!$H$3:$H$1138-TABLEITEM!$I$3:$I$1138</f>
        <v>#ERROR!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hidden="1" customHeight="1">
      <c r="A667" s="47">
        <v>666.0</v>
      </c>
      <c r="B667" s="2" t="s">
        <v>56</v>
      </c>
      <c r="C667" s="2" t="s">
        <v>1056</v>
      </c>
      <c r="D667" s="2" t="s">
        <v>3598</v>
      </c>
      <c r="E667" s="51"/>
      <c r="F667" s="47"/>
      <c r="G667" s="52">
        <f t="array" ref="G667">MAX(IF(INSTOCK!$H$2:$H$2025=B667,INSTOCK!$K$2:$K$2025))</f>
        <v>2450</v>
      </c>
      <c r="H667" s="53">
        <f>SUM(IF(INSTOCK!$H$2:$H$2025=B667,INSTOCK!$I$2:$I$2025))</f>
        <v>0</v>
      </c>
      <c r="I667" s="53" t="str">
        <f>SUM(IF([1]!Table13[ID]=B667,[1]!Table13[QTY]))</f>
        <v>#ERROR!</v>
      </c>
      <c r="J667" s="53" t="str">
        <f>TABLEITEM!$H$3:$H$1138-TABLEITEM!$I$3:$I$1138</f>
        <v>#ERROR!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hidden="1" customHeight="1">
      <c r="A668" s="47">
        <v>667.0</v>
      </c>
      <c r="B668" s="2" t="s">
        <v>59</v>
      </c>
      <c r="C668" s="2" t="s">
        <v>1056</v>
      </c>
      <c r="D668" s="2" t="s">
        <v>3599</v>
      </c>
      <c r="E668" s="51" t="s">
        <v>3500</v>
      </c>
      <c r="F668" s="47"/>
      <c r="G668" s="52">
        <f t="array" ref="G668">MAX(IF(INSTOCK!$H$2:$H$2025=B668,INSTOCK!$K$2:$K$2025))</f>
        <v>3360</v>
      </c>
      <c r="H668" s="53">
        <f>SUM(IF(INSTOCK!$H$2:$H$2025=B668,INSTOCK!$I$2:$I$2025))</f>
        <v>0</v>
      </c>
      <c r="I668" s="53" t="str">
        <f>SUM(IF([1]!Table13[ID]=B668,[1]!Table13[QTY]))</f>
        <v>#ERROR!</v>
      </c>
      <c r="J668" s="53" t="str">
        <f>TABLEITEM!$H$3:$H$1138-TABLEITEM!$I$3:$I$1138</f>
        <v>#ERROR!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hidden="1" customHeight="1">
      <c r="A669" s="47">
        <v>668.0</v>
      </c>
      <c r="B669" s="2" t="s">
        <v>57</v>
      </c>
      <c r="C669" s="2" t="s">
        <v>1056</v>
      </c>
      <c r="D669" s="2" t="s">
        <v>3600</v>
      </c>
      <c r="E669" s="51" t="s">
        <v>3500</v>
      </c>
      <c r="F669" s="47"/>
      <c r="G669" s="52">
        <f t="array" ref="G669">MAX(IF(INSTOCK!$H$2:$H$2025=B669,INSTOCK!$K$2:$K$2025))</f>
        <v>5060</v>
      </c>
      <c r="H669" s="53">
        <f>SUM(IF(INSTOCK!$H$2:$H$2025=B669,INSTOCK!$I$2:$I$2025))</f>
        <v>0</v>
      </c>
      <c r="I669" s="53" t="str">
        <f>SUM(IF([1]!Table13[ID]=B669,[1]!Table13[QTY]))</f>
        <v>#ERROR!</v>
      </c>
      <c r="J669" s="53" t="str">
        <f>TABLEITEM!$H$3:$H$1138-TABLEITEM!$I$3:$I$1138</f>
        <v>#ERROR!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hidden="1" customHeight="1">
      <c r="A670" s="47">
        <v>669.0</v>
      </c>
      <c r="B670" s="2" t="s">
        <v>229</v>
      </c>
      <c r="C670" s="2" t="s">
        <v>1056</v>
      </c>
      <c r="D670" s="2" t="s">
        <v>3601</v>
      </c>
      <c r="E670" s="51"/>
      <c r="F670" s="47"/>
      <c r="G670" s="52">
        <f t="array" ref="G670">MAX(IF(INSTOCK!$H$2:$H$2025=B670,INSTOCK!$K$2:$K$2025))</f>
        <v>2110</v>
      </c>
      <c r="H670" s="53">
        <f>SUM(IF(INSTOCK!$H$2:$H$2025=B670,INSTOCK!$I$2:$I$2025))</f>
        <v>0</v>
      </c>
      <c r="I670" s="53" t="str">
        <f>SUM(IF([1]!Table13[ID]=B670,[1]!Table13[QTY]))</f>
        <v>#ERROR!</v>
      </c>
      <c r="J670" s="53" t="str">
        <f>TABLEITEM!$H$3:$H$1138-TABLEITEM!$I$3:$I$1138</f>
        <v>#ERROR!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hidden="1" customHeight="1">
      <c r="A671" s="47">
        <v>670.0</v>
      </c>
      <c r="B671" s="2" t="s">
        <v>3602</v>
      </c>
      <c r="C671" s="2" t="s">
        <v>1056</v>
      </c>
      <c r="D671" s="2" t="s">
        <v>3603</v>
      </c>
      <c r="E671" s="51"/>
      <c r="F671" s="47"/>
      <c r="G671" s="52">
        <f t="array" ref="G671">MAX(IF(INSTOCK!$H$2:$H$2025=B671,INSTOCK!$K$2:$K$2025))</f>
        <v>0</v>
      </c>
      <c r="H671" s="53">
        <f>SUM(IF(INSTOCK!$H$2:$H$2025=B671,INSTOCK!$I$2:$I$2025))</f>
        <v>0</v>
      </c>
      <c r="I671" s="53" t="str">
        <f>SUM(IF([1]!Table13[ID]=B671,[1]!Table13[QTY]))</f>
        <v>#ERROR!</v>
      </c>
      <c r="J671" s="53" t="str">
        <f>TABLEITEM!$H$3:$H$1138-TABLEITEM!$I$3:$I$1138</f>
        <v>#ERROR!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hidden="1" customHeight="1">
      <c r="A672" s="47">
        <v>671.0</v>
      </c>
      <c r="B672" s="2" t="s">
        <v>372</v>
      </c>
      <c r="C672" s="2" t="s">
        <v>1056</v>
      </c>
      <c r="D672" s="2" t="s">
        <v>3604</v>
      </c>
      <c r="E672" s="51"/>
      <c r="F672" s="47"/>
      <c r="G672" s="52">
        <f t="array" ref="G672">MAX(IF(INSTOCK!$H$2:$H$2025=B672,INSTOCK!$K$2:$K$2025))</f>
        <v>630</v>
      </c>
      <c r="H672" s="53">
        <f>SUM(IF(INSTOCK!$H$2:$H$2025=B672,INSTOCK!$I$2:$I$2025))</f>
        <v>0</v>
      </c>
      <c r="I672" s="53" t="str">
        <f>SUM(IF([1]!Table13[ID]=B672,[1]!Table13[QTY]))</f>
        <v>#ERROR!</v>
      </c>
      <c r="J672" s="53" t="str">
        <f>TABLEITEM!$H$3:$H$1138-TABLEITEM!$I$3:$I$1138</f>
        <v>#ERROR!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hidden="1" customHeight="1">
      <c r="A673" s="47">
        <v>672.0</v>
      </c>
      <c r="B673" s="2" t="s">
        <v>156</v>
      </c>
      <c r="C673" s="2" t="s">
        <v>1056</v>
      </c>
      <c r="D673" s="2" t="s">
        <v>3605</v>
      </c>
      <c r="E673" s="51"/>
      <c r="F673" s="47"/>
      <c r="G673" s="52">
        <f t="array" ref="G673">MAX(IF(INSTOCK!$H$2:$H$2025=B673,INSTOCK!$K$2:$K$2025))</f>
        <v>295</v>
      </c>
      <c r="H673" s="53">
        <f>SUM(IF(INSTOCK!$H$2:$H$2025=B673,INSTOCK!$I$2:$I$2025))</f>
        <v>0</v>
      </c>
      <c r="I673" s="53" t="str">
        <f>SUM(IF([1]!Table13[ID]=B673,[1]!Table13[QTY]))</f>
        <v>#ERROR!</v>
      </c>
      <c r="J673" s="53" t="str">
        <f>TABLEITEM!$H$3:$H$1138-TABLEITEM!$I$3:$I$1138</f>
        <v>#ERROR!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hidden="1" customHeight="1">
      <c r="A674" s="47">
        <v>673.0</v>
      </c>
      <c r="B674" s="2" t="s">
        <v>105</v>
      </c>
      <c r="C674" s="2" t="s">
        <v>1056</v>
      </c>
      <c r="D674" s="2" t="s">
        <v>3606</v>
      </c>
      <c r="E674" s="51"/>
      <c r="F674" s="47"/>
      <c r="G674" s="52">
        <f t="array" ref="G674">MAX(IF(INSTOCK!$H$2:$H$2025=B674,INSTOCK!$K$2:$K$2025))</f>
        <v>10</v>
      </c>
      <c r="H674" s="53">
        <f>SUM(IF(INSTOCK!$H$2:$H$2025=B674,INSTOCK!$I$2:$I$2025))</f>
        <v>0</v>
      </c>
      <c r="I674" s="53" t="str">
        <f>SUM(IF([1]!Table13[ID]=B674,[1]!Table13[QTY]))</f>
        <v>#ERROR!</v>
      </c>
      <c r="J674" s="53" t="str">
        <f>TABLEITEM!$H$3:$H$1138-TABLEITEM!$I$3:$I$1138</f>
        <v>#ERROR!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hidden="1" customHeight="1">
      <c r="A675" s="47">
        <v>674.0</v>
      </c>
      <c r="B675" s="2" t="s">
        <v>106</v>
      </c>
      <c r="C675" s="2" t="s">
        <v>1056</v>
      </c>
      <c r="D675" s="2" t="s">
        <v>3607</v>
      </c>
      <c r="E675" s="51" t="s">
        <v>3521</v>
      </c>
      <c r="F675" s="47"/>
      <c r="G675" s="52">
        <f t="array" ref="G675">MAX(IF(INSTOCK!$H$2:$H$2025=B675,INSTOCK!$K$2:$K$2025))</f>
        <v>55</v>
      </c>
      <c r="H675" s="53">
        <f>SUM(IF(INSTOCK!$H$2:$H$2025=B675,INSTOCK!$I$2:$I$2025))</f>
        <v>0</v>
      </c>
      <c r="I675" s="53" t="str">
        <f>SUM(IF([1]!Table13[ID]=B675,[1]!Table13[QTY]))</f>
        <v>#ERROR!</v>
      </c>
      <c r="J675" s="53" t="str">
        <f>TABLEITEM!$H$3:$H$1138-TABLEITEM!$I$3:$I$1138</f>
        <v>#ERROR!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hidden="1" customHeight="1">
      <c r="A676" s="47">
        <v>675.0</v>
      </c>
      <c r="B676" s="2" t="s">
        <v>107</v>
      </c>
      <c r="C676" s="2" t="s">
        <v>1056</v>
      </c>
      <c r="D676" s="2" t="s">
        <v>3608</v>
      </c>
      <c r="E676" s="51" t="s">
        <v>3521</v>
      </c>
      <c r="F676" s="47"/>
      <c r="G676" s="52">
        <f t="array" ref="G676">MAX(IF(INSTOCK!$H$2:$H$2025=B676,INSTOCK!$K$2:$K$2025))</f>
        <v>55</v>
      </c>
      <c r="H676" s="53">
        <f>SUM(IF(INSTOCK!$H$2:$H$2025=B676,INSTOCK!$I$2:$I$2025))</f>
        <v>0</v>
      </c>
      <c r="I676" s="53" t="str">
        <f>SUM(IF([1]!Table13[ID]=B676,[1]!Table13[QTY]))</f>
        <v>#ERROR!</v>
      </c>
      <c r="J676" s="53" t="str">
        <f>TABLEITEM!$H$3:$H$1138-TABLEITEM!$I$3:$I$1138</f>
        <v>#ERROR!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hidden="1" customHeight="1">
      <c r="A677" s="47">
        <v>676.0</v>
      </c>
      <c r="B677" s="2" t="s">
        <v>77</v>
      </c>
      <c r="C677" s="2" t="s">
        <v>1056</v>
      </c>
      <c r="D677" s="2" t="s">
        <v>3609</v>
      </c>
      <c r="E677" s="51" t="s">
        <v>3610</v>
      </c>
      <c r="F677" s="47"/>
      <c r="G677" s="52">
        <f t="array" ref="G677">MAX(IF(INSTOCK!$H$2:$H$2025=B677,INSTOCK!$K$2:$K$2025))</f>
        <v>91</v>
      </c>
      <c r="H677" s="53">
        <f>SUM(IF(INSTOCK!$H$2:$H$2025=B677,INSTOCK!$I$2:$I$2025))</f>
        <v>0</v>
      </c>
      <c r="I677" s="53" t="str">
        <f>SUM(IF([1]!Table13[ID]=B677,[1]!Table13[QTY]))</f>
        <v>#ERROR!</v>
      </c>
      <c r="J677" s="53" t="str">
        <f>TABLEITEM!$H$3:$H$1138-TABLEITEM!$I$3:$I$1138</f>
        <v>#ERROR!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hidden="1" customHeight="1">
      <c r="A678" s="47">
        <v>677.0</v>
      </c>
      <c r="B678" s="2" t="s">
        <v>79</v>
      </c>
      <c r="C678" s="2" t="s">
        <v>1056</v>
      </c>
      <c r="D678" s="2" t="s">
        <v>3611</v>
      </c>
      <c r="E678" s="51" t="s">
        <v>3610</v>
      </c>
      <c r="F678" s="47"/>
      <c r="G678" s="52">
        <f t="array" ref="G678">MAX(IF(INSTOCK!$H$2:$H$2025=B678,INSTOCK!$K$2:$K$2025))</f>
        <v>161.666</v>
      </c>
      <c r="H678" s="53">
        <f>SUM(IF(INSTOCK!$H$2:$H$2025=B678,INSTOCK!$I$2:$I$2025))</f>
        <v>0</v>
      </c>
      <c r="I678" s="53" t="str">
        <f>SUM(IF([1]!Table13[ID]=B678,[1]!Table13[QTY]))</f>
        <v>#ERROR!</v>
      </c>
      <c r="J678" s="53" t="str">
        <f>TABLEITEM!$H$3:$H$1138-TABLEITEM!$I$3:$I$1138</f>
        <v>#ERROR!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hidden="1" customHeight="1">
      <c r="A679" s="47">
        <v>678.0</v>
      </c>
      <c r="B679" s="2" t="s">
        <v>80</v>
      </c>
      <c r="C679" s="2" t="s">
        <v>1056</v>
      </c>
      <c r="D679" s="2" t="s">
        <v>3612</v>
      </c>
      <c r="E679" s="51" t="s">
        <v>3610</v>
      </c>
      <c r="F679" s="47"/>
      <c r="G679" s="52">
        <f t="array" ref="G679">MAX(IF(INSTOCK!$H$2:$H$2025=B679,INSTOCK!$K$2:$K$2025))</f>
        <v>216.666</v>
      </c>
      <c r="H679" s="53">
        <f>SUM(IF(INSTOCK!$H$2:$H$2025=B679,INSTOCK!$I$2:$I$2025))</f>
        <v>0</v>
      </c>
      <c r="I679" s="53" t="str">
        <f>SUM(IF([1]!Table13[ID]=B679,[1]!Table13[QTY]))</f>
        <v>#ERROR!</v>
      </c>
      <c r="J679" s="53" t="str">
        <f>TABLEITEM!$H$3:$H$1138-TABLEITEM!$I$3:$I$1138</f>
        <v>#ERROR!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hidden="1" customHeight="1">
      <c r="A680" s="47">
        <v>679.0</v>
      </c>
      <c r="B680" s="2" t="s">
        <v>81</v>
      </c>
      <c r="C680" s="2" t="s">
        <v>1056</v>
      </c>
      <c r="D680" s="2" t="s">
        <v>3613</v>
      </c>
      <c r="E680" s="51" t="s">
        <v>3610</v>
      </c>
      <c r="F680" s="47"/>
      <c r="G680" s="52">
        <f t="array" ref="G680">MAX(IF(INSTOCK!$H$2:$H$2025=B680,INSTOCK!$K$2:$K$2025))</f>
        <v>0</v>
      </c>
      <c r="H680" s="53">
        <f>SUM(IF(INSTOCK!$H$2:$H$2025=B680,INSTOCK!$I$2:$I$2025))</f>
        <v>0</v>
      </c>
      <c r="I680" s="53" t="str">
        <f>SUM(IF([1]!Table13[ID]=B680,[1]!Table13[QTY]))</f>
        <v>#ERROR!</v>
      </c>
      <c r="J680" s="53" t="str">
        <f>TABLEITEM!$H$3:$H$1138-TABLEITEM!$I$3:$I$1138</f>
        <v>#ERROR!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hidden="1" customHeight="1">
      <c r="A681" s="47">
        <v>680.0</v>
      </c>
      <c r="B681" s="2" t="s">
        <v>82</v>
      </c>
      <c r="C681" s="2" t="s">
        <v>1056</v>
      </c>
      <c r="D681" s="2" t="s">
        <v>3614</v>
      </c>
      <c r="E681" s="51" t="s">
        <v>3610</v>
      </c>
      <c r="F681" s="47"/>
      <c r="G681" s="52">
        <f t="array" ref="G681">MAX(IF(INSTOCK!$H$2:$H$2025=B681,INSTOCK!$K$2:$K$2025))</f>
        <v>2580</v>
      </c>
      <c r="H681" s="53">
        <f>SUM(IF(INSTOCK!$H$2:$H$2025=B681,INSTOCK!$I$2:$I$2025))</f>
        <v>0</v>
      </c>
      <c r="I681" s="53" t="str">
        <f>SUM(IF([1]!Table13[ID]=B681,[1]!Table13[QTY]))</f>
        <v>#ERROR!</v>
      </c>
      <c r="J681" s="53" t="str">
        <f>TABLEITEM!$H$3:$H$1138-TABLEITEM!$I$3:$I$1138</f>
        <v>#ERROR!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hidden="1" customHeight="1">
      <c r="A682" s="47">
        <v>681.0</v>
      </c>
      <c r="B682" s="2" t="s">
        <v>83</v>
      </c>
      <c r="C682" s="2" t="s">
        <v>1056</v>
      </c>
      <c r="D682" s="2" t="s">
        <v>3615</v>
      </c>
      <c r="E682" s="51" t="s">
        <v>3610</v>
      </c>
      <c r="F682" s="47"/>
      <c r="G682" s="52">
        <f t="array" ref="G682">MAX(IF(INSTOCK!$H$2:$H$2025=B682,INSTOCK!$K$2:$K$2025))</f>
        <v>845</v>
      </c>
      <c r="H682" s="53">
        <f>SUM(IF(INSTOCK!$H$2:$H$2025=B682,INSTOCK!$I$2:$I$2025))</f>
        <v>0</v>
      </c>
      <c r="I682" s="53" t="str">
        <f>SUM(IF([1]!Table13[ID]=B682,[1]!Table13[QTY]))</f>
        <v>#ERROR!</v>
      </c>
      <c r="J682" s="53" t="str">
        <f>TABLEITEM!$H$3:$H$1138-TABLEITEM!$I$3:$I$1138</f>
        <v>#ERROR!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hidden="1" customHeight="1">
      <c r="A683" s="47">
        <v>682.0</v>
      </c>
      <c r="B683" s="2" t="s">
        <v>60</v>
      </c>
      <c r="C683" s="2" t="s">
        <v>1056</v>
      </c>
      <c r="D683" s="2" t="s">
        <v>3616</v>
      </c>
      <c r="E683" s="51" t="s">
        <v>3087</v>
      </c>
      <c r="F683" s="47"/>
      <c r="G683" s="52">
        <f t="array" ref="G683">MAX(IF(INSTOCK!$H$2:$H$2025=B683,INSTOCK!$K$2:$K$2025))</f>
        <v>1400</v>
      </c>
      <c r="H683" s="53">
        <f>SUM(IF(INSTOCK!$H$2:$H$2025=B683,INSTOCK!$I$2:$I$2025))</f>
        <v>0</v>
      </c>
      <c r="I683" s="53" t="str">
        <f>SUM(IF([1]!Table13[ID]=B683,[1]!Table13[QTY]))</f>
        <v>#ERROR!</v>
      </c>
      <c r="J683" s="53" t="str">
        <f>TABLEITEM!$H$3:$H$1138-TABLEITEM!$I$3:$I$1138</f>
        <v>#ERROR!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hidden="1" customHeight="1">
      <c r="A684" s="47">
        <v>683.0</v>
      </c>
      <c r="B684" s="2" t="s">
        <v>65</v>
      </c>
      <c r="C684" s="2" t="s">
        <v>1056</v>
      </c>
      <c r="D684" s="2" t="s">
        <v>3617</v>
      </c>
      <c r="E684" s="51" t="s">
        <v>3087</v>
      </c>
      <c r="F684" s="47"/>
      <c r="G684" s="52">
        <f t="array" ref="G684">MAX(IF(INSTOCK!$H$2:$H$2025=B684,INSTOCK!$K$2:$K$2025))</f>
        <v>3170</v>
      </c>
      <c r="H684" s="53">
        <f>SUM(IF(INSTOCK!$H$2:$H$2025=B684,INSTOCK!$I$2:$I$2025))</f>
        <v>0</v>
      </c>
      <c r="I684" s="53" t="str">
        <f>SUM(IF([1]!Table13[ID]=B684,[1]!Table13[QTY]))</f>
        <v>#ERROR!</v>
      </c>
      <c r="J684" s="53" t="str">
        <f>TABLEITEM!$H$3:$H$1138-TABLEITEM!$I$3:$I$1138</f>
        <v>#ERROR!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hidden="1" customHeight="1">
      <c r="A685" s="47">
        <v>684.0</v>
      </c>
      <c r="B685" s="2" t="s">
        <v>61</v>
      </c>
      <c r="C685" s="2" t="s">
        <v>1056</v>
      </c>
      <c r="D685" s="2" t="s">
        <v>3618</v>
      </c>
      <c r="E685" s="51" t="s">
        <v>3087</v>
      </c>
      <c r="F685" s="47"/>
      <c r="G685" s="52">
        <f t="array" ref="G685">MAX(IF(INSTOCK!$H$2:$H$2025=B685,INSTOCK!$K$2:$K$2025))</f>
        <v>2300</v>
      </c>
      <c r="H685" s="53">
        <f>SUM(IF(INSTOCK!$H$2:$H$2025=B685,INSTOCK!$I$2:$I$2025))</f>
        <v>0</v>
      </c>
      <c r="I685" s="53" t="str">
        <f>SUM(IF([1]!Table13[ID]=B685,[1]!Table13[QTY]))</f>
        <v>#ERROR!</v>
      </c>
      <c r="J685" s="53" t="str">
        <f>TABLEITEM!$H$3:$H$1138-TABLEITEM!$I$3:$I$1138</f>
        <v>#ERROR!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hidden="1" customHeight="1">
      <c r="A686" s="47">
        <v>685.0</v>
      </c>
      <c r="B686" s="2" t="s">
        <v>3619</v>
      </c>
      <c r="C686" s="2" t="s">
        <v>1056</v>
      </c>
      <c r="D686" s="2" t="s">
        <v>3620</v>
      </c>
      <c r="E686" s="51" t="s">
        <v>3087</v>
      </c>
      <c r="F686" s="47"/>
      <c r="G686" s="52">
        <f t="array" ref="G686">MAX(IF(INSTOCK!$H$2:$H$2025=B686,INSTOCK!$K$2:$K$2025))</f>
        <v>0</v>
      </c>
      <c r="H686" s="53">
        <f>SUM(IF(INSTOCK!$H$2:$H$2025=B686,INSTOCK!$I$2:$I$2025))</f>
        <v>0</v>
      </c>
      <c r="I686" s="53" t="str">
        <f>SUM(IF([1]!Table13[ID]=B686,[1]!Table13[QTY]))</f>
        <v>#ERROR!</v>
      </c>
      <c r="J686" s="53" t="str">
        <f>TABLEITEM!$H$3:$H$1138-TABLEITEM!$I$3:$I$1138</f>
        <v>#ERROR!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hidden="1" customHeight="1">
      <c r="A687" s="47">
        <v>686.0</v>
      </c>
      <c r="B687" s="2" t="s">
        <v>3621</v>
      </c>
      <c r="C687" s="2" t="s">
        <v>1056</v>
      </c>
      <c r="D687" s="2" t="s">
        <v>3622</v>
      </c>
      <c r="E687" s="51" t="s">
        <v>3087</v>
      </c>
      <c r="F687" s="47"/>
      <c r="G687" s="52">
        <f t="array" ref="G687">MAX(IF(INSTOCK!$H$2:$H$2025=B687,INSTOCK!$K$2:$K$2025))</f>
        <v>0</v>
      </c>
      <c r="H687" s="53">
        <f>SUM(IF(INSTOCK!$H$2:$H$2025=B687,INSTOCK!$I$2:$I$2025))</f>
        <v>0</v>
      </c>
      <c r="I687" s="53" t="str">
        <f>SUM(IF([1]!Table13[ID]=B687,[1]!Table13[QTY]))</f>
        <v>#ERROR!</v>
      </c>
      <c r="J687" s="53" t="str">
        <f>TABLEITEM!$H$3:$H$1138-TABLEITEM!$I$3:$I$1138</f>
        <v>#ERROR!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hidden="1" customHeight="1">
      <c r="A688" s="47">
        <v>687.0</v>
      </c>
      <c r="B688" s="2" t="s">
        <v>3623</v>
      </c>
      <c r="C688" s="2" t="s">
        <v>1056</v>
      </c>
      <c r="D688" s="2" t="s">
        <v>3624</v>
      </c>
      <c r="E688" s="51" t="s">
        <v>3087</v>
      </c>
      <c r="F688" s="47"/>
      <c r="G688" s="52">
        <f t="array" ref="G688">MAX(IF(INSTOCK!$H$2:$H$2025=B688,INSTOCK!$K$2:$K$2025))</f>
        <v>0</v>
      </c>
      <c r="H688" s="53">
        <f>SUM(IF(INSTOCK!$H$2:$H$2025=B688,INSTOCK!$I$2:$I$2025))</f>
        <v>0</v>
      </c>
      <c r="I688" s="53" t="str">
        <f>SUM(IF([1]!Table13[ID]=B688,[1]!Table13[QTY]))</f>
        <v>#ERROR!</v>
      </c>
      <c r="J688" s="53" t="str">
        <f>TABLEITEM!$H$3:$H$1138-TABLEITEM!$I$3:$I$1138</f>
        <v>#ERROR!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hidden="1" customHeight="1">
      <c r="A689" s="47">
        <v>688.0</v>
      </c>
      <c r="B689" s="2" t="s">
        <v>62</v>
      </c>
      <c r="C689" s="2" t="s">
        <v>1056</v>
      </c>
      <c r="D689" s="2" t="s">
        <v>3625</v>
      </c>
      <c r="E689" s="51" t="s">
        <v>3087</v>
      </c>
      <c r="F689" s="47"/>
      <c r="G689" s="52">
        <f t="array" ref="G689">MAX(IF(INSTOCK!$H$2:$H$2025=B689,INSTOCK!$K$2:$K$2025))</f>
        <v>4600</v>
      </c>
      <c r="H689" s="53">
        <f>SUM(IF(INSTOCK!$H$2:$H$2025=B689,INSTOCK!$I$2:$I$2025))</f>
        <v>0</v>
      </c>
      <c r="I689" s="53" t="str">
        <f>SUM(IF([1]!Table13[ID]=B689,[1]!Table13[QTY]))</f>
        <v>#ERROR!</v>
      </c>
      <c r="J689" s="53" t="str">
        <f>TABLEITEM!$H$3:$H$1138-TABLEITEM!$I$3:$I$1138</f>
        <v>#ERROR!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hidden="1" customHeight="1">
      <c r="A690" s="47">
        <v>689.0</v>
      </c>
      <c r="B690" s="2" t="s">
        <v>63</v>
      </c>
      <c r="C690" s="2" t="s">
        <v>1056</v>
      </c>
      <c r="D690" s="2" t="s">
        <v>3626</v>
      </c>
      <c r="E690" s="51" t="s">
        <v>3087</v>
      </c>
      <c r="F690" s="47"/>
      <c r="G690" s="52">
        <f t="array" ref="G690">MAX(IF(INSTOCK!$H$2:$H$2025=B690,INSTOCK!$K$2:$K$2025))</f>
        <v>6700</v>
      </c>
      <c r="H690" s="53">
        <f>SUM(IF(INSTOCK!$H$2:$H$2025=B690,INSTOCK!$I$2:$I$2025))</f>
        <v>0</v>
      </c>
      <c r="I690" s="53" t="str">
        <f>SUM(IF([1]!Table13[ID]=B690,[1]!Table13[QTY]))</f>
        <v>#ERROR!</v>
      </c>
      <c r="J690" s="53" t="str">
        <f>TABLEITEM!$H$3:$H$1138-TABLEITEM!$I$3:$I$1138</f>
        <v>#ERROR!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hidden="1" customHeight="1">
      <c r="A691" s="47">
        <v>690.0</v>
      </c>
      <c r="B691" s="2" t="s">
        <v>66</v>
      </c>
      <c r="C691" s="2" t="s">
        <v>1056</v>
      </c>
      <c r="D691" s="2" t="s">
        <v>3627</v>
      </c>
      <c r="E691" s="51" t="s">
        <v>3087</v>
      </c>
      <c r="F691" s="47"/>
      <c r="G691" s="52">
        <f t="array" ref="G691">MAX(IF(INSTOCK!$H$2:$H$2025=B691,INSTOCK!$K$2:$K$2025))</f>
        <v>5700</v>
      </c>
      <c r="H691" s="53">
        <f>SUM(IF(INSTOCK!$H$2:$H$2025=B691,INSTOCK!$I$2:$I$2025))</f>
        <v>0</v>
      </c>
      <c r="I691" s="53" t="str">
        <f>SUM(IF([1]!Table13[ID]=B691,[1]!Table13[QTY]))</f>
        <v>#ERROR!</v>
      </c>
      <c r="J691" s="53" t="str">
        <f>TABLEITEM!$H$3:$H$1138-TABLEITEM!$I$3:$I$1138</f>
        <v>#ERROR!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hidden="1" customHeight="1">
      <c r="A692" s="47">
        <v>691.0</v>
      </c>
      <c r="B692" s="2" t="s">
        <v>64</v>
      </c>
      <c r="C692" s="2" t="s">
        <v>1056</v>
      </c>
      <c r="D692" s="2" t="s">
        <v>3628</v>
      </c>
      <c r="E692" s="51" t="s">
        <v>3087</v>
      </c>
      <c r="F692" s="47"/>
      <c r="G692" s="52">
        <f t="array" ref="G692">MAX(IF(INSTOCK!$H$2:$H$2025=B692,INSTOCK!$K$2:$K$2025))</f>
        <v>9400</v>
      </c>
      <c r="H692" s="53">
        <f>SUM(IF(INSTOCK!$H$2:$H$2025=B692,INSTOCK!$I$2:$I$2025))</f>
        <v>0</v>
      </c>
      <c r="I692" s="53" t="str">
        <f>SUM(IF([1]!Table13[ID]=B692,[1]!Table13[QTY]))</f>
        <v>#ERROR!</v>
      </c>
      <c r="J692" s="53" t="str">
        <f>TABLEITEM!$H$3:$H$1138-TABLEITEM!$I$3:$I$1138</f>
        <v>#ERROR!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hidden="1" customHeight="1">
      <c r="A693" s="47">
        <v>692.0</v>
      </c>
      <c r="B693" s="2" t="s">
        <v>127</v>
      </c>
      <c r="C693" s="2" t="s">
        <v>1056</v>
      </c>
      <c r="D693" s="2" t="s">
        <v>3629</v>
      </c>
      <c r="E693" s="51" t="s">
        <v>3610</v>
      </c>
      <c r="F693" s="47"/>
      <c r="G693" s="52">
        <f t="array" ref="G693">MAX(IF(INSTOCK!$H$2:$H$2025=B693,INSTOCK!$K$2:$K$2025))</f>
        <v>0</v>
      </c>
      <c r="H693" s="53">
        <f>SUM(IF(INSTOCK!$H$2:$H$2025=B693,INSTOCK!$I$2:$I$2025))</f>
        <v>0</v>
      </c>
      <c r="I693" s="53" t="str">
        <f>SUM(IF([1]!Table13[ID]=B693,[1]!Table13[QTY]))</f>
        <v>#ERROR!</v>
      </c>
      <c r="J693" s="53" t="str">
        <f>TABLEITEM!$H$3:$H$1138-TABLEITEM!$I$3:$I$1138</f>
        <v>#ERROR!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hidden="1" customHeight="1">
      <c r="A694" s="47">
        <v>693.0</v>
      </c>
      <c r="B694" s="2" t="s">
        <v>129</v>
      </c>
      <c r="C694" s="2" t="s">
        <v>1056</v>
      </c>
      <c r="D694" s="2" t="s">
        <v>3630</v>
      </c>
      <c r="E694" s="51" t="s">
        <v>3610</v>
      </c>
      <c r="F694" s="47"/>
      <c r="G694" s="52">
        <f t="array" ref="G694">MAX(IF(INSTOCK!$H$2:$H$2025=B694,INSTOCK!$K$2:$K$2025))</f>
        <v>0</v>
      </c>
      <c r="H694" s="53">
        <f>SUM(IF(INSTOCK!$H$2:$H$2025=B694,INSTOCK!$I$2:$I$2025))</f>
        <v>0</v>
      </c>
      <c r="I694" s="53" t="str">
        <f>SUM(IF([1]!Table13[ID]=B694,[1]!Table13[QTY]))</f>
        <v>#ERROR!</v>
      </c>
      <c r="J694" s="53" t="str">
        <f>TABLEITEM!$H$3:$H$1138-TABLEITEM!$I$3:$I$1138</f>
        <v>#ERROR!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hidden="1" customHeight="1">
      <c r="A695" s="47">
        <v>694.0</v>
      </c>
      <c r="B695" s="2" t="s">
        <v>131</v>
      </c>
      <c r="C695" s="2" t="s">
        <v>1056</v>
      </c>
      <c r="D695" s="2" t="s">
        <v>3631</v>
      </c>
      <c r="E695" s="51" t="s">
        <v>3610</v>
      </c>
      <c r="F695" s="47"/>
      <c r="G695" s="52">
        <f t="array" ref="G695">MAX(IF(INSTOCK!$H$2:$H$2025=B695,INSTOCK!$K$2:$K$2025))</f>
        <v>0</v>
      </c>
      <c r="H695" s="53">
        <f>SUM(IF(INSTOCK!$H$2:$H$2025=B695,INSTOCK!$I$2:$I$2025))</f>
        <v>0</v>
      </c>
      <c r="I695" s="53" t="str">
        <f>SUM(IF([1]!Table13[ID]=B695,[1]!Table13[QTY]))</f>
        <v>#ERROR!</v>
      </c>
      <c r="J695" s="53" t="str">
        <f>TABLEITEM!$H$3:$H$1138-TABLEITEM!$I$3:$I$1138</f>
        <v>#ERROR!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hidden="1" customHeight="1">
      <c r="A696" s="47">
        <v>695.0</v>
      </c>
      <c r="B696" s="2" t="s">
        <v>133</v>
      </c>
      <c r="C696" s="2" t="s">
        <v>1056</v>
      </c>
      <c r="D696" s="2" t="s">
        <v>3632</v>
      </c>
      <c r="E696" s="51" t="s">
        <v>3610</v>
      </c>
      <c r="F696" s="47"/>
      <c r="G696" s="52">
        <f t="array" ref="G696">MAX(IF(INSTOCK!$H$2:$H$2025=B696,INSTOCK!$K$2:$K$2025))</f>
        <v>0</v>
      </c>
      <c r="H696" s="53">
        <f>SUM(IF(INSTOCK!$H$2:$H$2025=B696,INSTOCK!$I$2:$I$2025))</f>
        <v>0</v>
      </c>
      <c r="I696" s="53" t="str">
        <f>SUM(IF([1]!Table13[ID]=B696,[1]!Table13[QTY]))</f>
        <v>#ERROR!</v>
      </c>
      <c r="J696" s="53" t="str">
        <f>TABLEITEM!$H$3:$H$1138-TABLEITEM!$I$3:$I$1138</f>
        <v>#ERROR!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hidden="1" customHeight="1">
      <c r="A697" s="47">
        <v>696.0</v>
      </c>
      <c r="B697" s="2" t="s">
        <v>128</v>
      </c>
      <c r="C697" s="2" t="s">
        <v>1056</v>
      </c>
      <c r="D697" s="2" t="s">
        <v>3633</v>
      </c>
      <c r="E697" s="51" t="s">
        <v>3610</v>
      </c>
      <c r="F697" s="47"/>
      <c r="G697" s="52">
        <f t="array" ref="G697">MAX(IF(INSTOCK!$H$2:$H$2025=B697,INSTOCK!$K$2:$K$2025))</f>
        <v>0</v>
      </c>
      <c r="H697" s="53">
        <f>SUM(IF(INSTOCK!$H$2:$H$2025=B697,INSTOCK!$I$2:$I$2025))</f>
        <v>0</v>
      </c>
      <c r="I697" s="53" t="str">
        <f>SUM(IF([1]!Table13[ID]=B697,[1]!Table13[QTY]))</f>
        <v>#ERROR!</v>
      </c>
      <c r="J697" s="53" t="str">
        <f>TABLEITEM!$H$3:$H$1138-TABLEITEM!$I$3:$I$1138</f>
        <v>#ERROR!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hidden="1" customHeight="1">
      <c r="A698" s="47">
        <v>697.0</v>
      </c>
      <c r="B698" s="2" t="s">
        <v>130</v>
      </c>
      <c r="C698" s="2" t="s">
        <v>1056</v>
      </c>
      <c r="D698" s="2" t="s">
        <v>3634</v>
      </c>
      <c r="E698" s="51" t="s">
        <v>3610</v>
      </c>
      <c r="F698" s="47"/>
      <c r="G698" s="52">
        <f t="array" ref="G698">MAX(IF(INSTOCK!$H$2:$H$2025=B698,INSTOCK!$K$2:$K$2025))</f>
        <v>0</v>
      </c>
      <c r="H698" s="53">
        <f>SUM(IF(INSTOCK!$H$2:$H$2025=B698,INSTOCK!$I$2:$I$2025))</f>
        <v>0</v>
      </c>
      <c r="I698" s="53" t="str">
        <f>SUM(IF([1]!Table13[ID]=B698,[1]!Table13[QTY]))</f>
        <v>#ERROR!</v>
      </c>
      <c r="J698" s="53" t="str">
        <f>TABLEITEM!$H$3:$H$1138-TABLEITEM!$I$3:$I$1138</f>
        <v>#ERROR!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hidden="1" customHeight="1">
      <c r="A699" s="47">
        <v>698.0</v>
      </c>
      <c r="B699" s="2" t="s">
        <v>132</v>
      </c>
      <c r="C699" s="2" t="s">
        <v>1056</v>
      </c>
      <c r="D699" s="2" t="s">
        <v>3635</v>
      </c>
      <c r="E699" s="51" t="s">
        <v>3610</v>
      </c>
      <c r="F699" s="47"/>
      <c r="G699" s="52">
        <f t="array" ref="G699">MAX(IF(INSTOCK!$H$2:$H$2025=B699,INSTOCK!$K$2:$K$2025))</f>
        <v>0</v>
      </c>
      <c r="H699" s="53">
        <f>SUM(IF(INSTOCK!$H$2:$H$2025=B699,INSTOCK!$I$2:$I$2025))</f>
        <v>0</v>
      </c>
      <c r="I699" s="53" t="str">
        <f>SUM(IF([1]!Table13[ID]=B699,[1]!Table13[QTY]))</f>
        <v>#ERROR!</v>
      </c>
      <c r="J699" s="53" t="str">
        <f>TABLEITEM!$H$3:$H$1138-TABLEITEM!$I$3:$I$1138</f>
        <v>#ERROR!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hidden="1" customHeight="1">
      <c r="A700" s="47">
        <v>699.0</v>
      </c>
      <c r="B700" s="2" t="s">
        <v>124</v>
      </c>
      <c r="C700" s="2" t="s">
        <v>1056</v>
      </c>
      <c r="D700" s="2" t="s">
        <v>3636</v>
      </c>
      <c r="E700" s="51" t="s">
        <v>3610</v>
      </c>
      <c r="F700" s="47"/>
      <c r="G700" s="52">
        <f t="array" ref="G700">MAX(IF(INSTOCK!$H$2:$H$2025=B700,INSTOCK!$K$2:$K$2025))</f>
        <v>1070</v>
      </c>
      <c r="H700" s="53">
        <f>SUM(IF(INSTOCK!$H$2:$H$2025=B700,INSTOCK!$I$2:$I$2025))</f>
        <v>0</v>
      </c>
      <c r="I700" s="53" t="str">
        <f>SUM(IF([1]!Table13[ID]=B700,[1]!Table13[QTY]))</f>
        <v>#ERROR!</v>
      </c>
      <c r="J700" s="53" t="str">
        <f>TABLEITEM!$H$3:$H$1138-TABLEITEM!$I$3:$I$1138</f>
        <v>#ERROR!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hidden="1" customHeight="1">
      <c r="A701" s="47">
        <v>700.0</v>
      </c>
      <c r="B701" s="2" t="s">
        <v>125</v>
      </c>
      <c r="C701" s="2" t="s">
        <v>1056</v>
      </c>
      <c r="D701" s="2" t="s">
        <v>3637</v>
      </c>
      <c r="E701" s="51" t="s">
        <v>3610</v>
      </c>
      <c r="F701" s="47"/>
      <c r="G701" s="52">
        <f t="array" ref="G701">MAX(IF(INSTOCK!$H$2:$H$2025=B701,INSTOCK!$K$2:$K$2025))</f>
        <v>1500</v>
      </c>
      <c r="H701" s="53">
        <f>SUM(IF(INSTOCK!$H$2:$H$2025=B701,INSTOCK!$I$2:$I$2025))</f>
        <v>0</v>
      </c>
      <c r="I701" s="53" t="str">
        <f>SUM(IF([1]!Table13[ID]=B701,[1]!Table13[QTY]))</f>
        <v>#ERROR!</v>
      </c>
      <c r="J701" s="53" t="str">
        <f>TABLEITEM!$H$3:$H$1138-TABLEITEM!$I$3:$I$1138</f>
        <v>#ERROR!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hidden="1" customHeight="1">
      <c r="A702" s="47">
        <v>701.0</v>
      </c>
      <c r="B702" s="2" t="s">
        <v>126</v>
      </c>
      <c r="C702" s="2" t="s">
        <v>1056</v>
      </c>
      <c r="D702" s="2" t="s">
        <v>3638</v>
      </c>
      <c r="E702" s="51" t="s">
        <v>3610</v>
      </c>
      <c r="F702" s="47"/>
      <c r="G702" s="52">
        <f t="array" ref="G702">MAX(IF(INSTOCK!$H$2:$H$2025=B702,INSTOCK!$K$2:$K$2025))</f>
        <v>0</v>
      </c>
      <c r="H702" s="53">
        <f>SUM(IF(INSTOCK!$H$2:$H$2025=B702,INSTOCK!$I$2:$I$2025))</f>
        <v>0</v>
      </c>
      <c r="I702" s="53" t="str">
        <f>SUM(IF([1]!Table13[ID]=B702,[1]!Table13[QTY]))</f>
        <v>#ERROR!</v>
      </c>
      <c r="J702" s="53" t="str">
        <f>TABLEITEM!$H$3:$H$1138-TABLEITEM!$I$3:$I$1138</f>
        <v>#ERROR!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hidden="1" customHeight="1">
      <c r="A703" s="47">
        <v>702.0</v>
      </c>
      <c r="B703" s="2" t="s">
        <v>134</v>
      </c>
      <c r="C703" s="2" t="s">
        <v>1056</v>
      </c>
      <c r="D703" s="2" t="s">
        <v>3639</v>
      </c>
      <c r="E703" s="51" t="s">
        <v>3610</v>
      </c>
      <c r="F703" s="47"/>
      <c r="G703" s="52">
        <f t="array" ref="G703">MAX(IF(INSTOCK!$H$2:$H$2025=B703,INSTOCK!$K$2:$K$2025))</f>
        <v>4666.6666</v>
      </c>
      <c r="H703" s="53">
        <f>SUM(IF(INSTOCK!$H$2:$H$2025=B703,INSTOCK!$I$2:$I$2025))</f>
        <v>0</v>
      </c>
      <c r="I703" s="53" t="str">
        <f>SUM(IF([1]!Table13[ID]=B703,[1]!Table13[QTY]))</f>
        <v>#ERROR!</v>
      </c>
      <c r="J703" s="53" t="str">
        <f>TABLEITEM!$H$3:$H$1138-TABLEITEM!$I$3:$I$1138</f>
        <v>#ERROR!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hidden="1" customHeight="1">
      <c r="A704" s="47">
        <v>703.0</v>
      </c>
      <c r="B704" s="2" t="s">
        <v>324</v>
      </c>
      <c r="C704" s="2" t="s">
        <v>1056</v>
      </c>
      <c r="D704" s="2" t="s">
        <v>3640</v>
      </c>
      <c r="E704" s="51" t="s">
        <v>3610</v>
      </c>
      <c r="F704" s="47"/>
      <c r="G704" s="52">
        <f t="array" ref="G704">MAX(IF(INSTOCK!$H$2:$H$2025=B704,INSTOCK!$K$2:$K$2025))</f>
        <v>43.33</v>
      </c>
      <c r="H704" s="53">
        <f>SUM(IF(INSTOCK!$H$2:$H$2025=B704,INSTOCK!$I$2:$I$2025))</f>
        <v>0</v>
      </c>
      <c r="I704" s="53" t="str">
        <f>SUM(IF([1]!Table13[ID]=B704,[1]!Table13[QTY]))</f>
        <v>#ERROR!</v>
      </c>
      <c r="J704" s="53" t="str">
        <f>TABLEITEM!$H$3:$H$1138-TABLEITEM!$I$3:$I$1138</f>
        <v>#ERROR!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hidden="1" customHeight="1">
      <c r="A705" s="47">
        <v>704.0</v>
      </c>
      <c r="B705" s="2" t="s">
        <v>135</v>
      </c>
      <c r="C705" s="2" t="s">
        <v>1056</v>
      </c>
      <c r="D705" s="2" t="s">
        <v>3641</v>
      </c>
      <c r="E705" s="51" t="s">
        <v>3610</v>
      </c>
      <c r="F705" s="47"/>
      <c r="G705" s="52">
        <f t="array" ref="G705">MAX(IF(INSTOCK!$H$2:$H$2025=B705,INSTOCK!$K$2:$K$2025))</f>
        <v>265</v>
      </c>
      <c r="H705" s="53">
        <f>SUM(IF(INSTOCK!$H$2:$H$2025=B705,INSTOCK!$I$2:$I$2025))</f>
        <v>0</v>
      </c>
      <c r="I705" s="53" t="str">
        <f>SUM(IF([1]!Table13[ID]=B705,[1]!Table13[QTY]))</f>
        <v>#ERROR!</v>
      </c>
      <c r="J705" s="53" t="str">
        <f>TABLEITEM!$H$3:$H$1138-TABLEITEM!$I$3:$I$1138</f>
        <v>#ERROR!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hidden="1" customHeight="1">
      <c r="A706" s="47">
        <v>705.0</v>
      </c>
      <c r="B706" s="2" t="s">
        <v>136</v>
      </c>
      <c r="C706" s="2" t="s">
        <v>1056</v>
      </c>
      <c r="D706" s="2" t="s">
        <v>3642</v>
      </c>
      <c r="E706" s="51" t="s">
        <v>3610</v>
      </c>
      <c r="F706" s="47"/>
      <c r="G706" s="52">
        <f t="array" ref="G706">MAX(IF(INSTOCK!$H$2:$H$2025=B706,INSTOCK!$K$2:$K$2025))</f>
        <v>371</v>
      </c>
      <c r="H706" s="53">
        <f>SUM(IF(INSTOCK!$H$2:$H$2025=B706,INSTOCK!$I$2:$I$2025))</f>
        <v>0</v>
      </c>
      <c r="I706" s="53" t="str">
        <f>SUM(IF([1]!Table13[ID]=B706,[1]!Table13[QTY]))</f>
        <v>#ERROR!</v>
      </c>
      <c r="J706" s="53" t="str">
        <f>TABLEITEM!$H$3:$H$1138-TABLEITEM!$I$3:$I$1138</f>
        <v>#ERROR!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hidden="1" customHeight="1">
      <c r="A707" s="47">
        <v>706.0</v>
      </c>
      <c r="B707" s="2" t="s">
        <v>137</v>
      </c>
      <c r="C707" s="2" t="s">
        <v>1056</v>
      </c>
      <c r="D707" s="2" t="s">
        <v>3643</v>
      </c>
      <c r="E707" s="51" t="s">
        <v>3610</v>
      </c>
      <c r="F707" s="47"/>
      <c r="G707" s="52">
        <f t="array" ref="G707">MAX(IF(INSTOCK!$H$2:$H$2025=B707,INSTOCK!$K$2:$K$2025))</f>
        <v>825</v>
      </c>
      <c r="H707" s="53">
        <f>SUM(IF(INSTOCK!$H$2:$H$2025=B707,INSTOCK!$I$2:$I$2025))</f>
        <v>0</v>
      </c>
      <c r="I707" s="53" t="str">
        <f>SUM(IF([1]!Table13[ID]=B707,[1]!Table13[QTY]))</f>
        <v>#ERROR!</v>
      </c>
      <c r="J707" s="53" t="str">
        <f>TABLEITEM!$H$3:$H$1138-TABLEITEM!$I$3:$I$1138</f>
        <v>#ERROR!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hidden="1" customHeight="1">
      <c r="A708" s="47">
        <v>707.0</v>
      </c>
      <c r="B708" s="2" t="s">
        <v>453</v>
      </c>
      <c r="C708" s="2" t="s">
        <v>1056</v>
      </c>
      <c r="D708" s="2" t="s">
        <v>3644</v>
      </c>
      <c r="E708" s="51" t="s">
        <v>3610</v>
      </c>
      <c r="F708" s="47"/>
      <c r="G708" s="52">
        <f t="array" ref="G708">MAX(IF(INSTOCK!$H$2:$H$2025=B708,INSTOCK!$K$2:$K$2025))</f>
        <v>236.67</v>
      </c>
      <c r="H708" s="53">
        <f>SUM(IF(INSTOCK!$H$2:$H$2025=B708,INSTOCK!$I$2:$I$2025))</f>
        <v>0</v>
      </c>
      <c r="I708" s="53" t="str">
        <f>SUM(IF([1]!Table13[ID]=B708,[1]!Table13[QTY]))</f>
        <v>#ERROR!</v>
      </c>
      <c r="J708" s="53" t="str">
        <f>TABLEITEM!$H$3:$H$1138-TABLEITEM!$I$3:$I$1138</f>
        <v>#ERROR!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hidden="1" customHeight="1">
      <c r="A709" s="47">
        <v>708.0</v>
      </c>
      <c r="B709" s="2" t="s">
        <v>138</v>
      </c>
      <c r="C709" s="2" t="s">
        <v>1056</v>
      </c>
      <c r="D709" s="2" t="s">
        <v>3645</v>
      </c>
      <c r="E709" s="51" t="s">
        <v>3610</v>
      </c>
      <c r="F709" s="47"/>
      <c r="G709" s="52">
        <f t="array" ref="G709">MAX(IF(INSTOCK!$H$2:$H$2025=B709,INSTOCK!$K$2:$K$2025))</f>
        <v>0</v>
      </c>
      <c r="H709" s="53">
        <f>SUM(IF(INSTOCK!$H$2:$H$2025=B709,INSTOCK!$I$2:$I$2025))</f>
        <v>0</v>
      </c>
      <c r="I709" s="53" t="str">
        <f>SUM(IF([1]!Table13[ID]=B709,[1]!Table13[QTY]))</f>
        <v>#ERROR!</v>
      </c>
      <c r="J709" s="53" t="str">
        <f>TABLEITEM!$H$3:$H$1138-TABLEITEM!$I$3:$I$1138</f>
        <v>#ERROR!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hidden="1" customHeight="1">
      <c r="A710" s="47">
        <v>709.0</v>
      </c>
      <c r="B710" s="2" t="s">
        <v>139</v>
      </c>
      <c r="C710" s="2" t="s">
        <v>1056</v>
      </c>
      <c r="D710" s="2" t="s">
        <v>3646</v>
      </c>
      <c r="E710" s="51" t="s">
        <v>3610</v>
      </c>
      <c r="F710" s="47"/>
      <c r="G710" s="52">
        <f t="array" ref="G710">MAX(IF(INSTOCK!$H$2:$H$2025=B710,INSTOCK!$K$2:$K$2025))</f>
        <v>0</v>
      </c>
      <c r="H710" s="53">
        <f>SUM(IF(INSTOCK!$H$2:$H$2025=B710,INSTOCK!$I$2:$I$2025))</f>
        <v>0</v>
      </c>
      <c r="I710" s="53" t="str">
        <f>SUM(IF([1]!Table13[ID]=B710,[1]!Table13[QTY]))</f>
        <v>#ERROR!</v>
      </c>
      <c r="J710" s="53" t="str">
        <f>TABLEITEM!$H$3:$H$1138-TABLEITEM!$I$3:$I$1138</f>
        <v>#ERROR!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hidden="1" customHeight="1">
      <c r="A711" s="47">
        <v>710.0</v>
      </c>
      <c r="B711" s="2" t="s">
        <v>140</v>
      </c>
      <c r="C711" s="2" t="s">
        <v>1056</v>
      </c>
      <c r="D711" s="2" t="s">
        <v>3647</v>
      </c>
      <c r="E711" s="51" t="s">
        <v>3610</v>
      </c>
      <c r="F711" s="47"/>
      <c r="G711" s="52">
        <f t="array" ref="G711">MAX(IF(INSTOCK!$H$2:$H$2025=B711,INSTOCK!$K$2:$K$2025))</f>
        <v>3610</v>
      </c>
      <c r="H711" s="53">
        <f>SUM(IF(INSTOCK!$H$2:$H$2025=B711,INSTOCK!$I$2:$I$2025))</f>
        <v>0</v>
      </c>
      <c r="I711" s="53" t="str">
        <f>SUM(IF([1]!Table13[ID]=B711,[1]!Table13[QTY]))</f>
        <v>#ERROR!</v>
      </c>
      <c r="J711" s="53" t="str">
        <f>TABLEITEM!$H$3:$H$1138-TABLEITEM!$I$3:$I$1138</f>
        <v>#ERROR!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hidden="1" customHeight="1">
      <c r="A712" s="47">
        <v>711.0</v>
      </c>
      <c r="B712" s="2" t="s">
        <v>323</v>
      </c>
      <c r="C712" s="2" t="s">
        <v>1056</v>
      </c>
      <c r="D712" s="2" t="s">
        <v>3648</v>
      </c>
      <c r="E712" s="51" t="s">
        <v>3610</v>
      </c>
      <c r="F712" s="47"/>
      <c r="G712" s="52">
        <f t="array" ref="G712">MAX(IF(INSTOCK!$H$2:$H$2025=B712,INSTOCK!$K$2:$K$2025))</f>
        <v>308.33</v>
      </c>
      <c r="H712" s="53">
        <f>SUM(IF(INSTOCK!$H$2:$H$2025=B712,INSTOCK!$I$2:$I$2025))</f>
        <v>0</v>
      </c>
      <c r="I712" s="53" t="str">
        <f>SUM(IF([1]!Table13[ID]=B712,[1]!Table13[QTY]))</f>
        <v>#ERROR!</v>
      </c>
      <c r="J712" s="53" t="str">
        <f>TABLEITEM!$H$3:$H$1138-TABLEITEM!$I$3:$I$1138</f>
        <v>#ERROR!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hidden="1" customHeight="1">
      <c r="A713" s="47">
        <v>712.0</v>
      </c>
      <c r="B713" s="2" t="s">
        <v>142</v>
      </c>
      <c r="C713" s="2" t="s">
        <v>1056</v>
      </c>
      <c r="D713" s="2" t="s">
        <v>3649</v>
      </c>
      <c r="E713" s="51" t="s">
        <v>3610</v>
      </c>
      <c r="F713" s="47"/>
      <c r="G713" s="52">
        <f t="array" ref="G713">MAX(IF(INSTOCK!$H$2:$H$2025=B713,INSTOCK!$K$2:$K$2025))</f>
        <v>21.6666</v>
      </c>
      <c r="H713" s="53">
        <f>SUM(IF(INSTOCK!$H$2:$H$2025=B713,INSTOCK!$I$2:$I$2025))</f>
        <v>0</v>
      </c>
      <c r="I713" s="53" t="str">
        <f>SUM(IF([1]!Table13[ID]=B713,[1]!Table13[QTY]))</f>
        <v>#ERROR!</v>
      </c>
      <c r="J713" s="53" t="str">
        <f>TABLEITEM!$H$3:$H$1138-TABLEITEM!$I$3:$I$1138</f>
        <v>#ERROR!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hidden="1" customHeight="1">
      <c r="A714" s="47">
        <v>713.0</v>
      </c>
      <c r="B714" s="2" t="s">
        <v>143</v>
      </c>
      <c r="C714" s="2" t="s">
        <v>1056</v>
      </c>
      <c r="D714" s="2" t="s">
        <v>3650</v>
      </c>
      <c r="E714" s="51" t="s">
        <v>3610</v>
      </c>
      <c r="F714" s="47"/>
      <c r="G714" s="52">
        <f t="array" ref="G714">MAX(IF(INSTOCK!$H$2:$H$2025=B714,INSTOCK!$K$2:$K$2025))</f>
        <v>24.1667</v>
      </c>
      <c r="H714" s="53">
        <f>SUM(IF(INSTOCK!$H$2:$H$2025=B714,INSTOCK!$I$2:$I$2025))</f>
        <v>0</v>
      </c>
      <c r="I714" s="53" t="str">
        <f>SUM(IF([1]!Table13[ID]=B714,[1]!Table13[QTY]))</f>
        <v>#ERROR!</v>
      </c>
      <c r="J714" s="53" t="str">
        <f>TABLEITEM!$H$3:$H$1138-TABLEITEM!$I$3:$I$1138</f>
        <v>#ERROR!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hidden="1" customHeight="1">
      <c r="A715" s="47">
        <v>714.0</v>
      </c>
      <c r="B715" s="2" t="s">
        <v>141</v>
      </c>
      <c r="C715" s="2" t="s">
        <v>1056</v>
      </c>
      <c r="D715" s="2" t="s">
        <v>3651</v>
      </c>
      <c r="E715" s="51" t="s">
        <v>3610</v>
      </c>
      <c r="F715" s="47"/>
      <c r="G715" s="52">
        <f t="array" ref="G715">MAX(IF(INSTOCK!$H$2:$H$2025=B715,INSTOCK!$K$2:$K$2025))</f>
        <v>43.33</v>
      </c>
      <c r="H715" s="53">
        <f>SUM(IF(INSTOCK!$H$2:$H$2025=B715,INSTOCK!$I$2:$I$2025))</f>
        <v>0</v>
      </c>
      <c r="I715" s="53" t="str">
        <f>SUM(IF([1]!Table13[ID]=B715,[1]!Table13[QTY]))</f>
        <v>#ERROR!</v>
      </c>
      <c r="J715" s="53" t="str">
        <f>TABLEITEM!$H$3:$H$1138-TABLEITEM!$I$3:$I$1138</f>
        <v>#ERROR!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hidden="1" customHeight="1">
      <c r="A716" s="47">
        <v>715.0</v>
      </c>
      <c r="B716" s="2" t="s">
        <v>405</v>
      </c>
      <c r="C716" s="2" t="s">
        <v>1056</v>
      </c>
      <c r="D716" s="2" t="s">
        <v>3652</v>
      </c>
      <c r="E716" s="51"/>
      <c r="F716" s="47"/>
      <c r="G716" s="52">
        <f t="array" ref="G716">MAX(IF(INSTOCK!$H$2:$H$2025=B716,INSTOCK!$K$2:$K$2025))</f>
        <v>246.67</v>
      </c>
      <c r="H716" s="53">
        <f>SUM(IF(INSTOCK!$H$2:$H$2025=B716,INSTOCK!$I$2:$I$2025))</f>
        <v>0</v>
      </c>
      <c r="I716" s="53" t="str">
        <f>SUM(IF([1]!Table13[ID]=B716,[1]!Table13[QTY]))</f>
        <v>#ERROR!</v>
      </c>
      <c r="J716" s="53" t="str">
        <f>TABLEITEM!$H$3:$H$1138-TABLEITEM!$I$3:$I$1138</f>
        <v>#ERROR!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hidden="1" customHeight="1">
      <c r="A717" s="47">
        <v>716.0</v>
      </c>
      <c r="B717" s="2" t="s">
        <v>3653</v>
      </c>
      <c r="C717" s="2" t="s">
        <v>1056</v>
      </c>
      <c r="D717" s="2" t="s">
        <v>3654</v>
      </c>
      <c r="E717" s="51"/>
      <c r="F717" s="47"/>
      <c r="G717" s="52">
        <f t="array" ref="G717">MAX(IF(INSTOCK!$H$2:$H$2025=B717,INSTOCK!$K$2:$K$2025))</f>
        <v>0</v>
      </c>
      <c r="H717" s="53">
        <f>SUM(IF(INSTOCK!$H$2:$H$2025=B717,INSTOCK!$I$2:$I$2025))</f>
        <v>0</v>
      </c>
      <c r="I717" s="53" t="str">
        <f>SUM(IF([1]!Table13[ID]=B717,[1]!Table13[QTY]))</f>
        <v>#ERROR!</v>
      </c>
      <c r="J717" s="53" t="str">
        <f>TABLEITEM!$H$3:$H$1138-TABLEITEM!$I$3:$I$1138</f>
        <v>#ERROR!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hidden="1" customHeight="1">
      <c r="A718" s="47">
        <v>717.0</v>
      </c>
      <c r="B718" s="2" t="s">
        <v>332</v>
      </c>
      <c r="C718" s="2" t="s">
        <v>1056</v>
      </c>
      <c r="D718" s="2" t="s">
        <v>3655</v>
      </c>
      <c r="E718" s="51"/>
      <c r="F718" s="55"/>
      <c r="G718" s="52">
        <f t="array" ref="G718">MAX(IF(INSTOCK!$H$2:$H$2025=B718,INSTOCK!$K$2:$K$2025))</f>
        <v>3800</v>
      </c>
      <c r="H718" s="53">
        <f>SUM(IF(INSTOCK!$H$2:$H$2025=B718,INSTOCK!$I$2:$I$2025))</f>
        <v>0</v>
      </c>
      <c r="I718" s="53" t="str">
        <f>SUM(IF([1]!Table13[ID]=B718,[1]!Table13[QTY]))</f>
        <v>#ERROR!</v>
      </c>
      <c r="J718" s="53" t="str">
        <f>TABLEITEM!$H$3:$H$1138-TABLEITEM!$I$3:$I$1138</f>
        <v>#ERROR!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hidden="1" customHeight="1">
      <c r="A719" s="47">
        <v>718.0</v>
      </c>
      <c r="B719" s="2" t="s">
        <v>3656</v>
      </c>
      <c r="C719" s="2" t="s">
        <v>2595</v>
      </c>
      <c r="D719" s="2" t="s">
        <v>3657</v>
      </c>
      <c r="E719" s="51"/>
      <c r="F719" s="47"/>
      <c r="G719" s="52">
        <f t="array" ref="G719">MAX(IF(INSTOCK!$H$2:$H$2025=B719,INSTOCK!$K$2:$K$2025))</f>
        <v>0</v>
      </c>
      <c r="H719" s="53">
        <f>SUM(IF(INSTOCK!$H$2:$H$2025=B719,INSTOCK!$I$2:$I$2025))</f>
        <v>0</v>
      </c>
      <c r="I719" s="53" t="str">
        <f>SUM(IF([1]!Table13[ID]=B719,[1]!Table13[QTY]))</f>
        <v>#ERROR!</v>
      </c>
      <c r="J719" s="53" t="str">
        <f>TABLEITEM!$H$3:$H$1138-TABLEITEM!$I$3:$I$1138</f>
        <v>#ERROR!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hidden="1" customHeight="1">
      <c r="A720" s="47">
        <v>719.0</v>
      </c>
      <c r="B720" s="2" t="s">
        <v>3658</v>
      </c>
      <c r="C720" s="2" t="s">
        <v>2595</v>
      </c>
      <c r="D720" s="2" t="s">
        <v>3659</v>
      </c>
      <c r="E720" s="51"/>
      <c r="F720" s="47"/>
      <c r="G720" s="52">
        <f t="array" ref="G720">MAX(IF(INSTOCK!$H$2:$H$2025=B720,INSTOCK!$K$2:$K$2025))</f>
        <v>0</v>
      </c>
      <c r="H720" s="53">
        <f>SUM(IF(INSTOCK!$H$2:$H$2025=B720,INSTOCK!$I$2:$I$2025))</f>
        <v>0</v>
      </c>
      <c r="I720" s="53" t="str">
        <f>SUM(IF([1]!Table13[ID]=B720,[1]!Table13[QTY]))</f>
        <v>#ERROR!</v>
      </c>
      <c r="J720" s="53" t="str">
        <f>TABLEITEM!$H$3:$H$1138-TABLEITEM!$I$3:$I$1138</f>
        <v>#ERROR!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hidden="1" customHeight="1">
      <c r="A721" s="47">
        <v>720.0</v>
      </c>
      <c r="B721" s="2" t="s">
        <v>3660</v>
      </c>
      <c r="C721" s="2" t="s">
        <v>2595</v>
      </c>
      <c r="D721" s="2" t="s">
        <v>3661</v>
      </c>
      <c r="E721" s="51"/>
      <c r="F721" s="47"/>
      <c r="G721" s="52">
        <f t="array" ref="G721">MAX(IF(INSTOCK!$H$2:$H$2025=B721,INSTOCK!$K$2:$K$2025))</f>
        <v>0</v>
      </c>
      <c r="H721" s="53">
        <f>SUM(IF(INSTOCK!$H$2:$H$2025=B721,INSTOCK!$I$2:$I$2025))</f>
        <v>0</v>
      </c>
      <c r="I721" s="53" t="str">
        <f>SUM(IF([1]!Table13[ID]=B721,[1]!Table13[QTY]))</f>
        <v>#ERROR!</v>
      </c>
      <c r="J721" s="53" t="str">
        <f>TABLEITEM!$H$3:$H$1138-TABLEITEM!$I$3:$I$1138</f>
        <v>#ERROR!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hidden="1" customHeight="1">
      <c r="A722" s="47">
        <v>721.0</v>
      </c>
      <c r="B722" s="2" t="s">
        <v>533</v>
      </c>
      <c r="C722" s="2" t="s">
        <v>2595</v>
      </c>
      <c r="D722" s="2" t="s">
        <v>3662</v>
      </c>
      <c r="E722" s="51"/>
      <c r="F722" s="47"/>
      <c r="G722" s="52">
        <f t="array" ref="G722">MAX(IF(INSTOCK!$H$2:$H$2025=B722,INSTOCK!$K$2:$K$2025))</f>
        <v>0</v>
      </c>
      <c r="H722" s="53">
        <f>SUM(IF(INSTOCK!$H$2:$H$2025=B722,INSTOCK!$I$2:$I$2025))</f>
        <v>0</v>
      </c>
      <c r="I722" s="53" t="str">
        <f>SUM(IF([1]!Table13[ID]=B722,[1]!Table13[QTY]))</f>
        <v>#ERROR!</v>
      </c>
      <c r="J722" s="53" t="str">
        <f>TABLEITEM!$H$3:$H$1138-TABLEITEM!$I$3:$I$1138</f>
        <v>#ERROR!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hidden="1" customHeight="1">
      <c r="A723" s="47">
        <v>722.0</v>
      </c>
      <c r="B723" s="2" t="s">
        <v>3663</v>
      </c>
      <c r="C723" s="2" t="s">
        <v>2595</v>
      </c>
      <c r="D723" s="2" t="s">
        <v>3664</v>
      </c>
      <c r="E723" s="51"/>
      <c r="F723" s="47"/>
      <c r="G723" s="52">
        <f t="array" ref="G723">MAX(IF(INSTOCK!$H$2:$H$2025=B723,INSTOCK!$K$2:$K$2025))</f>
        <v>0</v>
      </c>
      <c r="H723" s="53">
        <f>SUM(IF(INSTOCK!$H$2:$H$2025=B723,INSTOCK!$I$2:$I$2025))</f>
        <v>0</v>
      </c>
      <c r="I723" s="53" t="str">
        <f>SUM(IF([1]!Table13[ID]=B723,[1]!Table13[QTY]))</f>
        <v>#ERROR!</v>
      </c>
      <c r="J723" s="53" t="str">
        <f>TABLEITEM!$H$3:$H$1138-TABLEITEM!$I$3:$I$1138</f>
        <v>#ERROR!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hidden="1" customHeight="1">
      <c r="A724" s="47">
        <v>723.0</v>
      </c>
      <c r="B724" s="2" t="s">
        <v>534</v>
      </c>
      <c r="C724" s="2" t="s">
        <v>2595</v>
      </c>
      <c r="D724" s="2" t="s">
        <v>3665</v>
      </c>
      <c r="E724" s="51"/>
      <c r="F724" s="47"/>
      <c r="G724" s="52">
        <f t="array" ref="G724">MAX(IF(INSTOCK!$H$2:$H$2025=B724,INSTOCK!$K$2:$K$2025))</f>
        <v>0</v>
      </c>
      <c r="H724" s="53">
        <f>SUM(IF(INSTOCK!$H$2:$H$2025=B724,INSTOCK!$I$2:$I$2025))</f>
        <v>0</v>
      </c>
      <c r="I724" s="53" t="str">
        <f>SUM(IF([1]!Table13[ID]=B724,[1]!Table13[QTY]))</f>
        <v>#ERROR!</v>
      </c>
      <c r="J724" s="53" t="str">
        <f>TABLEITEM!$H$3:$H$1138-TABLEITEM!$I$3:$I$1138</f>
        <v>#ERROR!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hidden="1" customHeight="1">
      <c r="A725" s="47">
        <v>724.0</v>
      </c>
      <c r="B725" s="2" t="s">
        <v>3666</v>
      </c>
      <c r="C725" s="2" t="s">
        <v>2595</v>
      </c>
      <c r="D725" s="2" t="s">
        <v>3667</v>
      </c>
      <c r="E725" s="51"/>
      <c r="F725" s="47"/>
      <c r="G725" s="52">
        <f t="array" ref="G725">MAX(IF(INSTOCK!$H$2:$H$2025=B725,INSTOCK!$K$2:$K$2025))</f>
        <v>0</v>
      </c>
      <c r="H725" s="53">
        <f>SUM(IF(INSTOCK!$H$2:$H$2025=B725,INSTOCK!$I$2:$I$2025))</f>
        <v>0</v>
      </c>
      <c r="I725" s="53" t="str">
        <f>SUM(IF([1]!Table13[ID]=B725,[1]!Table13[QTY]))</f>
        <v>#ERROR!</v>
      </c>
      <c r="J725" s="53" t="str">
        <f>TABLEITEM!$H$3:$H$1138-TABLEITEM!$I$3:$I$1138</f>
        <v>#ERROR!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hidden="1" customHeight="1">
      <c r="A726" s="47">
        <v>725.0</v>
      </c>
      <c r="B726" s="2" t="s">
        <v>629</v>
      </c>
      <c r="C726" s="2" t="s">
        <v>2595</v>
      </c>
      <c r="D726" s="2" t="s">
        <v>3668</v>
      </c>
      <c r="E726" s="51"/>
      <c r="F726" s="47"/>
      <c r="G726" s="52">
        <f t="array" ref="G726">MAX(IF(INSTOCK!$H$2:$H$2025=B726,INSTOCK!$K$2:$K$2025))</f>
        <v>0</v>
      </c>
      <c r="H726" s="53">
        <f>SUM(IF(INSTOCK!$H$2:$H$2025=B726,INSTOCK!$I$2:$I$2025))</f>
        <v>0</v>
      </c>
      <c r="I726" s="53" t="str">
        <f>SUM(IF([1]!Table13[ID]=B726,[1]!Table13[QTY]))</f>
        <v>#ERROR!</v>
      </c>
      <c r="J726" s="53" t="str">
        <f>TABLEITEM!$H$3:$H$1138-TABLEITEM!$I$3:$I$1138</f>
        <v>#ERROR!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hidden="1" customHeight="1">
      <c r="A727" s="47">
        <v>726.0</v>
      </c>
      <c r="B727" s="2" t="s">
        <v>3669</v>
      </c>
      <c r="C727" s="2" t="s">
        <v>2595</v>
      </c>
      <c r="D727" s="2" t="s">
        <v>3670</v>
      </c>
      <c r="E727" s="51"/>
      <c r="F727" s="47"/>
      <c r="G727" s="52">
        <f t="array" ref="G727">MAX(IF(INSTOCK!$H$2:$H$2025=B727,INSTOCK!$K$2:$K$2025))</f>
        <v>0</v>
      </c>
      <c r="H727" s="53">
        <f>SUM(IF(INSTOCK!$H$2:$H$2025=B727,INSTOCK!$I$2:$I$2025))</f>
        <v>0</v>
      </c>
      <c r="I727" s="53" t="str">
        <f>SUM(IF([1]!Table13[ID]=B727,[1]!Table13[QTY]))</f>
        <v>#ERROR!</v>
      </c>
      <c r="J727" s="53" t="str">
        <f>TABLEITEM!$H$3:$H$1138-TABLEITEM!$I$3:$I$1138</f>
        <v>#ERROR!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hidden="1" customHeight="1">
      <c r="A728" s="47">
        <v>727.0</v>
      </c>
      <c r="B728" s="2" t="s">
        <v>220</v>
      </c>
      <c r="C728" s="2" t="s">
        <v>1056</v>
      </c>
      <c r="D728" s="2" t="s">
        <v>3671</v>
      </c>
      <c r="E728" s="51"/>
      <c r="F728" s="47"/>
      <c r="G728" s="52">
        <f t="array" ref="G728">MAX(IF(INSTOCK!$H$2:$H$2025=B728,INSTOCK!$K$2:$K$2025))</f>
        <v>2090</v>
      </c>
      <c r="H728" s="53">
        <f>SUM(IF(INSTOCK!$H$2:$H$2025=B728,INSTOCK!$I$2:$I$2025))</f>
        <v>0</v>
      </c>
      <c r="I728" s="53" t="str">
        <f>SUM(IF([1]!Table13[ID]=B728,[1]!Table13[QTY]))</f>
        <v>#ERROR!</v>
      </c>
      <c r="J728" s="53" t="str">
        <f>TABLEITEM!$H$3:$H$1138-TABLEITEM!$I$3:$I$1138</f>
        <v>#ERROR!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hidden="1" customHeight="1">
      <c r="A729" s="47">
        <v>728.0</v>
      </c>
      <c r="B729" s="2" t="s">
        <v>169</v>
      </c>
      <c r="C729" s="2" t="s">
        <v>1056</v>
      </c>
      <c r="D729" s="2" t="s">
        <v>3672</v>
      </c>
      <c r="E729" s="51"/>
      <c r="F729" s="47"/>
      <c r="G729" s="52">
        <f t="array" ref="G729">MAX(IF(INSTOCK!$H$2:$H$2025=B729,INSTOCK!$K$2:$K$2025))</f>
        <v>67.5</v>
      </c>
      <c r="H729" s="53">
        <f>SUM(IF(INSTOCK!$H$2:$H$2025=B729,INSTOCK!$I$2:$I$2025))</f>
        <v>0</v>
      </c>
      <c r="I729" s="53" t="str">
        <f>SUM(IF([1]!Table13[ID]=B729,[1]!Table13[QTY]))</f>
        <v>#ERROR!</v>
      </c>
      <c r="J729" s="53" t="str">
        <f>TABLEITEM!$H$3:$H$1138-TABLEITEM!$I$3:$I$1138</f>
        <v>#ERROR!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hidden="1" customHeight="1">
      <c r="A730" s="58">
        <v>729.0</v>
      </c>
      <c r="B730" s="59" t="s">
        <v>352</v>
      </c>
      <c r="C730" s="59" t="s">
        <v>1056</v>
      </c>
      <c r="D730" s="59" t="s">
        <v>3673</v>
      </c>
      <c r="E730" s="60" t="s">
        <v>3491</v>
      </c>
      <c r="F730" s="58"/>
      <c r="G730" s="52">
        <f t="array" ref="G730">MAX(IF(INSTOCK!$H$2:$H$2025=B730,INSTOCK!$K$2:$K$2025))</f>
        <v>1988.6</v>
      </c>
      <c r="H730" s="53">
        <f>SUM(IF(INSTOCK!$H$2:$H$2025=B730,INSTOCK!$I$2:$I$2025))</f>
        <v>0</v>
      </c>
      <c r="I730" s="53" t="str">
        <f>SUM(IF([1]!Table13[ID]=B730,[1]!Table13[QTY]))</f>
        <v>#ERROR!</v>
      </c>
      <c r="J730" s="53" t="str">
        <f>TABLEITEM!$H$3:$H$1138-TABLEITEM!$I$3:$I$1138</f>
        <v>#ERROR!</v>
      </c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8.0" hidden="1" customHeight="1">
      <c r="A731" s="47">
        <v>730.0</v>
      </c>
      <c r="B731" s="2" t="s">
        <v>652</v>
      </c>
      <c r="C731" s="2" t="s">
        <v>2595</v>
      </c>
      <c r="D731" s="2" t="s">
        <v>3674</v>
      </c>
      <c r="E731" s="62"/>
      <c r="F731" s="55"/>
      <c r="G731" s="52">
        <f t="array" ref="G731">MAX(IF(INSTOCK!$H$2:$H$2025=B731,INSTOCK!$K$2:$K$2025))</f>
        <v>0</v>
      </c>
      <c r="H731" s="53">
        <f>SUM(IF(INSTOCK!$H$2:$H$2025=B731,INSTOCK!$I$2:$I$2025))</f>
        <v>0</v>
      </c>
      <c r="I731" s="53" t="str">
        <f>SUM(IF([1]!Table13[ID]=B731,[1]!Table13[QTY]))</f>
        <v>#ERROR!</v>
      </c>
      <c r="J731" s="53" t="str">
        <f>TABLEITEM!$H$3:$H$1138-TABLEITEM!$I$3:$I$1138</f>
        <v>#ERROR!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hidden="1" customHeight="1">
      <c r="A732" s="47">
        <v>731.0</v>
      </c>
      <c r="B732" s="2" t="s">
        <v>574</v>
      </c>
      <c r="C732" s="2" t="s">
        <v>2595</v>
      </c>
      <c r="D732" s="2" t="s">
        <v>3675</v>
      </c>
      <c r="E732" s="51"/>
      <c r="F732" s="47"/>
      <c r="G732" s="52">
        <f t="array" ref="G732">MAX(IF(INSTOCK!$H$2:$H$2025=B732,INSTOCK!$K$2:$K$2025))</f>
        <v>0</v>
      </c>
      <c r="H732" s="53">
        <f>SUM(IF(INSTOCK!$H$2:$H$2025=B732,INSTOCK!$I$2:$I$2025))</f>
        <v>0</v>
      </c>
      <c r="I732" s="53" t="str">
        <f>SUM(IF([1]!Table13[ID]=B732,[1]!Table13[QTY]))</f>
        <v>#ERROR!</v>
      </c>
      <c r="J732" s="53" t="str">
        <f>TABLEITEM!$H$3:$H$1138-TABLEITEM!$I$3:$I$1138</f>
        <v>#ERROR!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hidden="1" customHeight="1">
      <c r="A733" s="47">
        <v>732.0</v>
      </c>
      <c r="B733" s="2" t="s">
        <v>701</v>
      </c>
      <c r="C733" s="2" t="s">
        <v>2595</v>
      </c>
      <c r="D733" s="2" t="s">
        <v>3676</v>
      </c>
      <c r="E733" s="51"/>
      <c r="F733" s="47"/>
      <c r="G733" s="52">
        <f t="array" ref="G733">MAX(IF(INSTOCK!$H$2:$H$2025=B733,INSTOCK!$K$2:$K$2025))</f>
        <v>0</v>
      </c>
      <c r="H733" s="53">
        <f>SUM(IF(INSTOCK!$H$2:$H$2025=B733,INSTOCK!$I$2:$I$2025))</f>
        <v>0</v>
      </c>
      <c r="I733" s="53" t="str">
        <f>SUM(IF([1]!Table13[ID]=B733,[1]!Table13[QTY]))</f>
        <v>#ERROR!</v>
      </c>
      <c r="J733" s="53" t="str">
        <f>TABLEITEM!$H$3:$H$1138-TABLEITEM!$I$3:$I$1138</f>
        <v>#ERROR!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hidden="1" customHeight="1">
      <c r="A734" s="47">
        <v>733.0</v>
      </c>
      <c r="B734" s="2" t="s">
        <v>580</v>
      </c>
      <c r="C734" s="2" t="s">
        <v>2595</v>
      </c>
      <c r="D734" s="2" t="s">
        <v>3677</v>
      </c>
      <c r="E734" s="51"/>
      <c r="F734" s="47"/>
      <c r="G734" s="52">
        <f t="array" ref="G734">MAX(IF(INSTOCK!$H$2:$H$2025=B734,INSTOCK!$K$2:$K$2025))</f>
        <v>0</v>
      </c>
      <c r="H734" s="53">
        <f>SUM(IF(INSTOCK!$H$2:$H$2025=B734,INSTOCK!$I$2:$I$2025))</f>
        <v>0</v>
      </c>
      <c r="I734" s="53" t="str">
        <f>SUM(IF([1]!Table13[ID]=B734,[1]!Table13[QTY]))</f>
        <v>#ERROR!</v>
      </c>
      <c r="J734" s="53" t="str">
        <f>TABLEITEM!$H$3:$H$1138-TABLEITEM!$I$3:$I$1138</f>
        <v>#ERROR!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hidden="1" customHeight="1">
      <c r="A735" s="47">
        <v>734.0</v>
      </c>
      <c r="B735" s="2" t="s">
        <v>654</v>
      </c>
      <c r="C735" s="2" t="s">
        <v>2595</v>
      </c>
      <c r="D735" s="2" t="s">
        <v>3678</v>
      </c>
      <c r="E735" s="51"/>
      <c r="F735" s="47"/>
      <c r="G735" s="52">
        <f t="array" ref="G735">MAX(IF(INSTOCK!$H$2:$H$2025=B735,INSTOCK!$K$2:$K$2025))</f>
        <v>0</v>
      </c>
      <c r="H735" s="53">
        <f>SUM(IF(INSTOCK!$H$2:$H$2025=B735,INSTOCK!$I$2:$I$2025))</f>
        <v>0</v>
      </c>
      <c r="I735" s="53" t="str">
        <f>SUM(IF([1]!Table13[ID]=B735,[1]!Table13[QTY]))</f>
        <v>#ERROR!</v>
      </c>
      <c r="J735" s="53" t="str">
        <f>TABLEITEM!$H$3:$H$1138-TABLEITEM!$I$3:$I$1138</f>
        <v>#ERROR!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hidden="1" customHeight="1">
      <c r="A736" s="47">
        <v>735.0</v>
      </c>
      <c r="B736" s="2" t="s">
        <v>655</v>
      </c>
      <c r="C736" s="2" t="s">
        <v>2595</v>
      </c>
      <c r="D736" s="2" t="s">
        <v>3679</v>
      </c>
      <c r="E736" s="51"/>
      <c r="F736" s="47"/>
      <c r="G736" s="52">
        <f t="array" ref="G736">MAX(IF(INSTOCK!$H$2:$H$2025=B736,INSTOCK!$K$2:$K$2025))</f>
        <v>0</v>
      </c>
      <c r="H736" s="53">
        <f>SUM(IF(INSTOCK!$H$2:$H$2025=B736,INSTOCK!$I$2:$I$2025))</f>
        <v>0</v>
      </c>
      <c r="I736" s="53" t="str">
        <f>SUM(IF([1]!Table13[ID]=B736,[1]!Table13[QTY]))</f>
        <v>#ERROR!</v>
      </c>
      <c r="J736" s="53" t="str">
        <f>TABLEITEM!$H$3:$H$1138-TABLEITEM!$I$3:$I$1138</f>
        <v>#ERROR!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hidden="1" customHeight="1">
      <c r="A737" s="47">
        <v>736.0</v>
      </c>
      <c r="B737" s="2" t="s">
        <v>3680</v>
      </c>
      <c r="C737" s="2" t="s">
        <v>2595</v>
      </c>
      <c r="D737" s="2" t="s">
        <v>3681</v>
      </c>
      <c r="E737" s="51"/>
      <c r="F737" s="47"/>
      <c r="G737" s="52">
        <f t="array" ref="G737">MAX(IF(INSTOCK!$H$2:$H$2025=B737,INSTOCK!$K$2:$K$2025))</f>
        <v>0</v>
      </c>
      <c r="H737" s="53">
        <f>SUM(IF(INSTOCK!$H$2:$H$2025=B737,INSTOCK!$I$2:$I$2025))</f>
        <v>0</v>
      </c>
      <c r="I737" s="53" t="str">
        <f>SUM(IF([1]!Table13[ID]=B737,[1]!Table13[QTY]))</f>
        <v>#ERROR!</v>
      </c>
      <c r="J737" s="53" t="str">
        <f>TABLEITEM!$H$3:$H$1138-TABLEITEM!$I$3:$I$1138</f>
        <v>#ERROR!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hidden="1" customHeight="1">
      <c r="A738" s="47">
        <v>737.0</v>
      </c>
      <c r="B738" s="2" t="s">
        <v>3682</v>
      </c>
      <c r="C738" s="2" t="s">
        <v>2595</v>
      </c>
      <c r="D738" s="2" t="s">
        <v>3683</v>
      </c>
      <c r="E738" s="51"/>
      <c r="F738" s="47"/>
      <c r="G738" s="52">
        <f t="array" ref="G738">MAX(IF(INSTOCK!$H$2:$H$2025=B738,INSTOCK!$K$2:$K$2025))</f>
        <v>0</v>
      </c>
      <c r="H738" s="53">
        <f>SUM(IF(INSTOCK!$H$2:$H$2025=B738,INSTOCK!$I$2:$I$2025))</f>
        <v>0</v>
      </c>
      <c r="I738" s="53" t="str">
        <f>SUM(IF([1]!Table13[ID]=B738,[1]!Table13[QTY]))</f>
        <v>#ERROR!</v>
      </c>
      <c r="J738" s="53" t="str">
        <f>TABLEITEM!$H$3:$H$1138-TABLEITEM!$I$3:$I$1138</f>
        <v>#ERROR!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hidden="1" customHeight="1">
      <c r="A739" s="47">
        <v>738.0</v>
      </c>
      <c r="B739" s="2" t="s">
        <v>644</v>
      </c>
      <c r="C739" s="2" t="s">
        <v>2595</v>
      </c>
      <c r="D739" s="2" t="s">
        <v>3684</v>
      </c>
      <c r="E739" s="51"/>
      <c r="F739" s="47"/>
      <c r="G739" s="52">
        <f t="array" ref="G739">MAX(IF(INSTOCK!$H$2:$H$2025=B739,INSTOCK!$K$2:$K$2025))</f>
        <v>0</v>
      </c>
      <c r="H739" s="53">
        <f>SUM(IF(INSTOCK!$H$2:$H$2025=B739,INSTOCK!$I$2:$I$2025))</f>
        <v>0</v>
      </c>
      <c r="I739" s="53" t="str">
        <f>SUM(IF([1]!Table13[ID]=B739,[1]!Table13[QTY]))</f>
        <v>#ERROR!</v>
      </c>
      <c r="J739" s="53" t="str">
        <f>TABLEITEM!$H$3:$H$1138-TABLEITEM!$I$3:$I$1138</f>
        <v>#ERROR!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hidden="1" customHeight="1">
      <c r="A740" s="47">
        <v>739.0</v>
      </c>
      <c r="B740" s="2" t="s">
        <v>390</v>
      </c>
      <c r="C740" s="2" t="s">
        <v>1056</v>
      </c>
      <c r="D740" s="2" t="s">
        <v>3685</v>
      </c>
      <c r="E740" s="51"/>
      <c r="F740" s="47"/>
      <c r="G740" s="52">
        <f t="array" ref="G740">MAX(IF(INSTOCK!$H$2:$H$2025=B740,INSTOCK!$K$2:$K$2025))</f>
        <v>212.57</v>
      </c>
      <c r="H740" s="53">
        <f>SUM(IF(INSTOCK!$H$2:$H$2025=B740,INSTOCK!$I$2:$I$2025))</f>
        <v>0</v>
      </c>
      <c r="I740" s="53" t="str">
        <f>SUM(IF([1]!Table13[ID]=B740,[1]!Table13[QTY]))</f>
        <v>#ERROR!</v>
      </c>
      <c r="J740" s="53" t="str">
        <f>TABLEITEM!$H$3:$H$1138-TABLEITEM!$I$3:$I$1138</f>
        <v>#ERROR!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hidden="1" customHeight="1">
      <c r="A741" s="47">
        <v>740.0</v>
      </c>
      <c r="B741" s="2" t="s">
        <v>1000</v>
      </c>
      <c r="C741" s="2" t="s">
        <v>1056</v>
      </c>
      <c r="D741" s="2" t="s">
        <v>3686</v>
      </c>
      <c r="E741" s="51"/>
      <c r="F741" s="47"/>
      <c r="G741" s="52">
        <f t="array" ref="G741">MAX(IF(INSTOCK!$H$2:$H$2025=B741,INSTOCK!$K$2:$K$2025))</f>
        <v>375</v>
      </c>
      <c r="H741" s="53">
        <f>SUM(IF(INSTOCK!$H$2:$H$2025=B741,INSTOCK!$I$2:$I$2025))</f>
        <v>0</v>
      </c>
      <c r="I741" s="53" t="str">
        <f>SUM(IF([1]!Table13[ID]=B741,[1]!Table13[QTY]))</f>
        <v>#ERROR!</v>
      </c>
      <c r="J741" s="53" t="str">
        <f>TABLEITEM!$H$3:$H$1138-TABLEITEM!$I$3:$I$1138</f>
        <v>#ERROR!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hidden="1" customHeight="1">
      <c r="A742" s="47">
        <v>741.0</v>
      </c>
      <c r="B742" s="2" t="s">
        <v>95</v>
      </c>
      <c r="C742" s="2" t="s">
        <v>1056</v>
      </c>
      <c r="D742" s="2" t="s">
        <v>3687</v>
      </c>
      <c r="E742" s="51"/>
      <c r="F742" s="47"/>
      <c r="G742" s="52">
        <f t="array" ref="G742">MAX(IF(INSTOCK!$H$2:$H$2025=B742,INSTOCK!$K$2:$K$2025))</f>
        <v>280</v>
      </c>
      <c r="H742" s="53">
        <f>SUM(IF(INSTOCK!$H$2:$H$2025=B742,INSTOCK!$I$2:$I$2025))</f>
        <v>0</v>
      </c>
      <c r="I742" s="53" t="str">
        <f>SUM(IF([1]!Table13[ID]=B742,[1]!Table13[QTY]))</f>
        <v>#ERROR!</v>
      </c>
      <c r="J742" s="53" t="str">
        <f>TABLEITEM!$H$3:$H$1138-TABLEITEM!$I$3:$I$1138</f>
        <v>#ERROR!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hidden="1" customHeight="1">
      <c r="A743" s="47">
        <v>742.0</v>
      </c>
      <c r="B743" s="2" t="s">
        <v>531</v>
      </c>
      <c r="C743" s="2" t="s">
        <v>2595</v>
      </c>
      <c r="D743" s="2" t="s">
        <v>3688</v>
      </c>
      <c r="E743" s="51"/>
      <c r="F743" s="47"/>
      <c r="G743" s="52">
        <f t="array" ref="G743">MAX(IF(INSTOCK!$H$2:$H$2025=B743,INSTOCK!$K$2:$K$2025))</f>
        <v>0</v>
      </c>
      <c r="H743" s="53">
        <f>SUM(IF(INSTOCK!$H$2:$H$2025=B743,INSTOCK!$I$2:$I$2025))</f>
        <v>0</v>
      </c>
      <c r="I743" s="53" t="str">
        <f>SUM(IF([1]!Table13[ID]=B743,[1]!Table13[QTY]))</f>
        <v>#ERROR!</v>
      </c>
      <c r="J743" s="53" t="str">
        <f>TABLEITEM!$H$3:$H$1138-TABLEITEM!$I$3:$I$1138</f>
        <v>#ERROR!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hidden="1" customHeight="1">
      <c r="A744" s="47">
        <v>743.0</v>
      </c>
      <c r="B744" s="2" t="s">
        <v>864</v>
      </c>
      <c r="C744" s="2" t="s">
        <v>2599</v>
      </c>
      <c r="D744" s="2" t="s">
        <v>3689</v>
      </c>
      <c r="E744" s="51" t="s">
        <v>3087</v>
      </c>
      <c r="F744" s="47"/>
      <c r="G744" s="52">
        <f t="array" ref="G744">MAX(IF(INSTOCK!$H$2:$H$2025=B744,INSTOCK!$K$2:$K$2025))</f>
        <v>50</v>
      </c>
      <c r="H744" s="53">
        <f>SUM(IF(INSTOCK!$H$2:$H$2025=B744,INSTOCK!$I$2:$I$2025))</f>
        <v>0</v>
      </c>
      <c r="I744" s="53" t="str">
        <f>SUM(IF([1]!Table13[ID]=B744,[1]!Table13[QTY]))</f>
        <v>#ERROR!</v>
      </c>
      <c r="J744" s="53" t="str">
        <f>TABLEITEM!$H$3:$H$1138-TABLEITEM!$I$3:$I$1138</f>
        <v>#ERROR!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hidden="1" customHeight="1">
      <c r="A745" s="47">
        <v>744.0</v>
      </c>
      <c r="B745" s="2" t="s">
        <v>752</v>
      </c>
      <c r="C745" s="2" t="s">
        <v>2599</v>
      </c>
      <c r="D745" s="2" t="s">
        <v>3690</v>
      </c>
      <c r="E745" s="51" t="s">
        <v>3087</v>
      </c>
      <c r="F745" s="47"/>
      <c r="G745" s="52">
        <f t="array" ref="G745">MAX(IF(INSTOCK!$H$2:$H$2025=B745,INSTOCK!$K$2:$K$2025))</f>
        <v>25</v>
      </c>
      <c r="H745" s="53">
        <f>SUM(IF(INSTOCK!$H$2:$H$2025=B745,INSTOCK!$I$2:$I$2025))</f>
        <v>0</v>
      </c>
      <c r="I745" s="53" t="str">
        <f>SUM(IF([1]!Table13[ID]=B745,[1]!Table13[QTY]))</f>
        <v>#ERROR!</v>
      </c>
      <c r="J745" s="53" t="str">
        <f>TABLEITEM!$H$3:$H$1138-TABLEITEM!$I$3:$I$1138</f>
        <v>#ERROR!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hidden="1" customHeight="1">
      <c r="A746" s="47">
        <v>745.0</v>
      </c>
      <c r="B746" s="2" t="s">
        <v>741</v>
      </c>
      <c r="C746" s="2" t="s">
        <v>2599</v>
      </c>
      <c r="D746" s="2" t="s">
        <v>3691</v>
      </c>
      <c r="E746" s="51" t="s">
        <v>3087</v>
      </c>
      <c r="F746" s="47"/>
      <c r="G746" s="52">
        <f t="array" ref="G746">MAX(IF(INSTOCK!$H$2:$H$2025=B746,INSTOCK!$K$2:$K$2025))</f>
        <v>25</v>
      </c>
      <c r="H746" s="53">
        <f>SUM(IF(INSTOCK!$H$2:$H$2025=B746,INSTOCK!$I$2:$I$2025))</f>
        <v>0</v>
      </c>
      <c r="I746" s="53" t="str">
        <f>SUM(IF([1]!Table13[ID]=B746,[1]!Table13[QTY]))</f>
        <v>#ERROR!</v>
      </c>
      <c r="J746" s="53" t="str">
        <f>TABLEITEM!$H$3:$H$1138-TABLEITEM!$I$3:$I$1138</f>
        <v>#ERROR!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hidden="1" customHeight="1">
      <c r="A747" s="47">
        <v>746.0</v>
      </c>
      <c r="B747" s="2" t="s">
        <v>3692</v>
      </c>
      <c r="C747" s="2" t="s">
        <v>2599</v>
      </c>
      <c r="D747" s="2" t="s">
        <v>3693</v>
      </c>
      <c r="E747" s="51" t="s">
        <v>3087</v>
      </c>
      <c r="F747" s="47"/>
      <c r="G747" s="52">
        <f t="array" ref="G747">MAX(IF(INSTOCK!$H$2:$H$2025=B747,INSTOCK!$K$2:$K$2025))</f>
        <v>0</v>
      </c>
      <c r="H747" s="53">
        <f>SUM(IF(INSTOCK!$H$2:$H$2025=B747,INSTOCK!$I$2:$I$2025))</f>
        <v>0</v>
      </c>
      <c r="I747" s="53" t="str">
        <f>SUM(IF([1]!Table13[ID]=B747,[1]!Table13[QTY]))</f>
        <v>#ERROR!</v>
      </c>
      <c r="J747" s="53" t="str">
        <f>TABLEITEM!$H$3:$H$1138-TABLEITEM!$I$3:$I$1138</f>
        <v>#ERROR!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hidden="1" customHeight="1">
      <c r="A748" s="47">
        <v>747.0</v>
      </c>
      <c r="B748" s="2" t="s">
        <v>808</v>
      </c>
      <c r="C748" s="2" t="s">
        <v>2599</v>
      </c>
      <c r="D748" s="2" t="s">
        <v>3694</v>
      </c>
      <c r="E748" s="51" t="s">
        <v>3087</v>
      </c>
      <c r="F748" s="47"/>
      <c r="G748" s="52">
        <f t="array" ref="G748">MAX(IF(INSTOCK!$H$2:$H$2025=B748,INSTOCK!$K$2:$K$2025))</f>
        <v>35</v>
      </c>
      <c r="H748" s="53">
        <f>SUM(IF(INSTOCK!$H$2:$H$2025=B748,INSTOCK!$I$2:$I$2025))</f>
        <v>0</v>
      </c>
      <c r="I748" s="53" t="str">
        <f>SUM(IF([1]!Table13[ID]=B748,[1]!Table13[QTY]))</f>
        <v>#ERROR!</v>
      </c>
      <c r="J748" s="53" t="str">
        <f>TABLEITEM!$H$3:$H$1138-TABLEITEM!$I$3:$I$1138</f>
        <v>#ERROR!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hidden="1" customHeight="1">
      <c r="A749" s="47">
        <v>748.0</v>
      </c>
      <c r="B749" s="2" t="s">
        <v>833</v>
      </c>
      <c r="C749" s="2" t="s">
        <v>2599</v>
      </c>
      <c r="D749" s="2" t="s">
        <v>3695</v>
      </c>
      <c r="E749" s="51" t="s">
        <v>3087</v>
      </c>
      <c r="F749" s="47"/>
      <c r="G749" s="52">
        <f t="array" ref="G749">MAX(IF(INSTOCK!$H$2:$H$2025=B749,INSTOCK!$K$2:$K$2025))</f>
        <v>115</v>
      </c>
      <c r="H749" s="53">
        <f>SUM(IF(INSTOCK!$H$2:$H$2025=B749,INSTOCK!$I$2:$I$2025))</f>
        <v>0</v>
      </c>
      <c r="I749" s="53" t="str">
        <f>SUM(IF([1]!Table13[ID]=B749,[1]!Table13[QTY]))</f>
        <v>#ERROR!</v>
      </c>
      <c r="J749" s="53" t="str">
        <f>TABLEITEM!$H$3:$H$1138-TABLEITEM!$I$3:$I$1138</f>
        <v>#ERROR!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hidden="1" customHeight="1">
      <c r="A750" s="47">
        <v>749.0</v>
      </c>
      <c r="B750" s="2" t="s">
        <v>831</v>
      </c>
      <c r="C750" s="2" t="s">
        <v>2599</v>
      </c>
      <c r="D750" s="2" t="s">
        <v>3696</v>
      </c>
      <c r="E750" s="51" t="s">
        <v>3087</v>
      </c>
      <c r="F750" s="47"/>
      <c r="G750" s="52">
        <f t="array" ref="G750">MAX(IF(INSTOCK!$H$2:$H$2025=B750,INSTOCK!$K$2:$K$2025))</f>
        <v>85</v>
      </c>
      <c r="H750" s="53">
        <f>SUM(IF(INSTOCK!$H$2:$H$2025=B750,INSTOCK!$I$2:$I$2025))</f>
        <v>0</v>
      </c>
      <c r="I750" s="53" t="str">
        <f>SUM(IF([1]!Table13[ID]=B750,[1]!Table13[QTY]))</f>
        <v>#ERROR!</v>
      </c>
      <c r="J750" s="53" t="str">
        <f>TABLEITEM!$H$3:$H$1138-TABLEITEM!$I$3:$I$1138</f>
        <v>#ERROR!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hidden="1" customHeight="1">
      <c r="A751" s="47">
        <v>750.0</v>
      </c>
      <c r="B751" s="2" t="s">
        <v>921</v>
      </c>
      <c r="C751" s="2" t="s">
        <v>2599</v>
      </c>
      <c r="D751" s="2" t="s">
        <v>3697</v>
      </c>
      <c r="E751" s="51" t="s">
        <v>3087</v>
      </c>
      <c r="F751" s="47"/>
      <c r="G751" s="52">
        <f t="array" ref="G751">MAX(IF(INSTOCK!$H$2:$H$2025=B751,INSTOCK!$K$2:$K$2025))</f>
        <v>300</v>
      </c>
      <c r="H751" s="53">
        <f>SUM(IF(INSTOCK!$H$2:$H$2025=B751,INSTOCK!$I$2:$I$2025))</f>
        <v>0</v>
      </c>
      <c r="I751" s="53" t="str">
        <f>SUM(IF([1]!Table13[ID]=B751,[1]!Table13[QTY]))</f>
        <v>#ERROR!</v>
      </c>
      <c r="J751" s="53" t="str">
        <f>TABLEITEM!$H$3:$H$1138-TABLEITEM!$I$3:$I$1138</f>
        <v>#ERROR!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hidden="1" customHeight="1">
      <c r="A752" s="47">
        <v>751.0</v>
      </c>
      <c r="B752" s="2" t="s">
        <v>821</v>
      </c>
      <c r="C752" s="2" t="s">
        <v>2599</v>
      </c>
      <c r="D752" s="2" t="s">
        <v>3698</v>
      </c>
      <c r="E752" s="51" t="s">
        <v>3087</v>
      </c>
      <c r="F752" s="47"/>
      <c r="G752" s="52">
        <f t="array" ref="G752">MAX(IF(INSTOCK!$H$2:$H$2025=B752,INSTOCK!$K$2:$K$2025))</f>
        <v>85</v>
      </c>
      <c r="H752" s="53">
        <f>SUM(IF(INSTOCK!$H$2:$H$2025=B752,INSTOCK!$I$2:$I$2025))</f>
        <v>0</v>
      </c>
      <c r="I752" s="53" t="str">
        <f>SUM(IF([1]!Table13[ID]=B752,[1]!Table13[QTY]))</f>
        <v>#ERROR!</v>
      </c>
      <c r="J752" s="53" t="str">
        <f>TABLEITEM!$H$3:$H$1138-TABLEITEM!$I$3:$I$1138</f>
        <v>#ERROR!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hidden="1" customHeight="1">
      <c r="A753" s="47">
        <v>752.0</v>
      </c>
      <c r="B753" s="2" t="s">
        <v>828</v>
      </c>
      <c r="C753" s="2" t="s">
        <v>2599</v>
      </c>
      <c r="D753" s="2" t="s">
        <v>3699</v>
      </c>
      <c r="E753" s="51" t="s">
        <v>3087</v>
      </c>
      <c r="F753" s="47"/>
      <c r="G753" s="52">
        <f t="array" ref="G753">MAX(IF(INSTOCK!$H$2:$H$2025=B753,INSTOCK!$K$2:$K$2025))</f>
        <v>60</v>
      </c>
      <c r="H753" s="53">
        <f>SUM(IF(INSTOCK!$H$2:$H$2025=B753,INSTOCK!$I$2:$I$2025))</f>
        <v>0</v>
      </c>
      <c r="I753" s="53" t="str">
        <f>SUM(IF([1]!Table13[ID]=B753,[1]!Table13[QTY]))</f>
        <v>#ERROR!</v>
      </c>
      <c r="J753" s="53" t="str">
        <f>TABLEITEM!$H$3:$H$1138-TABLEITEM!$I$3:$I$1138</f>
        <v>#ERROR!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hidden="1" customHeight="1">
      <c r="A754" s="47">
        <v>753.0</v>
      </c>
      <c r="B754" s="2" t="s">
        <v>832</v>
      </c>
      <c r="C754" s="2" t="s">
        <v>2599</v>
      </c>
      <c r="D754" s="2" t="s">
        <v>3700</v>
      </c>
      <c r="E754" s="51" t="s">
        <v>3087</v>
      </c>
      <c r="F754" s="47"/>
      <c r="G754" s="52">
        <f t="array" ref="G754">MAX(IF(INSTOCK!$H$2:$H$2025=B754,INSTOCK!$K$2:$K$2025))</f>
        <v>115</v>
      </c>
      <c r="H754" s="53">
        <f>SUM(IF(INSTOCK!$H$2:$H$2025=B754,INSTOCK!$I$2:$I$2025))</f>
        <v>0</v>
      </c>
      <c r="I754" s="53" t="str">
        <f>SUM(IF([1]!Table13[ID]=B754,[1]!Table13[QTY]))</f>
        <v>#ERROR!</v>
      </c>
      <c r="J754" s="53" t="str">
        <f>TABLEITEM!$H$3:$H$1138-TABLEITEM!$I$3:$I$1138</f>
        <v>#ERROR!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hidden="1" customHeight="1">
      <c r="A755" s="47">
        <v>754.0</v>
      </c>
      <c r="B755" s="2" t="s">
        <v>857</v>
      </c>
      <c r="C755" s="2" t="s">
        <v>2599</v>
      </c>
      <c r="D755" s="2" t="s">
        <v>3701</v>
      </c>
      <c r="E755" s="51" t="s">
        <v>3087</v>
      </c>
      <c r="F755" s="47"/>
      <c r="G755" s="52">
        <f t="array" ref="G755">MAX(IF(INSTOCK!$H$2:$H$2025=B755,INSTOCK!$K$2:$K$2025))</f>
        <v>150</v>
      </c>
      <c r="H755" s="53">
        <f>SUM(IF(INSTOCK!$H$2:$H$2025=B755,INSTOCK!$I$2:$I$2025))</f>
        <v>0</v>
      </c>
      <c r="I755" s="53" t="str">
        <f>SUM(IF([1]!Table13[ID]=B755,[1]!Table13[QTY]))</f>
        <v>#ERROR!</v>
      </c>
      <c r="J755" s="53" t="str">
        <f>TABLEITEM!$H$3:$H$1138-TABLEITEM!$I$3:$I$1138</f>
        <v>#ERROR!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hidden="1" customHeight="1">
      <c r="A756" s="47">
        <v>755.0</v>
      </c>
      <c r="B756" s="2" t="s">
        <v>848</v>
      </c>
      <c r="C756" s="2" t="s">
        <v>2599</v>
      </c>
      <c r="D756" s="2" t="s">
        <v>3702</v>
      </c>
      <c r="E756" s="51" t="s">
        <v>3087</v>
      </c>
      <c r="F756" s="47"/>
      <c r="G756" s="52">
        <f t="array" ref="G756">MAX(IF(INSTOCK!$H$2:$H$2025=B756,INSTOCK!$K$2:$K$2025))</f>
        <v>100</v>
      </c>
      <c r="H756" s="53">
        <f>SUM(IF(INSTOCK!$H$2:$H$2025=B756,INSTOCK!$I$2:$I$2025))</f>
        <v>0</v>
      </c>
      <c r="I756" s="53" t="str">
        <f>SUM(IF([1]!Table13[ID]=B756,[1]!Table13[QTY]))</f>
        <v>#ERROR!</v>
      </c>
      <c r="J756" s="53" t="str">
        <f>TABLEITEM!$H$3:$H$1138-TABLEITEM!$I$3:$I$1138</f>
        <v>#ERROR!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hidden="1" customHeight="1">
      <c r="A757" s="47">
        <v>756.0</v>
      </c>
      <c r="B757" s="2" t="s">
        <v>804</v>
      </c>
      <c r="C757" s="2" t="s">
        <v>2599</v>
      </c>
      <c r="D757" s="2" t="s">
        <v>3703</v>
      </c>
      <c r="E757" s="51" t="s">
        <v>3087</v>
      </c>
      <c r="F757" s="47"/>
      <c r="G757" s="52">
        <f t="array" ref="G757">MAX(IF(INSTOCK!$H$2:$H$2025=B757,INSTOCK!$K$2:$K$2025))</f>
        <v>50</v>
      </c>
      <c r="H757" s="53">
        <f>SUM(IF(INSTOCK!$H$2:$H$2025=B757,INSTOCK!$I$2:$I$2025))</f>
        <v>0</v>
      </c>
      <c r="I757" s="53" t="str">
        <f>SUM(IF([1]!Table13[ID]=B757,[1]!Table13[QTY]))</f>
        <v>#ERROR!</v>
      </c>
      <c r="J757" s="53" t="str">
        <f>TABLEITEM!$H$3:$H$1138-TABLEITEM!$I$3:$I$1138</f>
        <v>#ERROR!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hidden="1" customHeight="1">
      <c r="A758" s="47">
        <v>757.0</v>
      </c>
      <c r="B758" s="2" t="s">
        <v>850</v>
      </c>
      <c r="C758" s="2" t="s">
        <v>2599</v>
      </c>
      <c r="D758" s="2" t="s">
        <v>3704</v>
      </c>
      <c r="E758" s="51" t="s">
        <v>3087</v>
      </c>
      <c r="F758" s="47"/>
      <c r="G758" s="52">
        <f t="array" ref="G758">MAX(IF(INSTOCK!$H$2:$H$2025=B758,INSTOCK!$K$2:$K$2025))</f>
        <v>150</v>
      </c>
      <c r="H758" s="53">
        <f>SUM(IF(INSTOCK!$H$2:$H$2025=B758,INSTOCK!$I$2:$I$2025))</f>
        <v>0</v>
      </c>
      <c r="I758" s="53" t="str">
        <f>SUM(IF([1]!Table13[ID]=B758,[1]!Table13[QTY]))</f>
        <v>#ERROR!</v>
      </c>
      <c r="J758" s="53" t="str">
        <f>TABLEITEM!$H$3:$H$1138-TABLEITEM!$I$3:$I$1138</f>
        <v>#ERROR!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hidden="1" customHeight="1">
      <c r="A759" s="47">
        <v>758.0</v>
      </c>
      <c r="B759" s="2" t="s">
        <v>3705</v>
      </c>
      <c r="C759" s="2" t="s">
        <v>2599</v>
      </c>
      <c r="D759" s="2" t="s">
        <v>3706</v>
      </c>
      <c r="E759" s="51" t="s">
        <v>3087</v>
      </c>
      <c r="F759" s="47"/>
      <c r="G759" s="52">
        <f t="array" ref="G759">MAX(IF(INSTOCK!$H$2:$H$2025=B759,INSTOCK!$K$2:$K$2025))</f>
        <v>0</v>
      </c>
      <c r="H759" s="53">
        <f>SUM(IF(INSTOCK!$H$2:$H$2025=B759,INSTOCK!$I$2:$I$2025))</f>
        <v>0</v>
      </c>
      <c r="I759" s="53" t="str">
        <f>SUM(IF([1]!Table13[ID]=B759,[1]!Table13[QTY]))</f>
        <v>#ERROR!</v>
      </c>
      <c r="J759" s="53" t="str">
        <f>TABLEITEM!$H$3:$H$1138-TABLEITEM!$I$3:$I$1138</f>
        <v>#ERROR!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hidden="1" customHeight="1">
      <c r="A760" s="47">
        <v>759.0</v>
      </c>
      <c r="B760" s="2" t="s">
        <v>3707</v>
      </c>
      <c r="C760" s="2" t="s">
        <v>2595</v>
      </c>
      <c r="D760" s="2" t="s">
        <v>3708</v>
      </c>
      <c r="E760" s="51"/>
      <c r="F760" s="47"/>
      <c r="G760" s="52">
        <f t="array" ref="G760">MAX(IF(INSTOCK!$H$2:$H$2025=B760,INSTOCK!$K$2:$K$2025))</f>
        <v>0</v>
      </c>
      <c r="H760" s="53">
        <f>SUM(IF(INSTOCK!$H$2:$H$2025=B760,INSTOCK!$I$2:$I$2025))</f>
        <v>0</v>
      </c>
      <c r="I760" s="53" t="str">
        <f>SUM(IF([1]!Table13[ID]=B760,[1]!Table13[QTY]))</f>
        <v>#ERROR!</v>
      </c>
      <c r="J760" s="53" t="str">
        <f>TABLEITEM!$H$3:$H$1138-TABLEITEM!$I$3:$I$1138</f>
        <v>#ERROR!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hidden="1" customHeight="1">
      <c r="A761" s="47">
        <v>760.0</v>
      </c>
      <c r="B761" s="2" t="s">
        <v>3709</v>
      </c>
      <c r="C761" s="2" t="s">
        <v>2599</v>
      </c>
      <c r="D761" s="2" t="s">
        <v>3710</v>
      </c>
      <c r="E761" s="51" t="s">
        <v>3087</v>
      </c>
      <c r="F761" s="47"/>
      <c r="G761" s="52">
        <f t="array" ref="G761">MAX(IF(INSTOCK!$H$2:$H$2025=B761,INSTOCK!$K$2:$K$2025))</f>
        <v>0</v>
      </c>
      <c r="H761" s="53">
        <f>SUM(IF(INSTOCK!$H$2:$H$2025=B761,INSTOCK!$I$2:$I$2025))</f>
        <v>0</v>
      </c>
      <c r="I761" s="53" t="str">
        <f>SUM(IF([1]!Table13[ID]=B761,[1]!Table13[QTY]))</f>
        <v>#ERROR!</v>
      </c>
      <c r="J761" s="53" t="str">
        <f>TABLEITEM!$H$3:$H$1138-TABLEITEM!$I$3:$I$1138</f>
        <v>#ERROR!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hidden="1" customHeight="1">
      <c r="A762" s="55">
        <v>761.0</v>
      </c>
      <c r="B762" s="22" t="s">
        <v>3711</v>
      </c>
      <c r="C762" s="59" t="s">
        <v>2599</v>
      </c>
      <c r="D762" s="22" t="s">
        <v>3712</v>
      </c>
      <c r="E762" s="51" t="s">
        <v>3087</v>
      </c>
      <c r="F762" s="55"/>
      <c r="G762" s="52">
        <f t="array" ref="G762">MAX(IF(INSTOCK!$H$2:$H$2025=B762,INSTOCK!$K$2:$K$2025))</f>
        <v>0</v>
      </c>
      <c r="H762" s="53">
        <f>SUM(IF(INSTOCK!$H$2:$H$2025=B762,INSTOCK!$I$2:$I$2025))</f>
        <v>0</v>
      </c>
      <c r="I762" s="53" t="str">
        <f>SUM(IF([1]!Table13[ID]=B762,[1]!Table13[QTY]))</f>
        <v>#ERROR!</v>
      </c>
      <c r="J762" s="53" t="str">
        <f>TABLEITEM!$H$3:$H$1138-TABLEITEM!$I$3:$I$1138</f>
        <v>#ERROR!</v>
      </c>
      <c r="K762" s="56"/>
      <c r="L762" s="56"/>
      <c r="M762" s="56"/>
      <c r="N762" s="56"/>
      <c r="O762" s="56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8.0" hidden="1" customHeight="1">
      <c r="A763" s="47">
        <v>762.0</v>
      </c>
      <c r="B763" s="2" t="s">
        <v>944</v>
      </c>
      <c r="C763" s="2" t="s">
        <v>2599</v>
      </c>
      <c r="D763" s="2" t="s">
        <v>3713</v>
      </c>
      <c r="E763" s="51" t="s">
        <v>3087</v>
      </c>
      <c r="F763" s="47"/>
      <c r="G763" s="52">
        <f t="array" ref="G763">MAX(IF(INSTOCK!$H$2:$H$2025=B763,INSTOCK!$K$2:$K$2025))</f>
        <v>300</v>
      </c>
      <c r="H763" s="53">
        <f>SUM(IF(INSTOCK!$H$2:$H$2025=B763,INSTOCK!$I$2:$I$2025))</f>
        <v>0</v>
      </c>
      <c r="I763" s="53" t="str">
        <f>SUM(IF([1]!Table13[ID]=B763,[1]!Table13[QTY]))</f>
        <v>#ERROR!</v>
      </c>
      <c r="J763" s="53" t="str">
        <f>TABLEITEM!$H$3:$H$1138-TABLEITEM!$I$3:$I$1138</f>
        <v>#ERROR!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hidden="1" customHeight="1">
      <c r="A764" s="47">
        <v>763.0</v>
      </c>
      <c r="B764" s="2" t="s">
        <v>842</v>
      </c>
      <c r="C764" s="2" t="s">
        <v>2599</v>
      </c>
      <c r="D764" s="2" t="s">
        <v>3714</v>
      </c>
      <c r="E764" s="51" t="s">
        <v>3087</v>
      </c>
      <c r="F764" s="47"/>
      <c r="G764" s="52">
        <f t="array" ref="G764">MAX(IF(INSTOCK!$H$2:$H$2025=B764,INSTOCK!$K$2:$K$2025))</f>
        <v>75</v>
      </c>
      <c r="H764" s="53">
        <f>SUM(IF(INSTOCK!$H$2:$H$2025=B764,INSTOCK!$I$2:$I$2025))</f>
        <v>0</v>
      </c>
      <c r="I764" s="53" t="str">
        <f>SUM(IF([1]!Table13[ID]=B764,[1]!Table13[QTY]))</f>
        <v>#ERROR!</v>
      </c>
      <c r="J764" s="53" t="str">
        <f>TABLEITEM!$H$3:$H$1138-TABLEITEM!$I$3:$I$1138</f>
        <v>#ERROR!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hidden="1" customHeight="1">
      <c r="A765" s="47">
        <v>764.0</v>
      </c>
      <c r="B765" s="2" t="s">
        <v>814</v>
      </c>
      <c r="C765" s="2" t="s">
        <v>2599</v>
      </c>
      <c r="D765" s="22" t="s">
        <v>3715</v>
      </c>
      <c r="E765" s="51" t="s">
        <v>3087</v>
      </c>
      <c r="F765" s="47"/>
      <c r="G765" s="52">
        <f t="array" ref="G765">MAX(IF(INSTOCK!$H$2:$H$2025=B765,INSTOCK!$K$2:$K$2025))</f>
        <v>40</v>
      </c>
      <c r="H765" s="53">
        <f>SUM(IF(INSTOCK!$H$2:$H$2025=B765,INSTOCK!$I$2:$I$2025))</f>
        <v>0</v>
      </c>
      <c r="I765" s="53" t="str">
        <f>SUM(IF([1]!Table13[ID]=B765,[1]!Table13[QTY]))</f>
        <v>#ERROR!</v>
      </c>
      <c r="J765" s="53" t="str">
        <f>TABLEITEM!$H$3:$H$1138-TABLEITEM!$I$3:$I$1138</f>
        <v>#ERROR!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hidden="1" customHeight="1">
      <c r="A766" s="47">
        <v>765.0</v>
      </c>
      <c r="B766" s="2" t="s">
        <v>801</v>
      </c>
      <c r="C766" s="2" t="s">
        <v>2599</v>
      </c>
      <c r="D766" s="2" t="s">
        <v>3716</v>
      </c>
      <c r="E766" s="51" t="s">
        <v>3087</v>
      </c>
      <c r="F766" s="47"/>
      <c r="G766" s="52">
        <f t="array" ref="G766">MAX(IF(INSTOCK!$H$2:$H$2025=B766,INSTOCK!$K$2:$K$2025))</f>
        <v>25</v>
      </c>
      <c r="H766" s="53">
        <f>SUM(IF(INSTOCK!$H$2:$H$2025=B766,INSTOCK!$I$2:$I$2025))</f>
        <v>0</v>
      </c>
      <c r="I766" s="53" t="str">
        <f>SUM(IF([1]!Table13[ID]=B766,[1]!Table13[QTY]))</f>
        <v>#ERROR!</v>
      </c>
      <c r="J766" s="53" t="str">
        <f>TABLEITEM!$H$3:$H$1138-TABLEITEM!$I$3:$I$1138</f>
        <v>#ERROR!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hidden="1" customHeight="1">
      <c r="A767" s="47">
        <v>766.0</v>
      </c>
      <c r="B767" s="2" t="s">
        <v>925</v>
      </c>
      <c r="C767" s="2" t="s">
        <v>2599</v>
      </c>
      <c r="D767" s="2" t="s">
        <v>3717</v>
      </c>
      <c r="E767" s="51" t="s">
        <v>3087</v>
      </c>
      <c r="F767" s="47"/>
      <c r="G767" s="52">
        <f t="array" ref="G767">MAX(IF(INSTOCK!$H$2:$H$2025=B767,INSTOCK!$K$2:$K$2025))</f>
        <v>240</v>
      </c>
      <c r="H767" s="53">
        <f>SUM(IF(INSTOCK!$H$2:$H$2025=B767,INSTOCK!$I$2:$I$2025))</f>
        <v>0</v>
      </c>
      <c r="I767" s="53" t="str">
        <f>SUM(IF([1]!Table13[ID]=B767,[1]!Table13[QTY]))</f>
        <v>#ERROR!</v>
      </c>
      <c r="J767" s="53" t="str">
        <f>TABLEITEM!$H$3:$H$1138-TABLEITEM!$I$3:$I$1138</f>
        <v>#ERROR!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hidden="1" customHeight="1">
      <c r="A768" s="47">
        <v>767.0</v>
      </c>
      <c r="B768" s="2" t="s">
        <v>764</v>
      </c>
      <c r="C768" s="2" t="s">
        <v>2599</v>
      </c>
      <c r="D768" s="2" t="s">
        <v>3718</v>
      </c>
      <c r="E768" s="51" t="s">
        <v>3087</v>
      </c>
      <c r="F768" s="47"/>
      <c r="G768" s="52">
        <f t="array" ref="G768">MAX(IF(INSTOCK!$H$2:$H$2025=B768,INSTOCK!$K$2:$K$2025))</f>
        <v>25</v>
      </c>
      <c r="H768" s="53">
        <f>SUM(IF(INSTOCK!$H$2:$H$2025=B768,INSTOCK!$I$2:$I$2025))</f>
        <v>0</v>
      </c>
      <c r="I768" s="53" t="str">
        <f>SUM(IF([1]!Table13[ID]=B768,[1]!Table13[QTY]))</f>
        <v>#ERROR!</v>
      </c>
      <c r="J768" s="53" t="str">
        <f>TABLEITEM!$H$3:$H$1138-TABLEITEM!$I$3:$I$1138</f>
        <v>#ERROR!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hidden="1" customHeight="1">
      <c r="A769" s="47">
        <v>768.0</v>
      </c>
      <c r="B769" s="2" t="s">
        <v>905</v>
      </c>
      <c r="C769" s="2" t="s">
        <v>2599</v>
      </c>
      <c r="D769" s="2" t="s">
        <v>3719</v>
      </c>
      <c r="E769" s="51" t="s">
        <v>3087</v>
      </c>
      <c r="F769" s="47"/>
      <c r="G769" s="52">
        <f t="array" ref="G769">MAX(IF(INSTOCK!$H$2:$H$2025=B769,INSTOCK!$K$2:$K$2025))</f>
        <v>90</v>
      </c>
      <c r="H769" s="53">
        <f>SUM(IF(INSTOCK!$H$2:$H$2025=B769,INSTOCK!$I$2:$I$2025))</f>
        <v>0</v>
      </c>
      <c r="I769" s="53" t="str">
        <f>SUM(IF([1]!Table13[ID]=B769,[1]!Table13[QTY]))</f>
        <v>#ERROR!</v>
      </c>
      <c r="J769" s="53" t="str">
        <f>TABLEITEM!$H$3:$H$1138-TABLEITEM!$I$3:$I$1138</f>
        <v>#ERROR!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hidden="1" customHeight="1">
      <c r="A770" s="47">
        <v>769.0</v>
      </c>
      <c r="B770" s="2" t="s">
        <v>3720</v>
      </c>
      <c r="C770" s="2" t="s">
        <v>2595</v>
      </c>
      <c r="D770" s="2" t="s">
        <v>3721</v>
      </c>
      <c r="E770" s="51"/>
      <c r="F770" s="47"/>
      <c r="G770" s="52">
        <f t="array" ref="G770">MAX(IF(INSTOCK!$H$2:$H$2025=B770,INSTOCK!$K$2:$K$2025))</f>
        <v>0</v>
      </c>
      <c r="H770" s="53">
        <f>SUM(IF(INSTOCK!$H$2:$H$2025=B770,INSTOCK!$I$2:$I$2025))</f>
        <v>0</v>
      </c>
      <c r="I770" s="53" t="str">
        <f>SUM(IF([1]!Table13[ID]=B770,[1]!Table13[QTY]))</f>
        <v>#ERROR!</v>
      </c>
      <c r="J770" s="53" t="str">
        <f>TABLEITEM!$H$3:$H$1138-TABLEITEM!$I$3:$I$1138</f>
        <v>#ERROR!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hidden="1" customHeight="1">
      <c r="A771" s="47">
        <v>770.0</v>
      </c>
      <c r="B771" s="2" t="s">
        <v>3722</v>
      </c>
      <c r="C771" s="2" t="s">
        <v>2595</v>
      </c>
      <c r="D771" s="2" t="s">
        <v>3723</v>
      </c>
      <c r="E771" s="51"/>
      <c r="F771" s="47"/>
      <c r="G771" s="52">
        <f t="array" ref="G771">MAX(IF(INSTOCK!$H$2:$H$2025=B771,INSTOCK!$K$2:$K$2025))</f>
        <v>0</v>
      </c>
      <c r="H771" s="53">
        <f>SUM(IF(INSTOCK!$H$2:$H$2025=B771,INSTOCK!$I$2:$I$2025))</f>
        <v>0</v>
      </c>
      <c r="I771" s="53" t="str">
        <f>SUM(IF([1]!Table13[ID]=B771,[1]!Table13[QTY]))</f>
        <v>#ERROR!</v>
      </c>
      <c r="J771" s="53" t="str">
        <f>TABLEITEM!$H$3:$H$1138-TABLEITEM!$I$3:$I$1138</f>
        <v>#ERROR!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hidden="1" customHeight="1">
      <c r="A772" s="47">
        <v>771.0</v>
      </c>
      <c r="B772" s="2" t="s">
        <v>3724</v>
      </c>
      <c r="C772" s="2" t="s">
        <v>2595</v>
      </c>
      <c r="D772" s="2" t="s">
        <v>3725</v>
      </c>
      <c r="E772" s="51"/>
      <c r="F772" s="47"/>
      <c r="G772" s="52">
        <f t="array" ref="G772">MAX(IF(INSTOCK!$H$2:$H$2025=B772,INSTOCK!$K$2:$K$2025))</f>
        <v>0</v>
      </c>
      <c r="H772" s="53">
        <f>SUM(IF(INSTOCK!$H$2:$H$2025=B772,INSTOCK!$I$2:$I$2025))</f>
        <v>0</v>
      </c>
      <c r="I772" s="53" t="str">
        <f>SUM(IF([1]!Table13[ID]=B772,[1]!Table13[QTY]))</f>
        <v>#ERROR!</v>
      </c>
      <c r="J772" s="53" t="str">
        <f>TABLEITEM!$H$3:$H$1138-TABLEITEM!$I$3:$I$1138</f>
        <v>#ERROR!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hidden="1" customHeight="1">
      <c r="A773" s="47">
        <v>772.0</v>
      </c>
      <c r="B773" s="2" t="s">
        <v>3726</v>
      </c>
      <c r="C773" s="2" t="s">
        <v>1056</v>
      </c>
      <c r="D773" s="2" t="s">
        <v>3727</v>
      </c>
      <c r="E773" s="51"/>
      <c r="F773" s="47"/>
      <c r="G773" s="52">
        <f t="array" ref="G773">MAX(IF(INSTOCK!$H$2:$H$2025=B773,INSTOCK!$K$2:$K$2025))</f>
        <v>0</v>
      </c>
      <c r="H773" s="53">
        <f>SUM(IF(INSTOCK!$H$2:$H$2025=B773,INSTOCK!$I$2:$I$2025))</f>
        <v>0</v>
      </c>
      <c r="I773" s="53" t="str">
        <f>SUM(IF([1]!Table13[ID]=B773,[1]!Table13[QTY]))</f>
        <v>#ERROR!</v>
      </c>
      <c r="J773" s="53" t="str">
        <f>TABLEITEM!$H$3:$H$1138-TABLEITEM!$I$3:$I$1138</f>
        <v>#ERROR!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hidden="1" customHeight="1">
      <c r="A774" s="47">
        <v>773.0</v>
      </c>
      <c r="B774" s="2" t="s">
        <v>414</v>
      </c>
      <c r="C774" s="2" t="s">
        <v>1056</v>
      </c>
      <c r="D774" s="2" t="s">
        <v>3728</v>
      </c>
      <c r="E774" s="51" t="s">
        <v>3610</v>
      </c>
      <c r="F774" s="47"/>
      <c r="G774" s="52">
        <f t="array" ref="G774">MAX(IF(INSTOCK!$H$2:$H$2025=B774,INSTOCK!$K$2:$K$2025))</f>
        <v>381.66</v>
      </c>
      <c r="H774" s="53">
        <f>SUM(IF(INSTOCK!$H$2:$H$2025=B774,INSTOCK!$I$2:$I$2025))</f>
        <v>0</v>
      </c>
      <c r="I774" s="53" t="str">
        <f>SUM(IF([1]!Table13[ID]=B774,[1]!Table13[QTY]))</f>
        <v>#ERROR!</v>
      </c>
      <c r="J774" s="53" t="str">
        <f>TABLEITEM!$H$3:$H$1138-TABLEITEM!$I$3:$I$1138</f>
        <v>#ERROR!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hidden="1" customHeight="1">
      <c r="A775" s="47">
        <v>774.0</v>
      </c>
      <c r="B775" s="2" t="s">
        <v>3729</v>
      </c>
      <c r="C775" s="2" t="s">
        <v>1056</v>
      </c>
      <c r="D775" s="2" t="s">
        <v>3730</v>
      </c>
      <c r="E775" s="51" t="s">
        <v>3087</v>
      </c>
      <c r="F775" s="47"/>
      <c r="G775" s="52">
        <f t="array" ref="G775">MAX(IF(INSTOCK!$H$2:$H$2025=B775,INSTOCK!$K$2:$K$2025))</f>
        <v>0</v>
      </c>
      <c r="H775" s="53">
        <f>SUM(IF(INSTOCK!$H$2:$H$2025=B775,INSTOCK!$I$2:$I$2025))</f>
        <v>0</v>
      </c>
      <c r="I775" s="53" t="str">
        <f>SUM(IF([1]!Table13[ID]=B775,[1]!Table13[QTY]))</f>
        <v>#ERROR!</v>
      </c>
      <c r="J775" s="53" t="str">
        <f>TABLEITEM!$H$3:$H$1138-TABLEITEM!$I$3:$I$1138</f>
        <v>#ERROR!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hidden="1" customHeight="1">
      <c r="A776" s="47">
        <v>775.0</v>
      </c>
      <c r="B776" s="2" t="s">
        <v>910</v>
      </c>
      <c r="C776" s="2" t="s">
        <v>2599</v>
      </c>
      <c r="D776" s="2" t="s">
        <v>3731</v>
      </c>
      <c r="E776" s="51" t="s">
        <v>3087</v>
      </c>
      <c r="F776" s="47"/>
      <c r="G776" s="52">
        <f t="array" ref="G776">MAX(IF(INSTOCK!$H$2:$H$2025=B776,INSTOCK!$K$2:$K$2025))</f>
        <v>135</v>
      </c>
      <c r="H776" s="53">
        <f>SUM(IF(INSTOCK!$H$2:$H$2025=B776,INSTOCK!$I$2:$I$2025))</f>
        <v>0</v>
      </c>
      <c r="I776" s="53" t="str">
        <f>SUM(IF([1]!Table13[ID]=B776,[1]!Table13[QTY]))</f>
        <v>#ERROR!</v>
      </c>
      <c r="J776" s="53" t="str">
        <f>TABLEITEM!$H$3:$H$1138-TABLEITEM!$I$3:$I$1138</f>
        <v>#ERROR!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hidden="1" customHeight="1">
      <c r="A777" s="47">
        <v>776.0</v>
      </c>
      <c r="B777" s="2" t="s">
        <v>369</v>
      </c>
      <c r="C777" s="2" t="s">
        <v>1056</v>
      </c>
      <c r="D777" s="2" t="s">
        <v>3732</v>
      </c>
      <c r="E777" s="51"/>
      <c r="F777" s="47"/>
      <c r="G777" s="52">
        <f t="array" ref="G777">MAX(IF(INSTOCK!$H$2:$H$2025=B777,INSTOCK!$K$2:$K$2025))</f>
        <v>90</v>
      </c>
      <c r="H777" s="53">
        <f>SUM(IF(INSTOCK!$H$2:$H$2025=B777,INSTOCK!$I$2:$I$2025))</f>
        <v>0</v>
      </c>
      <c r="I777" s="53" t="str">
        <f>SUM(IF([1]!Table13[ID]=B777,[1]!Table13[QTY]))</f>
        <v>#ERROR!</v>
      </c>
      <c r="J777" s="53" t="str">
        <f>TABLEITEM!$H$3:$H$1138-TABLEITEM!$I$3:$I$1138</f>
        <v>#ERROR!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47">
        <v>777.0</v>
      </c>
      <c r="B778" s="2" t="s">
        <v>3733</v>
      </c>
      <c r="C778" s="2" t="s">
        <v>1056</v>
      </c>
      <c r="D778" s="2" t="s">
        <v>3734</v>
      </c>
      <c r="E778" s="51"/>
      <c r="F778" s="47"/>
      <c r="G778" s="52">
        <f t="array" ref="G778">MAX(IF(INSTOCK!$H$2:$H$2025=B778,INSTOCK!$K$2:$K$2025))</f>
        <v>0</v>
      </c>
      <c r="H778" s="53">
        <f>SUM(IF(INSTOCK!$H$2:$H$2025=B778,INSTOCK!$I$2:$I$2025))</f>
        <v>0</v>
      </c>
      <c r="I778" s="53" t="str">
        <f>SUM(IF([1]!Table13[ID]=B778,[1]!Table13[QTY]))</f>
        <v>#ERROR!</v>
      </c>
      <c r="J778" s="53" t="str">
        <f>TABLEITEM!$H$3:$H$1138-TABLEITEM!$I$3:$I$1138</f>
        <v>#ERROR!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hidden="1" customHeight="1">
      <c r="A779" s="47">
        <v>778.0</v>
      </c>
      <c r="B779" s="2" t="s">
        <v>3735</v>
      </c>
      <c r="C779" s="2" t="s">
        <v>1056</v>
      </c>
      <c r="D779" s="2" t="s">
        <v>3736</v>
      </c>
      <c r="E779" s="51" t="s">
        <v>3087</v>
      </c>
      <c r="F779" s="47"/>
      <c r="G779" s="52">
        <f t="array" ref="G779">MAX(IF(INSTOCK!$H$2:$H$2025=B779,INSTOCK!$K$2:$K$2025))</f>
        <v>0</v>
      </c>
      <c r="H779" s="53">
        <f>SUM(IF(INSTOCK!$H$2:$H$2025=B779,INSTOCK!$I$2:$I$2025))</f>
        <v>0</v>
      </c>
      <c r="I779" s="53" t="str">
        <f>SUM(IF([1]!Table13[ID]=B779,[1]!Table13[QTY]))</f>
        <v>#ERROR!</v>
      </c>
      <c r="J779" s="53" t="str">
        <f>TABLEITEM!$H$3:$H$1138-TABLEITEM!$I$3:$I$1138</f>
        <v>#ERROR!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hidden="1" customHeight="1">
      <c r="A780" s="47">
        <v>779.0</v>
      </c>
      <c r="B780" s="2" t="s">
        <v>3737</v>
      </c>
      <c r="C780" s="2" t="s">
        <v>1056</v>
      </c>
      <c r="D780" s="2" t="s">
        <v>3738</v>
      </c>
      <c r="E780" s="51"/>
      <c r="F780" s="47"/>
      <c r="G780" s="52">
        <f t="array" ref="G780">MAX(IF(INSTOCK!$H$2:$H$2025=B780,INSTOCK!$K$2:$K$2025))</f>
        <v>0</v>
      </c>
      <c r="H780" s="53">
        <f>SUM(IF(INSTOCK!$H$2:$H$2025=B780,INSTOCK!$I$2:$I$2025))</f>
        <v>0</v>
      </c>
      <c r="I780" s="53" t="str">
        <f>SUM(IF([1]!Table13[ID]=B780,[1]!Table13[QTY]))</f>
        <v>#ERROR!</v>
      </c>
      <c r="J780" s="53" t="str">
        <f>TABLEITEM!$H$3:$H$1138-TABLEITEM!$I$3:$I$1138</f>
        <v>#ERROR!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hidden="1" customHeight="1">
      <c r="A781" s="47">
        <v>780.0</v>
      </c>
      <c r="B781" s="2" t="s">
        <v>3739</v>
      </c>
      <c r="C781" s="2" t="s">
        <v>1056</v>
      </c>
      <c r="D781" s="2" t="s">
        <v>3740</v>
      </c>
      <c r="E781" s="51"/>
      <c r="F781" s="47"/>
      <c r="G781" s="52">
        <f t="array" ref="G781">MAX(IF(INSTOCK!$H$2:$H$2025=B781,INSTOCK!$K$2:$K$2025))</f>
        <v>0</v>
      </c>
      <c r="H781" s="53">
        <f>SUM(IF(INSTOCK!$H$2:$H$2025=B781,INSTOCK!$I$2:$I$2025))</f>
        <v>0</v>
      </c>
      <c r="I781" s="53" t="str">
        <f>SUM(IF([1]!Table13[ID]=B781,[1]!Table13[QTY]))</f>
        <v>#ERROR!</v>
      </c>
      <c r="J781" s="53" t="str">
        <f>TABLEITEM!$H$3:$H$1138-TABLEITEM!$I$3:$I$1138</f>
        <v>#ERROR!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hidden="1" customHeight="1">
      <c r="A782" s="47">
        <v>781.0</v>
      </c>
      <c r="B782" s="2" t="s">
        <v>3741</v>
      </c>
      <c r="C782" s="2" t="s">
        <v>1056</v>
      </c>
      <c r="D782" s="2" t="s">
        <v>3742</v>
      </c>
      <c r="E782" s="51"/>
      <c r="F782" s="47"/>
      <c r="G782" s="52">
        <f t="array" ref="G782">MAX(IF(INSTOCK!$H$2:$H$2025=B782,INSTOCK!$K$2:$K$2025))</f>
        <v>0</v>
      </c>
      <c r="H782" s="53">
        <f>SUM(IF(INSTOCK!$H$2:$H$2025=B782,INSTOCK!$I$2:$I$2025))</f>
        <v>0</v>
      </c>
      <c r="I782" s="53" t="str">
        <f>SUM(IF([1]!Table13[ID]=B782,[1]!Table13[QTY]))</f>
        <v>#ERROR!</v>
      </c>
      <c r="J782" s="53" t="str">
        <f>TABLEITEM!$H$3:$H$1138-TABLEITEM!$I$3:$I$1138</f>
        <v>#ERROR!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hidden="1" customHeight="1">
      <c r="A783" s="47">
        <v>782.0</v>
      </c>
      <c r="B783" s="2" t="s">
        <v>3743</v>
      </c>
      <c r="C783" s="2" t="s">
        <v>1056</v>
      </c>
      <c r="D783" s="2" t="s">
        <v>3744</v>
      </c>
      <c r="E783" s="51" t="s">
        <v>3610</v>
      </c>
      <c r="F783" s="47"/>
      <c r="G783" s="52">
        <f t="array" ref="G783">MAX(IF(INSTOCK!$H$2:$H$2025=B783,INSTOCK!$K$2:$K$2025))</f>
        <v>0</v>
      </c>
      <c r="H783" s="53">
        <f>SUM(IF(INSTOCK!$H$2:$H$2025=B783,INSTOCK!$I$2:$I$2025))</f>
        <v>0</v>
      </c>
      <c r="I783" s="53" t="str">
        <f>SUM(IF([1]!Table13[ID]=B783,[1]!Table13[QTY]))</f>
        <v>#ERROR!</v>
      </c>
      <c r="J783" s="53" t="str">
        <f>TABLEITEM!$H$3:$H$1138-TABLEITEM!$I$3:$I$1138</f>
        <v>#ERROR!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hidden="1" customHeight="1">
      <c r="A784" s="47">
        <v>783.0</v>
      </c>
      <c r="B784" s="2" t="s">
        <v>199</v>
      </c>
      <c r="C784" s="2" t="s">
        <v>1056</v>
      </c>
      <c r="D784" s="2" t="s">
        <v>3745</v>
      </c>
      <c r="E784" s="51"/>
      <c r="F784" s="47"/>
      <c r="G784" s="52">
        <f t="array" ref="G784">MAX(IF(INSTOCK!$H$2:$H$2025=B784,INSTOCK!$K$2:$K$2025))</f>
        <v>113.33</v>
      </c>
      <c r="H784" s="53">
        <f>SUM(IF(INSTOCK!$H$2:$H$2025=B784,INSTOCK!$I$2:$I$2025))</f>
        <v>0</v>
      </c>
      <c r="I784" s="53" t="str">
        <f>SUM(IF([1]!Table13[ID]=B784,[1]!Table13[QTY]))</f>
        <v>#ERROR!</v>
      </c>
      <c r="J784" s="53" t="str">
        <f>TABLEITEM!$H$3:$H$1138-TABLEITEM!$I$3:$I$1138</f>
        <v>#ERROR!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hidden="1" customHeight="1">
      <c r="A785" s="47">
        <v>784.0</v>
      </c>
      <c r="B785" s="2" t="s">
        <v>929</v>
      </c>
      <c r="C785" s="2" t="s">
        <v>2599</v>
      </c>
      <c r="D785" s="2" t="s">
        <v>3746</v>
      </c>
      <c r="E785" s="51" t="s">
        <v>3087</v>
      </c>
      <c r="F785" s="47"/>
      <c r="G785" s="52">
        <f t="array" ref="G785">MAX(IF(INSTOCK!$H$2:$H$2025=B785,INSTOCK!$K$2:$K$2025))</f>
        <v>150</v>
      </c>
      <c r="H785" s="53">
        <f>SUM(IF(INSTOCK!$H$2:$H$2025=B785,INSTOCK!$I$2:$I$2025))</f>
        <v>0</v>
      </c>
      <c r="I785" s="53" t="str">
        <f>SUM(IF([1]!Table13[ID]=B785,[1]!Table13[QTY]))</f>
        <v>#ERROR!</v>
      </c>
      <c r="J785" s="53" t="str">
        <f>TABLEITEM!$H$3:$H$1138-TABLEITEM!$I$3:$I$1138</f>
        <v>#ERROR!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hidden="1" customHeight="1">
      <c r="A786" s="47">
        <v>785.0</v>
      </c>
      <c r="B786" s="2" t="s">
        <v>898</v>
      </c>
      <c r="C786" s="2" t="s">
        <v>2599</v>
      </c>
      <c r="D786" s="2" t="s">
        <v>3747</v>
      </c>
      <c r="E786" s="51" t="s">
        <v>3087</v>
      </c>
      <c r="F786" s="47"/>
      <c r="G786" s="52">
        <f t="array" ref="G786">MAX(IF(INSTOCK!$H$2:$H$2025=B786,INSTOCK!$K$2:$K$2025))</f>
        <v>160</v>
      </c>
      <c r="H786" s="53">
        <f>SUM(IF(INSTOCK!$H$2:$H$2025=B786,INSTOCK!$I$2:$I$2025))</f>
        <v>0</v>
      </c>
      <c r="I786" s="53" t="str">
        <f>SUM(IF([1]!Table13[ID]=B786,[1]!Table13[QTY]))</f>
        <v>#ERROR!</v>
      </c>
      <c r="J786" s="53" t="str">
        <f>TABLEITEM!$H$3:$H$1138-TABLEITEM!$I$3:$I$1138</f>
        <v>#ERROR!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hidden="1" customHeight="1">
      <c r="A787" s="47">
        <v>786.0</v>
      </c>
      <c r="B787" s="2" t="s">
        <v>935</v>
      </c>
      <c r="C787" s="2" t="s">
        <v>2599</v>
      </c>
      <c r="D787" s="2" t="s">
        <v>3748</v>
      </c>
      <c r="E787" s="51" t="s">
        <v>3087</v>
      </c>
      <c r="F787" s="47"/>
      <c r="G787" s="52">
        <f t="array" ref="G787">MAX(IF(INSTOCK!$H$2:$H$2025=B787,INSTOCK!$K$2:$K$2025))</f>
        <v>180</v>
      </c>
      <c r="H787" s="53">
        <f>SUM(IF(INSTOCK!$H$2:$H$2025=B787,INSTOCK!$I$2:$I$2025))</f>
        <v>0</v>
      </c>
      <c r="I787" s="53" t="str">
        <f>SUM(IF([1]!Table13[ID]=B787,[1]!Table13[QTY]))</f>
        <v>#ERROR!</v>
      </c>
      <c r="J787" s="53" t="str">
        <f>TABLEITEM!$H$3:$H$1138-TABLEITEM!$I$3:$I$1138</f>
        <v>#ERROR!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hidden="1" customHeight="1">
      <c r="A788" s="47">
        <v>787.0</v>
      </c>
      <c r="B788" s="2" t="s">
        <v>943</v>
      </c>
      <c r="C788" s="2" t="s">
        <v>2599</v>
      </c>
      <c r="D788" s="2" t="s">
        <v>3749</v>
      </c>
      <c r="E788" s="51" t="s">
        <v>3087</v>
      </c>
      <c r="F788" s="47"/>
      <c r="G788" s="52">
        <f t="array" ref="G788">MAX(IF(INSTOCK!$H$2:$H$2025=B788,INSTOCK!$K$2:$K$2025))</f>
        <v>240</v>
      </c>
      <c r="H788" s="63">
        <f>SUM(IF(INSTOCK!$H$2:$H$2025=B788,INSTOCK!$I$2:$I$2025))</f>
        <v>168345.3</v>
      </c>
      <c r="I788" s="53" t="str">
        <f>SUM(IF([1]!Table13[ID]=B788,[1]!Table13[QTY]))</f>
        <v>#ERROR!</v>
      </c>
      <c r="J788" s="53" t="str">
        <f>TABLEITEM!$H$3:$H$1138-TABLEITEM!$I$3:$I$1138</f>
        <v>#ERROR!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hidden="1" customHeight="1">
      <c r="A789" s="47">
        <v>788.0</v>
      </c>
      <c r="B789" s="2" t="s">
        <v>720</v>
      </c>
      <c r="C789" s="2" t="s">
        <v>2595</v>
      </c>
      <c r="D789" s="2" t="s">
        <v>3750</v>
      </c>
      <c r="E789" s="51"/>
      <c r="F789" s="47"/>
      <c r="G789" s="52">
        <f t="array" ref="G789">MAX(IF(INSTOCK!$H$2:$H$2025=B789,INSTOCK!$K$2:$K$2025))</f>
        <v>0</v>
      </c>
      <c r="H789" s="53">
        <f>SUM(IF(INSTOCK!$H$2:$H$2025=B789,INSTOCK!$I$2:$I$2025))</f>
        <v>0</v>
      </c>
      <c r="I789" s="53" t="str">
        <f>SUM(IF([1]!Table13[ID]=B789,[1]!Table13[QTY]))</f>
        <v>#ERROR!</v>
      </c>
      <c r="J789" s="53" t="str">
        <f>TABLEITEM!$H$3:$H$1138-TABLEITEM!$I$3:$I$1138</f>
        <v>#ERROR!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hidden="1" customHeight="1">
      <c r="A790" s="47">
        <v>789.0</v>
      </c>
      <c r="B790" s="2" t="s">
        <v>718</v>
      </c>
      <c r="C790" s="2" t="s">
        <v>2595</v>
      </c>
      <c r="D790" s="2" t="s">
        <v>3751</v>
      </c>
      <c r="E790" s="51"/>
      <c r="F790" s="47"/>
      <c r="G790" s="52">
        <f t="array" ref="G790">MAX(IF(INSTOCK!$H$2:$H$2025=B790,INSTOCK!$K$2:$K$2025))</f>
        <v>0</v>
      </c>
      <c r="H790" s="53">
        <f>SUM(IF(INSTOCK!$H$2:$H$2025=B790,INSTOCK!$I$2:$I$2025))</f>
        <v>0</v>
      </c>
      <c r="I790" s="53" t="str">
        <f>SUM(IF([1]!Table13[ID]=B790,[1]!Table13[QTY]))</f>
        <v>#ERROR!</v>
      </c>
      <c r="J790" s="53" t="str">
        <f>TABLEITEM!$H$3:$H$1138-TABLEITEM!$I$3:$I$1138</f>
        <v>#ERROR!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hidden="1" customHeight="1">
      <c r="A791" s="47">
        <v>790.0</v>
      </c>
      <c r="B791" s="2" t="s">
        <v>719</v>
      </c>
      <c r="C791" s="2" t="s">
        <v>2595</v>
      </c>
      <c r="D791" s="2" t="s">
        <v>3752</v>
      </c>
      <c r="E791" s="51"/>
      <c r="F791" s="47"/>
      <c r="G791" s="52">
        <f t="array" ref="G791">MAX(IF(INSTOCK!$H$2:$H$2025=B791,INSTOCK!$K$2:$K$2025))</f>
        <v>0</v>
      </c>
      <c r="H791" s="53">
        <f>SUM(IF(INSTOCK!$H$2:$H$2025=B791,INSTOCK!$I$2:$I$2025))</f>
        <v>0</v>
      </c>
      <c r="I791" s="53" t="str">
        <f>SUM(IF([1]!Table13[ID]=B791,[1]!Table13[QTY]))</f>
        <v>#ERROR!</v>
      </c>
      <c r="J791" s="53" t="str">
        <f>TABLEITEM!$H$3:$H$1138-TABLEITEM!$I$3:$I$1138</f>
        <v>#ERROR!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hidden="1" customHeight="1">
      <c r="A792" s="47">
        <v>791.0</v>
      </c>
      <c r="B792" s="2" t="s">
        <v>721</v>
      </c>
      <c r="C792" s="2" t="s">
        <v>2595</v>
      </c>
      <c r="D792" s="2" t="s">
        <v>3753</v>
      </c>
      <c r="E792" s="51"/>
      <c r="F792" s="47"/>
      <c r="G792" s="52">
        <f t="array" ref="G792">MAX(IF(INSTOCK!$H$2:$H$2025=B792,INSTOCK!$K$2:$K$2025))</f>
        <v>0</v>
      </c>
      <c r="H792" s="53">
        <f>SUM(IF(INSTOCK!$H$2:$H$2025=B792,INSTOCK!$I$2:$I$2025))</f>
        <v>0</v>
      </c>
      <c r="I792" s="53" t="str">
        <f>SUM(IF([1]!Table13[ID]=B792,[1]!Table13[QTY]))</f>
        <v>#ERROR!</v>
      </c>
      <c r="J792" s="53" t="str">
        <f>TABLEITEM!$H$3:$H$1138-TABLEITEM!$I$3:$I$1138</f>
        <v>#ERROR!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hidden="1" customHeight="1">
      <c r="A793" s="47">
        <v>792.0</v>
      </c>
      <c r="B793" s="2" t="s">
        <v>758</v>
      </c>
      <c r="C793" s="2" t="s">
        <v>2599</v>
      </c>
      <c r="D793" s="2" t="s">
        <v>3754</v>
      </c>
      <c r="E793" s="51" t="s">
        <v>3087</v>
      </c>
      <c r="F793" s="47"/>
      <c r="G793" s="52">
        <f t="array" ref="G793">MAX(IF(INSTOCK!$H$2:$H$2025=B793,INSTOCK!$K$2:$K$2025))</f>
        <v>38</v>
      </c>
      <c r="H793" s="53">
        <f>SUM(IF(INSTOCK!$H$2:$H$2025=B793,INSTOCK!$I$2:$I$2025))</f>
        <v>0</v>
      </c>
      <c r="I793" s="53" t="str">
        <f>SUM(IF([1]!Table13[ID]=B793,[1]!Table13[QTY]))</f>
        <v>#ERROR!</v>
      </c>
      <c r="J793" s="53" t="str">
        <f>TABLEITEM!$H$3:$H$1138-TABLEITEM!$I$3:$I$1138</f>
        <v>#ERROR!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hidden="1" customHeight="1">
      <c r="A794" s="47">
        <v>793.0</v>
      </c>
      <c r="B794" s="2" t="s">
        <v>920</v>
      </c>
      <c r="C794" s="2" t="s">
        <v>2599</v>
      </c>
      <c r="D794" s="2" t="s">
        <v>3755</v>
      </c>
      <c r="E794" s="51" t="s">
        <v>3087</v>
      </c>
      <c r="F794" s="47"/>
      <c r="G794" s="52">
        <f t="array" ref="G794">MAX(IF(INSTOCK!$H$2:$H$2025=B794,INSTOCK!$K$2:$K$2025))</f>
        <v>210</v>
      </c>
      <c r="H794" s="53">
        <f>SUM(IF(INSTOCK!$H$2:$H$2025=B794,INSTOCK!$I$2:$I$2025))</f>
        <v>0</v>
      </c>
      <c r="I794" s="53" t="str">
        <f>SUM(IF([1]!Table13[ID]=B794,[1]!Table13[QTY]))</f>
        <v>#ERROR!</v>
      </c>
      <c r="J794" s="53" t="str">
        <f>TABLEITEM!$H$3:$H$1138-TABLEITEM!$I$3:$I$1138</f>
        <v>#ERROR!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hidden="1" customHeight="1">
      <c r="A795" s="47">
        <v>794.0</v>
      </c>
      <c r="B795" s="2" t="s">
        <v>835</v>
      </c>
      <c r="C795" s="2" t="s">
        <v>2599</v>
      </c>
      <c r="D795" s="2" t="s">
        <v>3756</v>
      </c>
      <c r="E795" s="51" t="s">
        <v>3087</v>
      </c>
      <c r="F795" s="47"/>
      <c r="G795" s="52">
        <f t="array" ref="G795">MAX(IF(INSTOCK!$H$2:$H$2025=B795,INSTOCK!$K$2:$K$2025))</f>
        <v>95</v>
      </c>
      <c r="H795" s="53">
        <f>SUM(IF(INSTOCK!$H$2:$H$2025=B795,INSTOCK!$I$2:$I$2025))</f>
        <v>0</v>
      </c>
      <c r="I795" s="53" t="str">
        <f>SUM(IF([1]!Table13[ID]=B795,[1]!Table13[QTY]))</f>
        <v>#ERROR!</v>
      </c>
      <c r="J795" s="53" t="str">
        <f>TABLEITEM!$H$3:$H$1138-TABLEITEM!$I$3:$I$1138</f>
        <v>#ERROR!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hidden="1" customHeight="1">
      <c r="A796" s="47">
        <v>795.0</v>
      </c>
      <c r="B796" s="2" t="s">
        <v>3757</v>
      </c>
      <c r="C796" s="2" t="s">
        <v>2595</v>
      </c>
      <c r="D796" s="2" t="s">
        <v>3758</v>
      </c>
      <c r="E796" s="51"/>
      <c r="F796" s="47"/>
      <c r="G796" s="52">
        <f t="array" ref="G796">MAX(IF(INSTOCK!$H$2:$H$2025=B796,INSTOCK!$K$2:$K$2025))</f>
        <v>0</v>
      </c>
      <c r="H796" s="53">
        <f>SUM(IF(INSTOCK!$H$2:$H$2025=B796,INSTOCK!$I$2:$I$2025))</f>
        <v>0</v>
      </c>
      <c r="I796" s="53" t="str">
        <f>SUM(IF([1]!Table13[ID]=B796,[1]!Table13[QTY]))</f>
        <v>#ERROR!</v>
      </c>
      <c r="J796" s="53" t="str">
        <f>TABLEITEM!$H$3:$H$1138-TABLEITEM!$I$3:$I$1138</f>
        <v>#ERROR!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hidden="1" customHeight="1">
      <c r="A797" s="47"/>
      <c r="B797" s="2" t="s">
        <v>444</v>
      </c>
      <c r="C797" s="2" t="s">
        <v>1056</v>
      </c>
      <c r="D797" s="2" t="s">
        <v>3759</v>
      </c>
      <c r="E797" s="51"/>
      <c r="F797" s="47"/>
      <c r="G797" s="52">
        <f t="array" ref="G797">MAX(IF(INSTOCK!$H$2:$H$2025=B797,INSTOCK!$K$2:$K$2025))</f>
        <v>3300</v>
      </c>
      <c r="H797" s="53">
        <f>SUM(IF(INSTOCK!$H$2:$H$2025=B797,INSTOCK!$I$2:$I$2025))</f>
        <v>0</v>
      </c>
      <c r="I797" s="53" t="str">
        <f>SUM(IF([1]!Table13[ID]=B797,[1]!Table13[QTY]))</f>
        <v>#ERROR!</v>
      </c>
      <c r="J797" s="53" t="str">
        <f>TABLEITEM!$H$3:$H$1138-TABLEITEM!$I$3:$I$1138</f>
        <v>#ERROR!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hidden="1" customHeight="1">
      <c r="A798" s="47"/>
      <c r="B798" s="2" t="s">
        <v>449</v>
      </c>
      <c r="C798" s="2" t="s">
        <v>1056</v>
      </c>
      <c r="D798" s="2" t="s">
        <v>3760</v>
      </c>
      <c r="E798" s="51"/>
      <c r="F798" s="47"/>
      <c r="G798" s="52">
        <f t="array" ref="G798">MAX(IF(INSTOCK!$H$2:$H$2025=B798,INSTOCK!$K$2:$K$2025))</f>
        <v>366.67</v>
      </c>
      <c r="H798" s="53">
        <f>SUM(IF(INSTOCK!$H$2:$H$2025=B798,INSTOCK!$I$2:$I$2025))</f>
        <v>0</v>
      </c>
      <c r="I798" s="53" t="str">
        <f>SUM(IF([1]!Table13[ID]=B798,[1]!Table13[QTY]))</f>
        <v>#ERROR!</v>
      </c>
      <c r="J798" s="53" t="str">
        <f>TABLEITEM!$H$3:$H$1138-TABLEITEM!$I$3:$I$1138</f>
        <v>#ERROR!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hidden="1" customHeight="1">
      <c r="A799" s="47"/>
      <c r="B799" s="2" t="s">
        <v>727</v>
      </c>
      <c r="C799" s="2" t="s">
        <v>2595</v>
      </c>
      <c r="D799" s="2" t="s">
        <v>3761</v>
      </c>
      <c r="E799" s="51"/>
      <c r="F799" s="47"/>
      <c r="G799" s="52">
        <f t="array" ref="G799">MAX(IF(INSTOCK!$H$2:$H$2025=B799,INSTOCK!$K$2:$K$2025))</f>
        <v>0</v>
      </c>
      <c r="H799" s="53">
        <f>SUM(IF(INSTOCK!$H$2:$H$2025=B799,INSTOCK!$I$2:$I$2025))</f>
        <v>0</v>
      </c>
      <c r="I799" s="53" t="str">
        <f>SUM(IF([1]!Table13[ID]=B799,[1]!Table13[QTY]))</f>
        <v>#ERROR!</v>
      </c>
      <c r="J799" s="53" t="str">
        <f>TABLEITEM!$H$3:$H$1138-TABLEITEM!$I$3:$I$1138</f>
        <v>#ERROR!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hidden="1" customHeight="1">
      <c r="A800" s="47"/>
      <c r="B800" s="2" t="s">
        <v>728</v>
      </c>
      <c r="C800" s="2" t="s">
        <v>2595</v>
      </c>
      <c r="D800" s="2" t="s">
        <v>3762</v>
      </c>
      <c r="E800" s="51"/>
      <c r="F800" s="47"/>
      <c r="G800" s="52">
        <f t="array" ref="G800">MAX(IF(INSTOCK!$H$2:$H$2025=B800,INSTOCK!$K$2:$K$2025))</f>
        <v>0</v>
      </c>
      <c r="H800" s="53">
        <f>SUM(IF(INSTOCK!$H$2:$H$2025=B800,INSTOCK!$I$2:$I$2025))</f>
        <v>0</v>
      </c>
      <c r="I800" s="53" t="str">
        <f>SUM(IF([1]!Table13[ID]=B800,[1]!Table13[QTY]))</f>
        <v>#ERROR!</v>
      </c>
      <c r="J800" s="53" t="str">
        <f>TABLEITEM!$H$3:$H$1138-TABLEITEM!$I$3:$I$1138</f>
        <v>#ERROR!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hidden="1" customHeight="1">
      <c r="A801" s="47"/>
      <c r="B801" s="2" t="s">
        <v>872</v>
      </c>
      <c r="C801" s="2" t="s">
        <v>2599</v>
      </c>
      <c r="D801" s="22" t="s">
        <v>3763</v>
      </c>
      <c r="E801" s="51" t="s">
        <v>3087</v>
      </c>
      <c r="F801" s="47"/>
      <c r="G801" s="52">
        <f t="array" ref="G801">MAX(IF(INSTOCK!$H$2:$H$2025=B801,INSTOCK!$K$2:$K$2025))</f>
        <v>45</v>
      </c>
      <c r="H801" s="53">
        <f>SUM(IF(INSTOCK!$H$2:$H$2025=B801,INSTOCK!$I$2:$I$2025))</f>
        <v>0</v>
      </c>
      <c r="I801" s="53" t="str">
        <f>SUM(IF([1]!Table13[ID]=B801,[1]!Table13[QTY]))</f>
        <v>#ERROR!</v>
      </c>
      <c r="J801" s="53" t="str">
        <f>TABLEITEM!$H$3:$H$1138-TABLEITEM!$I$3:$I$1138</f>
        <v>#ERROR!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hidden="1" customHeight="1">
      <c r="A802" s="47"/>
      <c r="B802" s="2" t="s">
        <v>894</v>
      </c>
      <c r="C802" s="2" t="s">
        <v>2599</v>
      </c>
      <c r="D802" s="2" t="s">
        <v>3764</v>
      </c>
      <c r="E802" s="51" t="s">
        <v>3087</v>
      </c>
      <c r="F802" s="47"/>
      <c r="G802" s="52">
        <f t="array" ref="G802">MAX(IF(INSTOCK!$H$2:$H$2025=B802,INSTOCK!$K$2:$K$2025))</f>
        <v>115</v>
      </c>
      <c r="H802" s="53">
        <f>SUM(IF(INSTOCK!$H$2:$H$2025=B802,INSTOCK!$I$2:$I$2025))</f>
        <v>0</v>
      </c>
      <c r="I802" s="53" t="str">
        <f>SUM(IF([1]!Table13[ID]=B802,[1]!Table13[QTY]))</f>
        <v>#ERROR!</v>
      </c>
      <c r="J802" s="53" t="str">
        <f>TABLEITEM!$H$3:$H$1138-TABLEITEM!$I$3:$I$1138</f>
        <v>#ERROR!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hidden="1" customHeight="1">
      <c r="A803" s="47"/>
      <c r="B803" s="2" t="s">
        <v>875</v>
      </c>
      <c r="C803" s="2" t="s">
        <v>2599</v>
      </c>
      <c r="D803" s="2" t="s">
        <v>3765</v>
      </c>
      <c r="E803" s="51" t="s">
        <v>3087</v>
      </c>
      <c r="F803" s="47"/>
      <c r="G803" s="52">
        <f t="array" ref="G803">MAX(IF(INSTOCK!$H$2:$H$2025=B803,INSTOCK!$K$2:$K$2025))</f>
        <v>60</v>
      </c>
      <c r="H803" s="53">
        <f>SUM(IF(INSTOCK!$H$2:$H$2025=B803,INSTOCK!$I$2:$I$2025))</f>
        <v>0</v>
      </c>
      <c r="I803" s="53" t="str">
        <f>SUM(IF([1]!Table13[ID]=B803,[1]!Table13[QTY]))</f>
        <v>#ERROR!</v>
      </c>
      <c r="J803" s="53" t="str">
        <f>TABLEITEM!$H$3:$H$1138-TABLEITEM!$I$3:$I$1138</f>
        <v>#ERROR!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hidden="1" customHeight="1">
      <c r="A804" s="47"/>
      <c r="B804" s="2" t="s">
        <v>931</v>
      </c>
      <c r="C804" s="2" t="s">
        <v>2599</v>
      </c>
      <c r="D804" s="2" t="s">
        <v>3766</v>
      </c>
      <c r="E804" s="51" t="s">
        <v>3087</v>
      </c>
      <c r="F804" s="47"/>
      <c r="G804" s="52">
        <f t="array" ref="G804">MAX(IF(INSTOCK!$H$2:$H$2025=B804,INSTOCK!$K$2:$K$2025))</f>
        <v>120</v>
      </c>
      <c r="H804" s="53">
        <f>SUM(IF(INSTOCK!$H$2:$H$2025=B804,INSTOCK!$I$2:$I$2025))</f>
        <v>0</v>
      </c>
      <c r="I804" s="53" t="str">
        <f>SUM(IF([1]!Table13[ID]=B804,[1]!Table13[QTY]))</f>
        <v>#ERROR!</v>
      </c>
      <c r="J804" s="53" t="str">
        <f>TABLEITEM!$H$3:$H$1138-TABLEITEM!$I$3:$I$1138</f>
        <v>#ERROR!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hidden="1" customHeight="1">
      <c r="A805" s="47"/>
      <c r="B805" s="2" t="s">
        <v>865</v>
      </c>
      <c r="C805" s="2" t="s">
        <v>2599</v>
      </c>
      <c r="D805" s="2" t="s">
        <v>3767</v>
      </c>
      <c r="E805" s="51" t="s">
        <v>3087</v>
      </c>
      <c r="F805" s="47"/>
      <c r="G805" s="52">
        <f t="array" ref="G805">MAX(IF(INSTOCK!$H$2:$H$2025=B805,INSTOCK!$K$2:$K$2025))</f>
        <v>45</v>
      </c>
      <c r="H805" s="53">
        <f>SUM(IF(INSTOCK!$H$2:$H$2025=B805,INSTOCK!$I$2:$I$2025))</f>
        <v>0</v>
      </c>
      <c r="I805" s="53" t="str">
        <f>SUM(IF([1]!Table13[ID]=B805,[1]!Table13[QTY]))</f>
        <v>#ERROR!</v>
      </c>
      <c r="J805" s="53" t="str">
        <f>TABLEITEM!$H$3:$H$1138-TABLEITEM!$I$3:$I$1138</f>
        <v>#ERROR!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hidden="1" customHeight="1">
      <c r="A806" s="47"/>
      <c r="B806" s="2" t="s">
        <v>866</v>
      </c>
      <c r="C806" s="2" t="s">
        <v>2599</v>
      </c>
      <c r="D806" s="2" t="s">
        <v>3768</v>
      </c>
      <c r="E806" s="51" t="s">
        <v>3087</v>
      </c>
      <c r="F806" s="47"/>
      <c r="G806" s="52">
        <f t="array" ref="G806">MAX(IF(INSTOCK!$H$2:$H$2025=B806,INSTOCK!$K$2:$K$2025))</f>
        <v>45</v>
      </c>
      <c r="H806" s="53">
        <f>SUM(IF(INSTOCK!$H$2:$H$2025=B806,INSTOCK!$I$2:$I$2025))</f>
        <v>0</v>
      </c>
      <c r="I806" s="53" t="str">
        <f>SUM(IF([1]!Table13[ID]=B806,[1]!Table13[QTY]))</f>
        <v>#ERROR!</v>
      </c>
      <c r="J806" s="53" t="str">
        <f>TABLEITEM!$H$3:$H$1138-TABLEITEM!$I$3:$I$1138</f>
        <v>#ERROR!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hidden="1" customHeight="1">
      <c r="A807" s="47"/>
      <c r="B807" s="2" t="s">
        <v>790</v>
      </c>
      <c r="C807" s="2" t="s">
        <v>2599</v>
      </c>
      <c r="D807" s="2" t="s">
        <v>3769</v>
      </c>
      <c r="E807" s="51" t="s">
        <v>3087</v>
      </c>
      <c r="F807" s="47"/>
      <c r="G807" s="52">
        <f t="array" ref="G807">MAX(IF(INSTOCK!$H$2:$H$2025=B807,INSTOCK!$K$2:$K$2025))</f>
        <v>25</v>
      </c>
      <c r="H807" s="53">
        <f>SUM(IF(INSTOCK!$H$2:$H$2025=B807,INSTOCK!$I$2:$I$2025))</f>
        <v>0</v>
      </c>
      <c r="I807" s="53" t="str">
        <f>SUM(IF([1]!Table13[ID]=B807,[1]!Table13[QTY]))</f>
        <v>#ERROR!</v>
      </c>
      <c r="J807" s="53" t="str">
        <f>TABLEITEM!$H$3:$H$1138-TABLEITEM!$I$3:$I$1138</f>
        <v>#ERROR!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hidden="1" customHeight="1">
      <c r="A808" s="47"/>
      <c r="B808" s="2" t="s">
        <v>748</v>
      </c>
      <c r="C808" s="2" t="s">
        <v>2599</v>
      </c>
      <c r="D808" s="2" t="s">
        <v>3770</v>
      </c>
      <c r="E808" s="51" t="s">
        <v>3087</v>
      </c>
      <c r="F808" s="47"/>
      <c r="G808" s="52">
        <f t="array" ref="G808">MAX(IF(INSTOCK!$H$2:$H$2025=B808,INSTOCK!$K$2:$K$2025))</f>
        <v>38</v>
      </c>
      <c r="H808" s="53">
        <f>SUM(IF(INSTOCK!$H$2:$H$2025=B808,INSTOCK!$I$2:$I$2025))</f>
        <v>0</v>
      </c>
      <c r="I808" s="53" t="str">
        <f>SUM(IF([1]!Table13[ID]=B808,[1]!Table13[QTY]))</f>
        <v>#ERROR!</v>
      </c>
      <c r="J808" s="53" t="str">
        <f>TABLEITEM!$H$3:$H$1138-TABLEITEM!$I$3:$I$1138</f>
        <v>#ERROR!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hidden="1" customHeight="1">
      <c r="A809" s="47"/>
      <c r="B809" s="2" t="s">
        <v>961</v>
      </c>
      <c r="C809" s="2" t="s">
        <v>2599</v>
      </c>
      <c r="D809" s="2" t="s">
        <v>3771</v>
      </c>
      <c r="E809" s="51" t="s">
        <v>3087</v>
      </c>
      <c r="F809" s="47"/>
      <c r="G809" s="52">
        <f t="array" ref="G809">MAX(IF(INSTOCK!$H$2:$H$2025=B809,INSTOCK!$K$2:$K$2025))</f>
        <v>480</v>
      </c>
      <c r="H809" s="63">
        <f>SUM(IF(INSTOCK!$H$2:$H$2025=B809,INSTOCK!$I$2:$I$2025))</f>
        <v>168345.3</v>
      </c>
      <c r="I809" s="53" t="str">
        <f>SUM(IF([1]!Table13[ID]=B809,[1]!Table13[QTY]))</f>
        <v>#ERROR!</v>
      </c>
      <c r="J809" s="53" t="str">
        <f>TABLEITEM!$H$3:$H$1138-TABLEITEM!$I$3:$I$1138</f>
        <v>#ERROR!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hidden="1" customHeight="1">
      <c r="A810" s="47"/>
      <c r="B810" s="2" t="s">
        <v>810</v>
      </c>
      <c r="C810" s="2" t="s">
        <v>2599</v>
      </c>
      <c r="D810" s="2" t="s">
        <v>3772</v>
      </c>
      <c r="E810" s="51" t="s">
        <v>3087</v>
      </c>
      <c r="F810" s="47"/>
      <c r="G810" s="52">
        <f t="array" ref="G810">MAX(IF(INSTOCK!$H$2:$H$2025=B810,INSTOCK!$K$2:$K$2025))</f>
        <v>50</v>
      </c>
      <c r="H810" s="53">
        <f>SUM(IF(INSTOCK!$H$2:$H$2025=B810,INSTOCK!$I$2:$I$2025))</f>
        <v>0</v>
      </c>
      <c r="I810" s="53" t="str">
        <f>SUM(IF([1]!Table13[ID]=B810,[1]!Table13[QTY]))</f>
        <v>#ERROR!</v>
      </c>
      <c r="J810" s="53" t="str">
        <f>TABLEITEM!$H$3:$H$1138-TABLEITEM!$I$3:$I$1138</f>
        <v>#ERROR!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hidden="1" customHeight="1">
      <c r="A811" s="47"/>
      <c r="B811" s="2" t="s">
        <v>819</v>
      </c>
      <c r="C811" s="2" t="s">
        <v>2599</v>
      </c>
      <c r="D811" s="2" t="s">
        <v>3773</v>
      </c>
      <c r="E811" s="51" t="s">
        <v>3087</v>
      </c>
      <c r="F811" s="47"/>
      <c r="G811" s="52">
        <f t="array" ref="G811">MAX(IF(INSTOCK!$H$2:$H$2025=B811,INSTOCK!$K$2:$K$2025))</f>
        <v>56</v>
      </c>
      <c r="H811" s="53">
        <f>SUM(IF(INSTOCK!$H$2:$H$2025=B811,INSTOCK!$I$2:$I$2025))</f>
        <v>0</v>
      </c>
      <c r="I811" s="53" t="str">
        <f>SUM(IF([1]!Table13[ID]=B811,[1]!Table13[QTY]))</f>
        <v>#ERROR!</v>
      </c>
      <c r="J811" s="53" t="str">
        <f>TABLEITEM!$H$3:$H$1138-TABLEITEM!$I$3:$I$1138</f>
        <v>#ERROR!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hidden="1" customHeight="1">
      <c r="A812" s="47"/>
      <c r="B812" s="2" t="s">
        <v>791</v>
      </c>
      <c r="C812" s="2" t="s">
        <v>2599</v>
      </c>
      <c r="D812" s="2" t="s">
        <v>3774</v>
      </c>
      <c r="E812" s="51" t="s">
        <v>3087</v>
      </c>
      <c r="F812" s="47"/>
      <c r="G812" s="52">
        <f t="array" ref="G812">MAX(IF(INSTOCK!$H$2:$H$2025=B812,INSTOCK!$K$2:$K$2025))</f>
        <v>25</v>
      </c>
      <c r="H812" s="53">
        <f>SUM(IF(INSTOCK!$H$2:$H$2025=B812,INSTOCK!$I$2:$I$2025))</f>
        <v>0</v>
      </c>
      <c r="I812" s="53" t="str">
        <f>SUM(IF([1]!Table13[ID]=B812,[1]!Table13[QTY]))</f>
        <v>#ERROR!</v>
      </c>
      <c r="J812" s="53" t="str">
        <f>TABLEITEM!$H$3:$H$1138-TABLEITEM!$I$3:$I$1138</f>
        <v>#ERROR!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hidden="1" customHeight="1">
      <c r="A813" s="47"/>
      <c r="B813" s="2" t="s">
        <v>815</v>
      </c>
      <c r="C813" s="2" t="s">
        <v>2599</v>
      </c>
      <c r="D813" s="2" t="s">
        <v>3775</v>
      </c>
      <c r="E813" s="51" t="s">
        <v>3087</v>
      </c>
      <c r="F813" s="47"/>
      <c r="G813" s="52">
        <f t="array" ref="G813">MAX(IF(INSTOCK!$H$2:$H$2025=B813,INSTOCK!$K$2:$K$2025))</f>
        <v>35</v>
      </c>
      <c r="H813" s="53">
        <f>SUM(IF(INSTOCK!$H$2:$H$2025=B813,INSTOCK!$I$2:$I$2025))</f>
        <v>0</v>
      </c>
      <c r="I813" s="53" t="str">
        <f>SUM(IF([1]!Table13[ID]=B813,[1]!Table13[QTY]))</f>
        <v>#ERROR!</v>
      </c>
      <c r="J813" s="53" t="str">
        <f>TABLEITEM!$H$3:$H$1138-TABLEITEM!$I$3:$I$1138</f>
        <v>#ERROR!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hidden="1" customHeight="1">
      <c r="A814" s="47"/>
      <c r="B814" s="2" t="s">
        <v>785</v>
      </c>
      <c r="C814" s="2" t="s">
        <v>2599</v>
      </c>
      <c r="D814" s="2" t="s">
        <v>3776</v>
      </c>
      <c r="E814" s="51" t="s">
        <v>3087</v>
      </c>
      <c r="F814" s="47"/>
      <c r="G814" s="52">
        <f t="array" ref="G814">MAX(IF(INSTOCK!$H$2:$H$2025=B814,INSTOCK!$K$2:$K$2025))</f>
        <v>40</v>
      </c>
      <c r="H814" s="53">
        <f>SUM(IF(INSTOCK!$H$2:$H$2025=B814,INSTOCK!$I$2:$I$2025))</f>
        <v>0</v>
      </c>
      <c r="I814" s="53" t="str">
        <f>SUM(IF([1]!Table13[ID]=B814,[1]!Table13[QTY]))</f>
        <v>#ERROR!</v>
      </c>
      <c r="J814" s="53" t="str">
        <f>TABLEITEM!$H$3:$H$1138-TABLEITEM!$I$3:$I$1138</f>
        <v>#ERROR!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hidden="1" customHeight="1">
      <c r="A815" s="47"/>
      <c r="B815" s="2" t="s">
        <v>834</v>
      </c>
      <c r="C815" s="2" t="s">
        <v>2599</v>
      </c>
      <c r="D815" s="2" t="s">
        <v>3777</v>
      </c>
      <c r="E815" s="51" t="s">
        <v>3087</v>
      </c>
      <c r="F815" s="47"/>
      <c r="G815" s="52">
        <f t="array" ref="G815">MAX(IF(INSTOCK!$H$2:$H$2025=B815,INSTOCK!$K$2:$K$2025))</f>
        <v>50</v>
      </c>
      <c r="H815" s="53">
        <f>SUM(IF(INSTOCK!$H$2:$H$2025=B815,INSTOCK!$I$2:$I$2025))</f>
        <v>0</v>
      </c>
      <c r="I815" s="53" t="str">
        <f>SUM(IF([1]!Table13[ID]=B815,[1]!Table13[QTY]))</f>
        <v>#ERROR!</v>
      </c>
      <c r="J815" s="53" t="str">
        <f>TABLEITEM!$H$3:$H$1138-TABLEITEM!$I$3:$I$1138</f>
        <v>#ERROR!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hidden="1" customHeight="1">
      <c r="A816" s="47"/>
      <c r="B816" s="2" t="s">
        <v>877</v>
      </c>
      <c r="C816" s="2" t="s">
        <v>2599</v>
      </c>
      <c r="D816" s="2" t="s">
        <v>3778</v>
      </c>
      <c r="E816" s="51" t="s">
        <v>3087</v>
      </c>
      <c r="F816" s="47"/>
      <c r="G816" s="52">
        <f t="array" ref="G816">MAX(IF(INSTOCK!$H$2:$H$2025=B816,INSTOCK!$K$2:$K$2025))</f>
        <v>60</v>
      </c>
      <c r="H816" s="53">
        <f>SUM(IF(INSTOCK!$H$2:$H$2025=B816,INSTOCK!$I$2:$I$2025))</f>
        <v>0</v>
      </c>
      <c r="I816" s="53" t="str">
        <f>SUM(IF([1]!Table13[ID]=B816,[1]!Table13[QTY]))</f>
        <v>#ERROR!</v>
      </c>
      <c r="J816" s="53" t="str">
        <f>TABLEITEM!$H$3:$H$1138-TABLEITEM!$I$3:$I$1138</f>
        <v>#ERROR!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hidden="1" customHeight="1">
      <c r="A817" s="47"/>
      <c r="B817" s="2" t="s">
        <v>876</v>
      </c>
      <c r="C817" s="2" t="s">
        <v>2599</v>
      </c>
      <c r="D817" s="2" t="s">
        <v>3779</v>
      </c>
      <c r="E817" s="51" t="s">
        <v>3087</v>
      </c>
      <c r="F817" s="47"/>
      <c r="G817" s="52">
        <f t="array" ref="G817">MAX(IF(INSTOCK!$H$2:$H$2025=B817,INSTOCK!$K$2:$K$2025))</f>
        <v>60</v>
      </c>
      <c r="H817" s="53">
        <f>SUM(IF(INSTOCK!$H$2:$H$2025=B817,INSTOCK!$I$2:$I$2025))</f>
        <v>0</v>
      </c>
      <c r="I817" s="53" t="str">
        <f>SUM(IF([1]!Table13[ID]=B817,[1]!Table13[QTY]))</f>
        <v>#ERROR!</v>
      </c>
      <c r="J817" s="53" t="str">
        <f>TABLEITEM!$H$3:$H$1138-TABLEITEM!$I$3:$I$1138</f>
        <v>#ERROR!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hidden="1" customHeight="1">
      <c r="A818" s="47"/>
      <c r="B818" s="2" t="s">
        <v>909</v>
      </c>
      <c r="C818" s="2" t="s">
        <v>2599</v>
      </c>
      <c r="D818" s="2" t="s">
        <v>3780</v>
      </c>
      <c r="E818" s="51" t="s">
        <v>3087</v>
      </c>
      <c r="F818" s="47"/>
      <c r="G818" s="52">
        <f t="array" ref="G818">MAX(IF(INSTOCK!$H$2:$H$2025=B818,INSTOCK!$K$2:$K$2025))</f>
        <v>115</v>
      </c>
      <c r="H818" s="53">
        <f>SUM(IF(INSTOCK!$H$2:$H$2025=B818,INSTOCK!$I$2:$I$2025))</f>
        <v>0</v>
      </c>
      <c r="I818" s="53" t="str">
        <f>SUM(IF([1]!Table13[ID]=B818,[1]!Table13[QTY]))</f>
        <v>#ERROR!</v>
      </c>
      <c r="J818" s="53" t="str">
        <f>TABLEITEM!$H$3:$H$1138-TABLEITEM!$I$3:$I$1138</f>
        <v>#ERROR!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hidden="1" customHeight="1">
      <c r="A819" s="47"/>
      <c r="B819" s="2" t="s">
        <v>878</v>
      </c>
      <c r="C819" s="2" t="s">
        <v>2599</v>
      </c>
      <c r="D819" s="2" t="s">
        <v>3781</v>
      </c>
      <c r="E819" s="51" t="s">
        <v>3087</v>
      </c>
      <c r="F819" s="47"/>
      <c r="G819" s="52">
        <f t="array" ref="G819">MAX(IF(INSTOCK!$H$2:$H$2025=B819,INSTOCK!$K$2:$K$2025))</f>
        <v>65</v>
      </c>
      <c r="H819" s="53">
        <f>SUM(IF(INSTOCK!$H$2:$H$2025=B819,INSTOCK!$I$2:$I$2025))</f>
        <v>0</v>
      </c>
      <c r="I819" s="53" t="str">
        <f>SUM(IF([1]!Table13[ID]=B819,[1]!Table13[QTY]))</f>
        <v>#ERROR!</v>
      </c>
      <c r="J819" s="53" t="str">
        <f>TABLEITEM!$H$3:$H$1138-TABLEITEM!$I$3:$I$1138</f>
        <v>#ERROR!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hidden="1" customHeight="1">
      <c r="A820" s="47"/>
      <c r="B820" s="2" t="s">
        <v>818</v>
      </c>
      <c r="C820" s="2" t="s">
        <v>2599</v>
      </c>
      <c r="D820" s="2" t="s">
        <v>3782</v>
      </c>
      <c r="E820" s="51" t="s">
        <v>3087</v>
      </c>
      <c r="F820" s="47"/>
      <c r="G820" s="52">
        <f t="array" ref="G820">MAX(IF(INSTOCK!$H$2:$H$2025=B820,INSTOCK!$K$2:$K$2025))</f>
        <v>50</v>
      </c>
      <c r="H820" s="53">
        <f>SUM(IF(INSTOCK!$H$2:$H$2025=B820,INSTOCK!$I$2:$I$2025))</f>
        <v>0</v>
      </c>
      <c r="I820" s="53" t="str">
        <f>SUM(IF([1]!Table13[ID]=B820,[1]!Table13[QTY]))</f>
        <v>#ERROR!</v>
      </c>
      <c r="J820" s="53" t="str">
        <f>TABLEITEM!$H$3:$H$1138-TABLEITEM!$I$3:$I$1138</f>
        <v>#ERROR!</v>
      </c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hidden="1" customHeight="1">
      <c r="A821" s="47"/>
      <c r="B821" s="2" t="s">
        <v>901</v>
      </c>
      <c r="C821" s="2" t="s">
        <v>2599</v>
      </c>
      <c r="D821" s="2" t="s">
        <v>3783</v>
      </c>
      <c r="E821" s="51" t="s">
        <v>3087</v>
      </c>
      <c r="F821" s="47"/>
      <c r="G821" s="52">
        <f t="array" ref="G821">MAX(IF(INSTOCK!$H$2:$H$2025=B821,INSTOCK!$K$2:$K$2025))</f>
        <v>100</v>
      </c>
      <c r="H821" s="53">
        <f>SUM(IF(INSTOCK!$H$2:$H$2025=B821,INSTOCK!$I$2:$I$2025))</f>
        <v>0</v>
      </c>
      <c r="I821" s="53" t="str">
        <f>SUM(IF([1]!Table13[ID]=B821,[1]!Table13[QTY]))</f>
        <v>#ERROR!</v>
      </c>
      <c r="J821" s="53" t="str">
        <f>TABLEITEM!$H$3:$H$1138-TABLEITEM!$I$3:$I$1138</f>
        <v>#ERROR!</v>
      </c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hidden="1" customHeight="1">
      <c r="A822" s="47"/>
      <c r="B822" s="2" t="s">
        <v>903</v>
      </c>
      <c r="C822" s="2" t="s">
        <v>2599</v>
      </c>
      <c r="D822" s="2" t="s">
        <v>3784</v>
      </c>
      <c r="E822" s="51" t="s">
        <v>3087</v>
      </c>
      <c r="F822" s="47"/>
      <c r="G822" s="52">
        <f t="array" ref="G822">MAX(IF(INSTOCK!$H$2:$H$2025=B822,INSTOCK!$K$2:$K$2025))</f>
        <v>100</v>
      </c>
      <c r="H822" s="53">
        <f>SUM(IF(INSTOCK!$H$2:$H$2025=B822,INSTOCK!$I$2:$I$2025))</f>
        <v>0</v>
      </c>
      <c r="I822" s="53" t="str">
        <f>SUM(IF([1]!Table13[ID]=B822,[1]!Table13[QTY]))</f>
        <v>#ERROR!</v>
      </c>
      <c r="J822" s="53" t="str">
        <f>TABLEITEM!$H$3:$H$1138-TABLEITEM!$I$3:$I$1138</f>
        <v>#ERROR!</v>
      </c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hidden="1" customHeight="1">
      <c r="A823" s="47"/>
      <c r="B823" s="2" t="s">
        <v>947</v>
      </c>
      <c r="C823" s="2" t="s">
        <v>2599</v>
      </c>
      <c r="D823" s="2" t="s">
        <v>3785</v>
      </c>
      <c r="E823" s="51" t="s">
        <v>3087</v>
      </c>
      <c r="F823" s="47"/>
      <c r="G823" s="52">
        <f t="array" ref="G823">MAX(IF(INSTOCK!$H$2:$H$2025=B823,INSTOCK!$K$2:$K$2025))</f>
        <v>300</v>
      </c>
      <c r="H823" s="53">
        <f>SUM(IF(INSTOCK!$H$2:$H$2025=B823,INSTOCK!$I$2:$I$2025))</f>
        <v>0</v>
      </c>
      <c r="I823" s="53" t="str">
        <f>SUM(IF([1]!Table13[ID]=B823,[1]!Table13[QTY]))</f>
        <v>#ERROR!</v>
      </c>
      <c r="J823" s="53" t="str">
        <f>TABLEITEM!$H$3:$H$1138-TABLEITEM!$I$3:$I$1138</f>
        <v>#ERROR!</v>
      </c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hidden="1" customHeight="1">
      <c r="A824" s="47"/>
      <c r="B824" s="2" t="s">
        <v>813</v>
      </c>
      <c r="C824" s="2" t="s">
        <v>2599</v>
      </c>
      <c r="D824" s="2" t="s">
        <v>3786</v>
      </c>
      <c r="E824" s="51" t="s">
        <v>3087</v>
      </c>
      <c r="F824" s="47"/>
      <c r="G824" s="52">
        <f t="array" ref="G824">MAX(IF(INSTOCK!$H$2:$H$2025=B824,INSTOCK!$K$2:$K$2025))</f>
        <v>40</v>
      </c>
      <c r="H824" s="53">
        <f>SUM(IF(INSTOCK!$H$2:$H$2025=B824,INSTOCK!$I$2:$I$2025))</f>
        <v>0</v>
      </c>
      <c r="I824" s="53" t="str">
        <f>SUM(IF([1]!Table13[ID]=B824,[1]!Table13[QTY]))</f>
        <v>#ERROR!</v>
      </c>
      <c r="J824" s="53" t="str">
        <f>TABLEITEM!$H$3:$H$1138-TABLEITEM!$I$3:$I$1138</f>
        <v>#ERROR!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hidden="1" customHeight="1">
      <c r="A825" s="47"/>
      <c r="B825" s="2" t="s">
        <v>802</v>
      </c>
      <c r="C825" s="2" t="s">
        <v>2599</v>
      </c>
      <c r="D825" s="2" t="s">
        <v>3787</v>
      </c>
      <c r="E825" s="51" t="s">
        <v>3087</v>
      </c>
      <c r="F825" s="47"/>
      <c r="G825" s="52">
        <f t="array" ref="G825">MAX(IF(INSTOCK!$H$2:$H$2025=B825,INSTOCK!$K$2:$K$2025))</f>
        <v>100</v>
      </c>
      <c r="H825" s="53">
        <f>SUM(IF(INSTOCK!$H$2:$H$2025=B825,INSTOCK!$I$2:$I$2025))</f>
        <v>0</v>
      </c>
      <c r="I825" s="53" t="str">
        <f>SUM(IF([1]!Table13[ID]=B825,[1]!Table13[QTY]))</f>
        <v>#ERROR!</v>
      </c>
      <c r="J825" s="53" t="str">
        <f>TABLEITEM!$H$3:$H$1138-TABLEITEM!$I$3:$I$1138</f>
        <v>#ERROR!</v>
      </c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hidden="1" customHeight="1">
      <c r="A826" s="47"/>
      <c r="B826" s="2" t="s">
        <v>827</v>
      </c>
      <c r="C826" s="2" t="s">
        <v>2599</v>
      </c>
      <c r="D826" s="2" t="s">
        <v>3788</v>
      </c>
      <c r="E826" s="51" t="s">
        <v>3087</v>
      </c>
      <c r="F826" s="47"/>
      <c r="G826" s="52">
        <f t="array" ref="G826">MAX(IF(INSTOCK!$H$2:$H$2025=B826,INSTOCK!$K$2:$K$2025))</f>
        <v>75</v>
      </c>
      <c r="H826" s="53">
        <f>SUM(IF(INSTOCK!$H$2:$H$2025=B826,INSTOCK!$I$2:$I$2025))</f>
        <v>0</v>
      </c>
      <c r="I826" s="53" t="str">
        <f>SUM(IF([1]!Table13[ID]=B826,[1]!Table13[QTY]))</f>
        <v>#ERROR!</v>
      </c>
      <c r="J826" s="53" t="str">
        <f>TABLEITEM!$H$3:$H$1138-TABLEITEM!$I$3:$I$1138</f>
        <v>#ERROR!</v>
      </c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hidden="1" customHeight="1">
      <c r="A827" s="47"/>
      <c r="B827" s="2" t="s">
        <v>839</v>
      </c>
      <c r="C827" s="2" t="s">
        <v>2599</v>
      </c>
      <c r="D827" s="2" t="s">
        <v>3789</v>
      </c>
      <c r="E827" s="51" t="s">
        <v>3087</v>
      </c>
      <c r="F827" s="47"/>
      <c r="G827" s="52">
        <f t="array" ref="G827">MAX(IF(INSTOCK!$H$2:$H$2025=B827,INSTOCK!$K$2:$K$2025))</f>
        <v>38</v>
      </c>
      <c r="H827" s="53">
        <f>SUM(IF(INSTOCK!$H$2:$H$2025=B827,INSTOCK!$I$2:$I$2025))</f>
        <v>0</v>
      </c>
      <c r="I827" s="53" t="str">
        <f>SUM(IF([1]!Table13[ID]=B827,[1]!Table13[QTY]))</f>
        <v>#ERROR!</v>
      </c>
      <c r="J827" s="53" t="str">
        <f>TABLEITEM!$H$3:$H$1138-TABLEITEM!$I$3:$I$1138</f>
        <v>#ERROR!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hidden="1" customHeight="1">
      <c r="A828" s="47"/>
      <c r="B828" s="2" t="s">
        <v>967</v>
      </c>
      <c r="C828" s="2" t="s">
        <v>2599</v>
      </c>
      <c r="D828" s="2" t="s">
        <v>3097</v>
      </c>
      <c r="E828" s="51" t="s">
        <v>3087</v>
      </c>
      <c r="F828" s="47"/>
      <c r="G828" s="52">
        <f t="array" ref="G828">MAX(IF(INSTOCK!$H$2:$H$2025=B828,INSTOCK!$K$2:$K$2025))</f>
        <v>480</v>
      </c>
      <c r="H828" s="53">
        <f>SUM(IF(INSTOCK!$H$2:$H$2025=B828,INSTOCK!$I$2:$I$2025))</f>
        <v>0</v>
      </c>
      <c r="I828" s="53" t="str">
        <f>SUM(IF([1]!Table13[ID]=B828,[1]!Table13[QTY]))</f>
        <v>#ERROR!</v>
      </c>
      <c r="J828" s="53" t="str">
        <f>TABLEITEM!$H$3:$H$1138-TABLEITEM!$I$3:$I$1138</f>
        <v>#ERROR!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hidden="1" customHeight="1">
      <c r="A829" s="47"/>
      <c r="B829" s="2" t="s">
        <v>976</v>
      </c>
      <c r="C829" s="2" t="s">
        <v>2599</v>
      </c>
      <c r="D829" s="2" t="s">
        <v>3790</v>
      </c>
      <c r="E829" s="51" t="s">
        <v>3087</v>
      </c>
      <c r="F829" s="47"/>
      <c r="G829" s="52">
        <f t="array" ref="G829">MAX(IF(INSTOCK!$H$2:$H$2025=B829,INSTOCK!$K$2:$K$2025))</f>
        <v>180</v>
      </c>
      <c r="H829" s="53">
        <f>SUM(IF(INSTOCK!$H$2:$H$2025=B829,INSTOCK!$I$2:$I$2025))</f>
        <v>0</v>
      </c>
      <c r="I829" s="53" t="str">
        <f>SUM(IF([1]!Table13[ID]=B829,[1]!Table13[QTY]))</f>
        <v>#ERROR!</v>
      </c>
      <c r="J829" s="53" t="str">
        <f>TABLEITEM!$H$3:$H$1138-TABLEITEM!$I$3:$I$1138</f>
        <v>#ERROR!</v>
      </c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hidden="1" customHeight="1">
      <c r="A830" s="47"/>
      <c r="B830" s="2" t="s">
        <v>954</v>
      </c>
      <c r="C830" s="2" t="s">
        <v>2599</v>
      </c>
      <c r="D830" s="2" t="s">
        <v>3791</v>
      </c>
      <c r="E830" s="51" t="s">
        <v>3087</v>
      </c>
      <c r="F830" s="47"/>
      <c r="G830" s="52">
        <f t="array" ref="G830">MAX(IF(INSTOCK!$H$2:$H$2025=B830,INSTOCK!$K$2:$K$2025))</f>
        <v>300</v>
      </c>
      <c r="H830" s="53">
        <f>SUM(IF(INSTOCK!$H$2:$H$2025=B830,INSTOCK!$I$2:$I$2025))</f>
        <v>0</v>
      </c>
      <c r="I830" s="53" t="str">
        <f>SUM(IF([1]!Table13[ID]=B830,[1]!Table13[QTY]))</f>
        <v>#ERROR!</v>
      </c>
      <c r="J830" s="53" t="str">
        <f>TABLEITEM!$H$3:$H$1138-TABLEITEM!$I$3:$I$1138</f>
        <v>#ERROR!</v>
      </c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hidden="1" customHeight="1">
      <c r="A831" s="47"/>
      <c r="B831" s="2" t="s">
        <v>968</v>
      </c>
      <c r="C831" s="2" t="s">
        <v>2599</v>
      </c>
      <c r="D831" s="2" t="s">
        <v>3792</v>
      </c>
      <c r="E831" s="51" t="s">
        <v>3087</v>
      </c>
      <c r="F831" s="47"/>
      <c r="G831" s="52">
        <f t="array" ref="G831">MAX(IF(INSTOCK!$H$2:$H$2025=B831,INSTOCK!$K$2:$K$2025))</f>
        <v>580</v>
      </c>
      <c r="H831" s="53">
        <f>SUM(IF(INSTOCK!$H$2:$H$2025=B831,INSTOCK!$I$2:$I$2025))</f>
        <v>0</v>
      </c>
      <c r="I831" s="53" t="str">
        <f>SUM(IF([1]!Table13[ID]=B831,[1]!Table13[QTY]))</f>
        <v>#ERROR!</v>
      </c>
      <c r="J831" s="53" t="str">
        <f>TABLEITEM!$H$3:$H$1138-TABLEITEM!$I$3:$I$1138</f>
        <v>#ERROR!</v>
      </c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hidden="1" customHeight="1">
      <c r="A832" s="47"/>
      <c r="B832" s="2" t="s">
        <v>924</v>
      </c>
      <c r="C832" s="2" t="s">
        <v>2599</v>
      </c>
      <c r="D832" s="2" t="s">
        <v>3793</v>
      </c>
      <c r="E832" s="51" t="s">
        <v>3087</v>
      </c>
      <c r="F832" s="47"/>
      <c r="G832" s="52">
        <f t="array" ref="G832">MAX(IF(INSTOCK!$H$2:$H$2025=B832,INSTOCK!$K$2:$K$2025))</f>
        <v>240</v>
      </c>
      <c r="H832" s="53">
        <f>SUM(IF(INSTOCK!$H$2:$H$2025=B832,INSTOCK!$I$2:$I$2025))</f>
        <v>0</v>
      </c>
      <c r="I832" s="53" t="str">
        <f>SUM(IF([1]!Table13[ID]=B832,[1]!Table13[QTY]))</f>
        <v>#ERROR!</v>
      </c>
      <c r="J832" s="53" t="str">
        <f>TABLEITEM!$H$3:$H$1138-TABLEITEM!$I$3:$I$1138</f>
        <v>#ERROR!</v>
      </c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hidden="1" customHeight="1">
      <c r="A833" s="47"/>
      <c r="B833" s="2" t="s">
        <v>913</v>
      </c>
      <c r="C833" s="2" t="s">
        <v>2599</v>
      </c>
      <c r="D833" s="2" t="s">
        <v>3794</v>
      </c>
      <c r="E833" s="51" t="s">
        <v>3087</v>
      </c>
      <c r="F833" s="47"/>
      <c r="G833" s="52">
        <f t="array" ref="G833">MAX(IF(INSTOCK!$H$2:$H$2025=B833,INSTOCK!$K$2:$K$2025))</f>
        <v>135</v>
      </c>
      <c r="H833" s="53">
        <f>SUM(IF(INSTOCK!$H$2:$H$2025=B833,INSTOCK!$I$2:$I$2025))</f>
        <v>0</v>
      </c>
      <c r="I833" s="53" t="str">
        <f>SUM(IF([1]!Table13[ID]=B833,[1]!Table13[QTY]))</f>
        <v>#ERROR!</v>
      </c>
      <c r="J833" s="53" t="str">
        <f>TABLEITEM!$H$3:$H$1138-TABLEITEM!$I$3:$I$1138</f>
        <v>#ERROR!</v>
      </c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hidden="1" customHeight="1">
      <c r="A834" s="47"/>
      <c r="B834" s="2" t="s">
        <v>837</v>
      </c>
      <c r="C834" s="2" t="s">
        <v>2599</v>
      </c>
      <c r="D834" s="2" t="s">
        <v>3795</v>
      </c>
      <c r="E834" s="51" t="s">
        <v>3087</v>
      </c>
      <c r="F834" s="47"/>
      <c r="G834" s="52">
        <f t="array" ref="G834">MAX(IF(INSTOCK!$H$2:$H$2025=B834,INSTOCK!$K$2:$K$2025))</f>
        <v>95</v>
      </c>
      <c r="H834" s="53">
        <f>SUM(IF(INSTOCK!$H$2:$H$2025=B834,INSTOCK!$I$2:$I$2025))</f>
        <v>0</v>
      </c>
      <c r="I834" s="53" t="str">
        <f>SUM(IF([1]!Table13[ID]=B834,[1]!Table13[QTY]))</f>
        <v>#ERROR!</v>
      </c>
      <c r="J834" s="53" t="str">
        <f>TABLEITEM!$H$3:$H$1138-TABLEITEM!$I$3:$I$1138</f>
        <v>#ERROR!</v>
      </c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hidden="1" customHeight="1">
      <c r="A835" s="47"/>
      <c r="B835" s="2" t="s">
        <v>851</v>
      </c>
      <c r="C835" s="2" t="s">
        <v>2599</v>
      </c>
      <c r="D835" s="2" t="s">
        <v>3188</v>
      </c>
      <c r="E835" s="51" t="s">
        <v>3087</v>
      </c>
      <c r="F835" s="47"/>
      <c r="G835" s="52">
        <f t="array" ref="G835">MAX(IF(INSTOCK!$H$2:$H$2025=B835,INSTOCK!$K$2:$K$2025))</f>
        <v>200</v>
      </c>
      <c r="H835" s="53">
        <f>SUM(IF(INSTOCK!$H$2:$H$2025=B835,INSTOCK!$I$2:$I$2025))</f>
        <v>0</v>
      </c>
      <c r="I835" s="53" t="str">
        <f>SUM(IF([1]!Table13[ID]=B835,[1]!Table13[QTY]))</f>
        <v>#ERROR!</v>
      </c>
      <c r="J835" s="53" t="str">
        <f>TABLEITEM!$H$3:$H$1138-TABLEITEM!$I$3:$I$1138</f>
        <v>#ERROR!</v>
      </c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hidden="1" customHeight="1">
      <c r="A836" s="47"/>
      <c r="B836" s="2" t="s">
        <v>955</v>
      </c>
      <c r="C836" s="2" t="s">
        <v>2599</v>
      </c>
      <c r="D836" s="2" t="s">
        <v>3796</v>
      </c>
      <c r="E836" s="51" t="s">
        <v>3087</v>
      </c>
      <c r="F836" s="47"/>
      <c r="G836" s="52">
        <f t="array" ref="G836">MAX(IF(INSTOCK!$H$2:$H$2025=B836,INSTOCK!$K$2:$K$2025))</f>
        <v>300</v>
      </c>
      <c r="H836" s="53">
        <f>SUM(IF(INSTOCK!$H$2:$H$2025=B836,INSTOCK!$I$2:$I$2025))</f>
        <v>0</v>
      </c>
      <c r="I836" s="53" t="str">
        <f>SUM(IF([1]!Table13[ID]=B836,[1]!Table13[QTY]))</f>
        <v>#ERROR!</v>
      </c>
      <c r="J836" s="53" t="str">
        <f>TABLEITEM!$H$3:$H$1138-TABLEITEM!$I$3:$I$1138</f>
        <v>#ERROR!</v>
      </c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hidden="1" customHeight="1">
      <c r="A837" s="47"/>
      <c r="B837" s="2" t="s">
        <v>826</v>
      </c>
      <c r="C837" s="2" t="s">
        <v>2599</v>
      </c>
      <c r="D837" s="2" t="s">
        <v>3797</v>
      </c>
      <c r="E837" s="51" t="s">
        <v>3087</v>
      </c>
      <c r="F837" s="47"/>
      <c r="G837" s="52">
        <f t="array" ref="G837">MAX(IF(INSTOCK!$H$2:$H$2025=B837,INSTOCK!$K$2:$K$2025))</f>
        <v>70</v>
      </c>
      <c r="H837" s="53">
        <f>SUM(IF(INSTOCK!$H$2:$H$2025=B837,INSTOCK!$I$2:$I$2025))</f>
        <v>0</v>
      </c>
      <c r="I837" s="53" t="str">
        <f>SUM(IF([1]!Table13[ID]=B837,[1]!Table13[QTY]))</f>
        <v>#ERROR!</v>
      </c>
      <c r="J837" s="53" t="str">
        <f>TABLEITEM!$H$3:$H$1138-TABLEITEM!$I$3:$I$1138</f>
        <v>#ERROR!</v>
      </c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hidden="1" customHeight="1">
      <c r="A838" s="47"/>
      <c r="B838" s="2" t="s">
        <v>969</v>
      </c>
      <c r="C838" s="2" t="s">
        <v>2599</v>
      </c>
      <c r="D838" s="2" t="s">
        <v>3798</v>
      </c>
      <c r="E838" s="51" t="s">
        <v>3087</v>
      </c>
      <c r="F838" s="47"/>
      <c r="G838" s="52">
        <f t="array" ref="G838">MAX(IF(INSTOCK!$H$2:$H$2025=B838,INSTOCK!$K$2:$K$2025))</f>
        <v>540</v>
      </c>
      <c r="H838" s="53">
        <f>SUM(IF(INSTOCK!$H$2:$H$2025=B838,INSTOCK!$I$2:$I$2025))</f>
        <v>0</v>
      </c>
      <c r="I838" s="53" t="str">
        <f>SUM(IF([1]!Table13[ID]=B838,[1]!Table13[QTY]))</f>
        <v>#ERROR!</v>
      </c>
      <c r="J838" s="53" t="str">
        <f>TABLEITEM!$H$3:$H$1138-TABLEITEM!$I$3:$I$1138</f>
        <v>#ERROR!</v>
      </c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hidden="1" customHeight="1">
      <c r="A839" s="47"/>
      <c r="B839" s="2" t="s">
        <v>970</v>
      </c>
      <c r="C839" s="2" t="s">
        <v>2599</v>
      </c>
      <c r="D839" s="2" t="s">
        <v>3129</v>
      </c>
      <c r="E839" s="51" t="s">
        <v>3087</v>
      </c>
      <c r="F839" s="47"/>
      <c r="G839" s="52">
        <f t="array" ref="G839">MAX(IF(INSTOCK!$H$2:$H$2025=B839,INSTOCK!$K$2:$K$2025))</f>
        <v>1200</v>
      </c>
      <c r="H839" s="53">
        <f>SUM(IF(INSTOCK!$H$2:$H$2025=B839,INSTOCK!$I$2:$I$2025))</f>
        <v>0</v>
      </c>
      <c r="I839" s="53" t="str">
        <f>SUM(IF([1]!Table13[ID]=B839,[1]!Table13[QTY]))</f>
        <v>#ERROR!</v>
      </c>
      <c r="J839" s="53" t="str">
        <f>TABLEITEM!$H$3:$H$1138-TABLEITEM!$I$3:$I$1138</f>
        <v>#ERROR!</v>
      </c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hidden="1" customHeight="1">
      <c r="A840" s="47"/>
      <c r="B840" s="2" t="s">
        <v>833</v>
      </c>
      <c r="C840" s="2" t="s">
        <v>2599</v>
      </c>
      <c r="D840" s="2" t="s">
        <v>3799</v>
      </c>
      <c r="E840" s="51" t="s">
        <v>3087</v>
      </c>
      <c r="F840" s="47"/>
      <c r="G840" s="52">
        <f t="array" ref="G840">MAX(IF(INSTOCK!$H$2:$H$2025=B840,INSTOCK!$K$2:$K$2025))</f>
        <v>115</v>
      </c>
      <c r="H840" s="53">
        <f>SUM(IF(INSTOCK!$H$2:$H$2025=B840,INSTOCK!$I$2:$I$2025))</f>
        <v>0</v>
      </c>
      <c r="I840" s="53" t="str">
        <f>SUM(IF([1]!Table13[ID]=B840,[1]!Table13[QTY]))</f>
        <v>#ERROR!</v>
      </c>
      <c r="J840" s="53" t="str">
        <f>TABLEITEM!$H$3:$H$1138-TABLEITEM!$I$3:$I$1138</f>
        <v>#ERROR!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hidden="1" customHeight="1">
      <c r="A841" s="47"/>
      <c r="B841" s="2" t="s">
        <v>858</v>
      </c>
      <c r="C841" s="2" t="s">
        <v>2599</v>
      </c>
      <c r="D841" s="2" t="s">
        <v>3800</v>
      </c>
      <c r="E841" s="51" t="s">
        <v>3087</v>
      </c>
      <c r="F841" s="47"/>
      <c r="G841" s="52">
        <f t="array" ref="G841">MAX(IF(INSTOCK!$H$2:$H$2025=B841,INSTOCK!$K$2:$K$2025))</f>
        <v>210</v>
      </c>
      <c r="H841" s="53">
        <f>SUM(IF(INSTOCK!$H$2:$H$2025=B841,INSTOCK!$I$2:$I$2025))</f>
        <v>0</v>
      </c>
      <c r="I841" s="53" t="str">
        <f>SUM(IF([1]!Table13[ID]=B841,[1]!Table13[QTY]))</f>
        <v>#ERROR!</v>
      </c>
      <c r="J841" s="53" t="str">
        <f>TABLEITEM!$H$3:$H$1138-TABLEITEM!$I$3:$I$1138</f>
        <v>#ERROR!</v>
      </c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hidden="1" customHeight="1">
      <c r="A842" s="47"/>
      <c r="B842" s="2" t="s">
        <v>854</v>
      </c>
      <c r="C842" s="2" t="s">
        <v>2599</v>
      </c>
      <c r="D842" s="2" t="s">
        <v>3801</v>
      </c>
      <c r="E842" s="51" t="s">
        <v>3087</v>
      </c>
      <c r="F842" s="47"/>
      <c r="G842" s="52">
        <f t="array" ref="G842">MAX(IF(INSTOCK!$H$2:$H$2025=B842,INSTOCK!$K$2:$K$2025))</f>
        <v>100</v>
      </c>
      <c r="H842" s="53">
        <f>SUM(IF(INSTOCK!$H$2:$H$2025=B842,INSTOCK!$I$2:$I$2025))</f>
        <v>0</v>
      </c>
      <c r="I842" s="53" t="str">
        <f>SUM(IF([1]!Table13[ID]=B842,[1]!Table13[QTY]))</f>
        <v>#ERROR!</v>
      </c>
      <c r="J842" s="53" t="str">
        <f>TABLEITEM!$H$3:$H$1138-TABLEITEM!$I$3:$I$1138</f>
        <v>#ERROR!</v>
      </c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hidden="1" customHeight="1">
      <c r="A843" s="47"/>
      <c r="B843" s="2" t="s">
        <v>793</v>
      </c>
      <c r="C843" s="2" t="s">
        <v>2599</v>
      </c>
      <c r="D843" s="2" t="s">
        <v>3802</v>
      </c>
      <c r="E843" s="51" t="s">
        <v>3087</v>
      </c>
      <c r="F843" s="47"/>
      <c r="G843" s="52">
        <f t="array" ref="G843">MAX(IF(INSTOCK!$H$2:$H$2025=B843,INSTOCK!$K$2:$K$2025))</f>
        <v>35</v>
      </c>
      <c r="H843" s="53">
        <f>SUM(IF(INSTOCK!$H$2:$H$2025=B843,INSTOCK!$I$2:$I$2025))</f>
        <v>0</v>
      </c>
      <c r="I843" s="53" t="str">
        <f>SUM(IF([1]!Table13[ID]=B843,[1]!Table13[QTY]))</f>
        <v>#ERROR!</v>
      </c>
      <c r="J843" s="53" t="str">
        <f>TABLEITEM!$H$3:$H$1138-TABLEITEM!$I$3:$I$1138</f>
        <v>#ERROR!</v>
      </c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hidden="1" customHeight="1">
      <c r="A844" s="47"/>
      <c r="B844" s="2" t="s">
        <v>843</v>
      </c>
      <c r="C844" s="2" t="s">
        <v>2599</v>
      </c>
      <c r="D844" s="2" t="s">
        <v>3803</v>
      </c>
      <c r="E844" s="51" t="s">
        <v>3087</v>
      </c>
      <c r="F844" s="47"/>
      <c r="G844" s="52">
        <f t="array" ref="G844">MAX(IF(INSTOCK!$H$2:$H$2025=B844,INSTOCK!$K$2:$K$2025))</f>
        <v>190</v>
      </c>
      <c r="H844" s="53">
        <f>SUM(IF(INSTOCK!$H$2:$H$2025=B844,INSTOCK!$I$2:$I$2025))</f>
        <v>0</v>
      </c>
      <c r="I844" s="53" t="str">
        <f>SUM(IF([1]!Table13[ID]=B844,[1]!Table13[QTY]))</f>
        <v>#ERROR!</v>
      </c>
      <c r="J844" s="53" t="str">
        <f>TABLEITEM!$H$3:$H$1138-TABLEITEM!$I$3:$I$1138</f>
        <v>#ERROR!</v>
      </c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hidden="1" customHeight="1">
      <c r="A845" s="47"/>
      <c r="B845" s="2" t="s">
        <v>847</v>
      </c>
      <c r="C845" s="2" t="s">
        <v>2599</v>
      </c>
      <c r="D845" s="2" t="s">
        <v>3804</v>
      </c>
      <c r="E845" s="51" t="s">
        <v>3087</v>
      </c>
      <c r="F845" s="47"/>
      <c r="G845" s="52">
        <f t="array" ref="G845">MAX(IF(INSTOCK!$H$2:$H$2025=B845,INSTOCK!$K$2:$K$2025))</f>
        <v>125</v>
      </c>
      <c r="H845" s="53">
        <f>SUM(IF(INSTOCK!$H$2:$H$2025=B845,INSTOCK!$I$2:$I$2025))</f>
        <v>0</v>
      </c>
      <c r="I845" s="53" t="str">
        <f>SUM(IF([1]!Table13[ID]=B845,[1]!Table13[QTY]))</f>
        <v>#ERROR!</v>
      </c>
      <c r="J845" s="53" t="str">
        <f>TABLEITEM!$H$3:$H$1138-TABLEITEM!$I$3:$I$1138</f>
        <v>#ERROR!</v>
      </c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hidden="1" customHeight="1">
      <c r="A846" s="47"/>
      <c r="B846" s="2" t="s">
        <v>904</v>
      </c>
      <c r="C846" s="2" t="s">
        <v>2599</v>
      </c>
      <c r="D846" s="2" t="s">
        <v>3805</v>
      </c>
      <c r="E846" s="51" t="s">
        <v>3087</v>
      </c>
      <c r="F846" s="47"/>
      <c r="G846" s="52">
        <f t="array" ref="G846">MAX(IF(INSTOCK!$H$2:$H$2025=B846,INSTOCK!$K$2:$K$2025))</f>
        <v>180</v>
      </c>
      <c r="H846" s="53">
        <f>SUM(IF(INSTOCK!$H$2:$H$2025=B846,INSTOCK!$I$2:$I$2025))</f>
        <v>0</v>
      </c>
      <c r="I846" s="53" t="str">
        <f>SUM(IF([1]!Table13[ID]=B846,[1]!Table13[QTY]))</f>
        <v>#ERROR!</v>
      </c>
      <c r="J846" s="53" t="str">
        <f>TABLEITEM!$H$3:$H$1138-TABLEITEM!$I$3:$I$1138</f>
        <v>#ERROR!</v>
      </c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hidden="1" customHeight="1">
      <c r="A847" s="47"/>
      <c r="B847" s="2" t="s">
        <v>3806</v>
      </c>
      <c r="C847" s="2" t="s">
        <v>2599</v>
      </c>
      <c r="D847" s="2" t="s">
        <v>3807</v>
      </c>
      <c r="E847" s="51" t="s">
        <v>3087</v>
      </c>
      <c r="F847" s="47"/>
      <c r="G847" s="52">
        <f t="array" ref="G847">MAX(IF(INSTOCK!$H$2:$H$2025=B847,INSTOCK!$K$2:$K$2025))</f>
        <v>0</v>
      </c>
      <c r="H847" s="53">
        <f>SUM(IF(INSTOCK!$H$2:$H$2025=B847,INSTOCK!$I$2:$I$2025))</f>
        <v>0</v>
      </c>
      <c r="I847" s="53" t="str">
        <f>SUM(IF([1]!Table13[ID]=B847,[1]!Table13[QTY]))</f>
        <v>#ERROR!</v>
      </c>
      <c r="J847" s="53" t="str">
        <f>TABLEITEM!$H$3:$H$1138-TABLEITEM!$I$3:$I$1138</f>
        <v>#ERROR!</v>
      </c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hidden="1" customHeight="1">
      <c r="A848" s="47"/>
      <c r="B848" s="2" t="s">
        <v>3808</v>
      </c>
      <c r="C848" s="2" t="s">
        <v>2599</v>
      </c>
      <c r="D848" s="2" t="s">
        <v>3809</v>
      </c>
      <c r="E848" s="51" t="s">
        <v>3087</v>
      </c>
      <c r="F848" s="47"/>
      <c r="G848" s="52">
        <f t="array" ref="G848">MAX(IF(INSTOCK!$H$2:$H$2025=B848,INSTOCK!$K$2:$K$2025))</f>
        <v>113</v>
      </c>
      <c r="H848" s="53">
        <f>SUM(IF(INSTOCK!$H$2:$H$2025=B848,INSTOCK!$I$2:$I$2025))</f>
        <v>0</v>
      </c>
      <c r="I848" s="53" t="str">
        <f>SUM(IF([1]!Table13[ID]=B848,[1]!Table13[QTY]))</f>
        <v>#ERROR!</v>
      </c>
      <c r="J848" s="53" t="str">
        <f>TABLEITEM!$H$3:$H$1138-TABLEITEM!$I$3:$I$1138</f>
        <v>#ERROR!</v>
      </c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hidden="1" customHeight="1">
      <c r="A849" s="47"/>
      <c r="B849" s="2" t="s">
        <v>3810</v>
      </c>
      <c r="C849" s="2" t="s">
        <v>2599</v>
      </c>
      <c r="D849" s="2" t="s">
        <v>3811</v>
      </c>
      <c r="E849" s="51" t="s">
        <v>3087</v>
      </c>
      <c r="F849" s="47"/>
      <c r="G849" s="52">
        <f t="array" ref="G849">MAX(IF(INSTOCK!$H$2:$H$2025=B849,INSTOCK!$K$2:$K$2025))</f>
        <v>0</v>
      </c>
      <c r="H849" s="53">
        <f>SUM(IF(INSTOCK!$H$2:$H$2025=B849,INSTOCK!$I$2:$I$2025))</f>
        <v>0</v>
      </c>
      <c r="I849" s="53" t="str">
        <f>SUM(IF([1]!Table13[ID]=B849,[1]!Table13[QTY]))</f>
        <v>#ERROR!</v>
      </c>
      <c r="J849" s="53" t="str">
        <f>TABLEITEM!$H$3:$H$1138-TABLEITEM!$I$3:$I$1138</f>
        <v>#ERROR!</v>
      </c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hidden="1" customHeight="1">
      <c r="A850" s="47"/>
      <c r="B850" s="2" t="s">
        <v>3812</v>
      </c>
      <c r="C850" s="2" t="s">
        <v>2599</v>
      </c>
      <c r="D850" s="2" t="s">
        <v>3813</v>
      </c>
      <c r="E850" s="51" t="s">
        <v>3087</v>
      </c>
      <c r="F850" s="47"/>
      <c r="G850" s="52">
        <f t="array" ref="G850">MAX(IF(INSTOCK!$H$2:$H$2025=B850,INSTOCK!$K$2:$K$2025))</f>
        <v>0</v>
      </c>
      <c r="H850" s="53">
        <f>SUM(IF(INSTOCK!$H$2:$H$2025=B850,INSTOCK!$I$2:$I$2025))</f>
        <v>0</v>
      </c>
      <c r="I850" s="53" t="str">
        <f>SUM(IF([1]!Table13[ID]=B850,[1]!Table13[QTY]))</f>
        <v>#ERROR!</v>
      </c>
      <c r="J850" s="53" t="str">
        <f>TABLEITEM!$H$3:$H$1138-TABLEITEM!$I$3:$I$1138</f>
        <v>#ERROR!</v>
      </c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hidden="1" customHeight="1">
      <c r="A851" s="47"/>
      <c r="B851" s="2" t="s">
        <v>1082</v>
      </c>
      <c r="C851" s="2" t="s">
        <v>2599</v>
      </c>
      <c r="D851" s="2" t="s">
        <v>3814</v>
      </c>
      <c r="E851" s="51" t="s">
        <v>3087</v>
      </c>
      <c r="F851" s="47"/>
      <c r="G851" s="52">
        <f t="array" ref="G851">MAX(IF(INSTOCK!$H$2:$H$2025=B851,INSTOCK!$K$2:$K$2025))</f>
        <v>120</v>
      </c>
      <c r="H851" s="53">
        <f>SUM(IF(INSTOCK!$H$2:$H$2025=B851,INSTOCK!$I$2:$I$2025))</f>
        <v>0</v>
      </c>
      <c r="I851" s="53" t="str">
        <f>SUM(IF([1]!Table13[ID]=B851,[1]!Table13[QTY]))</f>
        <v>#ERROR!</v>
      </c>
      <c r="J851" s="53" t="str">
        <f>TABLEITEM!$H$3:$H$1138-TABLEITEM!$I$3:$I$1138</f>
        <v>#ERROR!</v>
      </c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hidden="1" customHeight="1">
      <c r="A852" s="47"/>
      <c r="B852" s="2" t="s">
        <v>1086</v>
      </c>
      <c r="C852" s="2" t="s">
        <v>2599</v>
      </c>
      <c r="D852" s="2" t="s">
        <v>3815</v>
      </c>
      <c r="E852" s="51" t="s">
        <v>3087</v>
      </c>
      <c r="F852" s="47"/>
      <c r="G852" s="52">
        <f t="array" ref="G852">MAX(IF(INSTOCK!$H$2:$H$2025=B852,INSTOCK!$K$2:$K$2025))</f>
        <v>25</v>
      </c>
      <c r="H852" s="53">
        <f>SUM(IF(INSTOCK!$H$2:$H$2025=B852,INSTOCK!$I$2:$I$2025))</f>
        <v>0</v>
      </c>
      <c r="I852" s="53" t="str">
        <f>SUM(IF([1]!Table13[ID]=B852,[1]!Table13[QTY]))</f>
        <v>#ERROR!</v>
      </c>
      <c r="J852" s="53" t="str">
        <f>TABLEITEM!$H$3:$H$1138-TABLEITEM!$I$3:$I$1138</f>
        <v>#ERROR!</v>
      </c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hidden="1" customHeight="1">
      <c r="A853" s="47"/>
      <c r="B853" s="2" t="s">
        <v>3816</v>
      </c>
      <c r="C853" s="2" t="s">
        <v>2599</v>
      </c>
      <c r="D853" s="2" t="s">
        <v>3817</v>
      </c>
      <c r="E853" s="51" t="s">
        <v>3087</v>
      </c>
      <c r="F853" s="47"/>
      <c r="G853" s="52">
        <f t="array" ref="G853">MAX(IF(INSTOCK!$H$2:$H$2025=B853,INSTOCK!$K$2:$K$2025))</f>
        <v>0</v>
      </c>
      <c r="H853" s="53">
        <f>SUM(IF(INSTOCK!$H$2:$H$2025=B853,INSTOCK!$I$2:$I$2025))</f>
        <v>0</v>
      </c>
      <c r="I853" s="53" t="str">
        <f>SUM(IF([1]!Table13[ID]=B853,[1]!Table13[QTY]))</f>
        <v>#ERROR!</v>
      </c>
      <c r="J853" s="53" t="str">
        <f>TABLEITEM!$H$3:$H$1138-TABLEITEM!$I$3:$I$1138</f>
        <v>#ERROR!</v>
      </c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hidden="1" customHeight="1">
      <c r="A854" s="47"/>
      <c r="B854" s="2" t="s">
        <v>1081</v>
      </c>
      <c r="C854" s="2" t="s">
        <v>2599</v>
      </c>
      <c r="D854" s="2" t="s">
        <v>3818</v>
      </c>
      <c r="E854" s="51" t="s">
        <v>3087</v>
      </c>
      <c r="F854" s="47"/>
      <c r="G854" s="52">
        <f t="array" ref="G854">MAX(IF(INSTOCK!$H$2:$H$2025=B854,INSTOCK!$K$2:$K$2025))</f>
        <v>150</v>
      </c>
      <c r="H854" s="53">
        <f>SUM(IF(INSTOCK!$H$2:$H$2025=B854,INSTOCK!$I$2:$I$2025))</f>
        <v>0</v>
      </c>
      <c r="I854" s="53" t="str">
        <f>SUM(IF([1]!Table13[ID]=B854,[1]!Table13[QTY]))</f>
        <v>#ERROR!</v>
      </c>
      <c r="J854" s="53" t="str">
        <f>TABLEITEM!$H$3:$H$1138-TABLEITEM!$I$3:$I$1138</f>
        <v>#ERROR!</v>
      </c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hidden="1" customHeight="1">
      <c r="A855" s="47"/>
      <c r="B855" s="2" t="s">
        <v>870</v>
      </c>
      <c r="C855" s="2" t="s">
        <v>2599</v>
      </c>
      <c r="D855" s="2" t="s">
        <v>3819</v>
      </c>
      <c r="E855" s="51" t="s">
        <v>3087</v>
      </c>
      <c r="F855" s="47"/>
      <c r="G855" s="52">
        <f t="array" ref="G855">MAX(IF(INSTOCK!$H$2:$H$2025=B855,INSTOCK!$K$2:$K$2025))</f>
        <v>45</v>
      </c>
      <c r="H855" s="53">
        <f>SUM(IF(INSTOCK!$H$2:$H$2025=B855,INSTOCK!$I$2:$I$2025))</f>
        <v>0</v>
      </c>
      <c r="I855" s="53" t="str">
        <f>SUM(IF([1]!Table13[ID]=B855,[1]!Table13[QTY]))</f>
        <v>#ERROR!</v>
      </c>
      <c r="J855" s="53" t="str">
        <f>TABLEITEM!$H$3:$H$1138-TABLEITEM!$I$3:$I$1138</f>
        <v>#ERROR!</v>
      </c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hidden="1" customHeight="1">
      <c r="A856" s="47"/>
      <c r="B856" s="2" t="s">
        <v>1085</v>
      </c>
      <c r="C856" s="2" t="s">
        <v>2599</v>
      </c>
      <c r="D856" s="2" t="s">
        <v>3820</v>
      </c>
      <c r="E856" s="51" t="s">
        <v>3087</v>
      </c>
      <c r="F856" s="47"/>
      <c r="G856" s="52">
        <f t="array" ref="G856">MAX(IF(INSTOCK!$H$2:$H$2025=B856,INSTOCK!$K$2:$K$2025))</f>
        <v>225</v>
      </c>
      <c r="H856" s="53">
        <f>SUM(IF(INSTOCK!$H$2:$H$2025=B856,INSTOCK!$I$2:$I$2025))</f>
        <v>0</v>
      </c>
      <c r="I856" s="53" t="str">
        <f>SUM(IF([1]!Table13[ID]=B856,[1]!Table13[QTY]))</f>
        <v>#ERROR!</v>
      </c>
      <c r="J856" s="53" t="str">
        <f>TABLEITEM!$H$3:$H$1138-TABLEITEM!$I$3:$I$1138</f>
        <v>#ERROR!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hidden="1" customHeight="1">
      <c r="A857" s="47"/>
      <c r="B857" s="2" t="s">
        <v>881</v>
      </c>
      <c r="C857" s="2" t="s">
        <v>2599</v>
      </c>
      <c r="D857" s="2" t="s">
        <v>3821</v>
      </c>
      <c r="E857" s="51" t="s">
        <v>3087</v>
      </c>
      <c r="F857" s="47"/>
      <c r="G857" s="52">
        <f t="array" ref="G857">MAX(IF(INSTOCK!$H$2:$H$2025=B857,INSTOCK!$K$2:$K$2025))</f>
        <v>68</v>
      </c>
      <c r="H857" s="53">
        <f>SUM(IF(INSTOCK!$H$2:$H$2025=B857,INSTOCK!$I$2:$I$2025))</f>
        <v>0</v>
      </c>
      <c r="I857" s="53" t="str">
        <f>SUM(IF([1]!Table13[ID]=B857,[1]!Table13[QTY]))</f>
        <v>#ERROR!</v>
      </c>
      <c r="J857" s="53" t="str">
        <f>TABLEITEM!$H$3:$H$1138-TABLEITEM!$I$3:$I$1138</f>
        <v>#ERROR!</v>
      </c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47"/>
      <c r="B858" s="2" t="s">
        <v>691</v>
      </c>
      <c r="C858" s="2" t="s">
        <v>1056</v>
      </c>
      <c r="D858" s="2" t="s">
        <v>3822</v>
      </c>
      <c r="E858" s="51"/>
      <c r="F858" s="47"/>
      <c r="G858" s="52">
        <f t="array" ref="G858">MAX(IF(INSTOCK!$H$2:$H$2025=B858,INSTOCK!$K$2:$K$2025))</f>
        <v>1400</v>
      </c>
      <c r="H858" s="53">
        <f>SUM(IF(INSTOCK!$H$2:$H$2025=B858,INSTOCK!$I$2:$I$2025))</f>
        <v>0</v>
      </c>
      <c r="I858" s="53" t="str">
        <f>SUM(IF([1]!Table13[ID]=B858,[1]!Table13[QTY]))</f>
        <v>#ERROR!</v>
      </c>
      <c r="J858" s="53" t="str">
        <f>TABLEITEM!$H$3:$H$1138-TABLEITEM!$I$3:$I$1138</f>
        <v>#ERROR!</v>
      </c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hidden="1" customHeight="1">
      <c r="A859" s="47"/>
      <c r="B859" s="2" t="s">
        <v>978</v>
      </c>
      <c r="C859" s="2" t="s">
        <v>2599</v>
      </c>
      <c r="D859" s="2" t="s">
        <v>3823</v>
      </c>
      <c r="E859" s="51" t="s">
        <v>3087</v>
      </c>
      <c r="F859" s="47"/>
      <c r="G859" s="52">
        <f t="array" ref="G859">MAX(IF(INSTOCK!$H$2:$H$2025=B859,INSTOCK!$K$2:$K$2025))</f>
        <v>350</v>
      </c>
      <c r="H859" s="53">
        <f>SUM(IF(INSTOCK!$H$2:$H$2025=B859,INSTOCK!$I$2:$I$2025))</f>
        <v>0</v>
      </c>
      <c r="I859" s="53" t="str">
        <f>SUM(IF([1]!Table13[ID]=B859,[1]!Table13[QTY]))</f>
        <v>#ERROR!</v>
      </c>
      <c r="J859" s="53" t="str">
        <f>TABLEITEM!$H$3:$H$1138-TABLEITEM!$I$3:$I$1138</f>
        <v>#ERROR!</v>
      </c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hidden="1" customHeight="1">
      <c r="A860" s="47"/>
      <c r="B860" s="2" t="s">
        <v>1020</v>
      </c>
      <c r="C860" s="2" t="s">
        <v>1056</v>
      </c>
      <c r="D860" s="2" t="s">
        <v>3824</v>
      </c>
      <c r="E860" s="51" t="s">
        <v>3610</v>
      </c>
      <c r="F860" s="47"/>
      <c r="G860" s="52"/>
      <c r="H860" s="53">
        <f>SUM(IF(INSTOCK!$H$2:$H$2025=B860,INSTOCK!$I$2:$I$2025))</f>
        <v>0</v>
      </c>
      <c r="I860" s="53" t="str">
        <f>SUM(IF([1]!Table13[ID]=B860,[1]!Table13[QTY]))</f>
        <v>#ERROR!</v>
      </c>
      <c r="J860" s="53" t="str">
        <f>TABLEITEM!$H$3:$H$1138-TABLEITEM!$I$3:$I$1138</f>
        <v>#ERROR!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hidden="1" customHeight="1">
      <c r="A861" s="47"/>
      <c r="B861" s="2" t="s">
        <v>888</v>
      </c>
      <c r="C861" s="2" t="s">
        <v>2599</v>
      </c>
      <c r="D861" s="2" t="s">
        <v>3825</v>
      </c>
      <c r="E861" s="51" t="s">
        <v>3087</v>
      </c>
      <c r="F861" s="47"/>
      <c r="G861" s="52">
        <f t="array" ref="G861">MAX(IF(INSTOCK!$H$2:$H$2025=B861,INSTOCK!$K$2:$K$2025))</f>
        <v>90</v>
      </c>
      <c r="H861" s="53">
        <f>SUM(IF(INSTOCK!$H$2:$H$2025=B861,INSTOCK!$I$2:$I$2025))</f>
        <v>0</v>
      </c>
      <c r="I861" s="53" t="str">
        <f>SUM(IF([1]!Table13[ID]=B861,[1]!Table13[QTY]))</f>
        <v>#ERROR!</v>
      </c>
      <c r="J861" s="53" t="str">
        <f>TABLEITEM!$H$3:$H$1138-TABLEITEM!$I$3:$I$1138</f>
        <v>#ERROR!</v>
      </c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hidden="1" customHeight="1">
      <c r="A862" s="47"/>
      <c r="B862" s="2" t="s">
        <v>771</v>
      </c>
      <c r="C862" s="2" t="s">
        <v>2599</v>
      </c>
      <c r="D862" s="2" t="s">
        <v>3826</v>
      </c>
      <c r="E862" s="51" t="s">
        <v>3087</v>
      </c>
      <c r="F862" s="47"/>
      <c r="G862" s="52">
        <f t="array" ref="G862">MAX(IF(INSTOCK!$H$2:$H$2025=B862,INSTOCK!$K$2:$K$2025))</f>
        <v>45</v>
      </c>
      <c r="H862" s="53">
        <f>SUM(IF(INSTOCK!$H$2:$H$2025=B862,INSTOCK!$I$2:$I$2025))</f>
        <v>0</v>
      </c>
      <c r="I862" s="53" t="str">
        <f>SUM(IF([1]!Table13[ID]=B862,[1]!Table13[QTY]))</f>
        <v>#ERROR!</v>
      </c>
      <c r="J862" s="53" t="str">
        <f>TABLEITEM!$H$3:$H$1138-TABLEITEM!$I$3:$I$1138</f>
        <v>#ERROR!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hidden="1" customHeight="1">
      <c r="A863" s="47"/>
      <c r="B863" s="2" t="s">
        <v>940</v>
      </c>
      <c r="C863" s="2" t="s">
        <v>2599</v>
      </c>
      <c r="D863" s="2" t="s">
        <v>3827</v>
      </c>
      <c r="E863" s="51" t="s">
        <v>3087</v>
      </c>
      <c r="F863" s="47"/>
      <c r="G863" s="52">
        <f t="array" ref="G863">MAX(IF(INSTOCK!$H$2:$H$2025=B863,INSTOCK!$K$2:$K$2025))</f>
        <v>240</v>
      </c>
      <c r="H863" s="53">
        <f>SUM(IF(INSTOCK!$H$2:$H$2025=B863,INSTOCK!$I$2:$I$2025))</f>
        <v>0</v>
      </c>
      <c r="I863" s="53" t="str">
        <f>SUM(IF([1]!Table13[ID]=B863,[1]!Table13[QTY]))</f>
        <v>#ERROR!</v>
      </c>
      <c r="J863" s="53" t="str">
        <f>TABLEITEM!$H$3:$H$1138-TABLEITEM!$I$3:$I$1138</f>
        <v>#ERROR!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hidden="1" customHeight="1">
      <c r="A864" s="47"/>
      <c r="B864" s="2" t="s">
        <v>777</v>
      </c>
      <c r="C864" s="2" t="s">
        <v>2599</v>
      </c>
      <c r="D864" s="2" t="s">
        <v>3828</v>
      </c>
      <c r="E864" s="51" t="s">
        <v>3087</v>
      </c>
      <c r="F864" s="47"/>
      <c r="G864" s="52">
        <f t="array" ref="G864">MAX(IF(INSTOCK!$H$2:$H$2025=B864,INSTOCK!$K$2:$K$2025))</f>
        <v>40</v>
      </c>
      <c r="H864" s="53">
        <f>SUM(IF(INSTOCK!$H$2:$H$2025=B864,INSTOCK!$I$2:$I$2025))</f>
        <v>0</v>
      </c>
      <c r="I864" s="53" t="str">
        <f>SUM(IF([1]!Table13[ID]=B864,[1]!Table13[QTY]))</f>
        <v>#ERROR!</v>
      </c>
      <c r="J864" s="53" t="str">
        <f>TABLEITEM!$H$3:$H$1138-TABLEITEM!$I$3:$I$1138</f>
        <v>#ERROR!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hidden="1" customHeight="1">
      <c r="A865" s="47"/>
      <c r="B865" s="2" t="s">
        <v>780</v>
      </c>
      <c r="C865" s="2" t="s">
        <v>2599</v>
      </c>
      <c r="D865" s="2" t="s">
        <v>3829</v>
      </c>
      <c r="E865" s="51" t="s">
        <v>3087</v>
      </c>
      <c r="F865" s="47"/>
      <c r="G865" s="52">
        <f t="array" ref="G865">MAX(IF(INSTOCK!$H$2:$H$2025=B865,INSTOCK!$K$2:$K$2025))</f>
        <v>25</v>
      </c>
      <c r="H865" s="53">
        <f>SUM(IF(INSTOCK!$H$2:$H$2025=B865,INSTOCK!$I$2:$I$2025))</f>
        <v>0</v>
      </c>
      <c r="I865" s="53" t="str">
        <f>SUM(IF([1]!Table13[ID]=B865,[1]!Table13[QTY]))</f>
        <v>#ERROR!</v>
      </c>
      <c r="J865" s="53" t="str">
        <f>TABLEITEM!$H$3:$H$1138-TABLEITEM!$I$3:$I$1138</f>
        <v>#ERROR!</v>
      </c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hidden="1" customHeight="1">
      <c r="A866" s="47"/>
      <c r="B866" s="2" t="s">
        <v>783</v>
      </c>
      <c r="C866" s="2" t="s">
        <v>2599</v>
      </c>
      <c r="D866" s="2" t="s">
        <v>3830</v>
      </c>
      <c r="E866" s="51" t="s">
        <v>3087</v>
      </c>
      <c r="F866" s="47"/>
      <c r="G866" s="52"/>
      <c r="H866" s="53">
        <f>SUM(IF(INSTOCK!$H$2:$H$2025=B866,INSTOCK!$I$2:$I$2025))</f>
        <v>0</v>
      </c>
      <c r="I866" s="53" t="str">
        <f>SUM(IF([1]!Table13[ID]=B866,[1]!Table13[QTY]))</f>
        <v>#ERROR!</v>
      </c>
      <c r="J866" s="53" t="str">
        <f>TABLEITEM!$H$3:$H$1138-TABLEITEM!$I$3:$I$1138</f>
        <v>#ERROR!</v>
      </c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hidden="1" customHeight="1">
      <c r="A867" s="47"/>
      <c r="B867" s="2" t="s">
        <v>885</v>
      </c>
      <c r="C867" s="2" t="s">
        <v>2599</v>
      </c>
      <c r="D867" s="2" t="s">
        <v>3831</v>
      </c>
      <c r="E867" s="51" t="s">
        <v>3087</v>
      </c>
      <c r="F867" s="47"/>
      <c r="G867" s="52">
        <f t="array" ref="G867">MAX(IF(INSTOCK!$H$2:$H$2025=B867,INSTOCK!$K$2:$K$2025))</f>
        <v>68</v>
      </c>
      <c r="H867" s="53">
        <f>SUM(IF(INSTOCK!$H$2:$H$2025=B867,INSTOCK!$I$2:$I$2025))</f>
        <v>0</v>
      </c>
      <c r="I867" s="53" t="str">
        <f>SUM(IF([1]!Table13[ID]=B867,[1]!Table13[QTY]))</f>
        <v>#ERROR!</v>
      </c>
      <c r="J867" s="53" t="str">
        <f>TABLEITEM!$H$3:$H$1138-TABLEITEM!$I$3:$I$1138</f>
        <v>#ERROR!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hidden="1" customHeight="1">
      <c r="A868" s="47"/>
      <c r="B868" s="2" t="s">
        <v>908</v>
      </c>
      <c r="C868" s="2" t="s">
        <v>2599</v>
      </c>
      <c r="D868" s="2" t="s">
        <v>3832</v>
      </c>
      <c r="E868" s="51" t="s">
        <v>3087</v>
      </c>
      <c r="F868" s="47"/>
      <c r="G868" s="52">
        <f t="array" ref="G868">MAX(IF(INSTOCK!$H$2:$H$2025=B868,INSTOCK!$K$2:$K$2025))</f>
        <v>90</v>
      </c>
      <c r="H868" s="53">
        <f>SUM(IF(INSTOCK!$H$2:$H$2025=B868,INSTOCK!$I$2:$I$2025))</f>
        <v>0</v>
      </c>
      <c r="I868" s="53" t="str">
        <f>SUM(IF([1]!Table13[ID]=B868,[1]!Table13[QTY]))</f>
        <v>#ERROR!</v>
      </c>
      <c r="J868" s="53" t="str">
        <f>TABLEITEM!$H$3:$H$1138-TABLEITEM!$I$3:$I$1138</f>
        <v>#ERROR!</v>
      </c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hidden="1" customHeight="1">
      <c r="A869" s="47"/>
      <c r="B869" s="2" t="s">
        <v>777</v>
      </c>
      <c r="C869" s="2" t="s">
        <v>2599</v>
      </c>
      <c r="D869" s="2" t="s">
        <v>3828</v>
      </c>
      <c r="E869" s="51" t="s">
        <v>3087</v>
      </c>
      <c r="F869" s="47"/>
      <c r="G869" s="52">
        <f t="array" ref="G869">MAX(IF(INSTOCK!$H$2:$H$2025=B869,INSTOCK!$K$2:$K$2025))</f>
        <v>40</v>
      </c>
      <c r="H869" s="53">
        <f>SUM(IF(INSTOCK!$H$2:$H$2025=B869,INSTOCK!$I$2:$I$2025))</f>
        <v>0</v>
      </c>
      <c r="I869" s="53" t="str">
        <f>SUM(IF([1]!Table13[ID]=B869,[1]!Table13[QTY]))</f>
        <v>#ERROR!</v>
      </c>
      <c r="J869" s="53" t="str">
        <f>TABLEITEM!$H$3:$H$1138-TABLEITEM!$I$3:$I$1138</f>
        <v>#ERROR!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hidden="1" customHeight="1">
      <c r="A870" s="47"/>
      <c r="B870" s="2" t="s">
        <v>777</v>
      </c>
      <c r="C870" s="2" t="s">
        <v>2599</v>
      </c>
      <c r="D870" s="2" t="s">
        <v>3828</v>
      </c>
      <c r="E870" s="51" t="s">
        <v>3087</v>
      </c>
      <c r="F870" s="47"/>
      <c r="G870" s="52">
        <f t="array" ref="G870">MAX(IF(INSTOCK!$H$2:$H$2025=B870,INSTOCK!$K$2:$K$2025))</f>
        <v>40</v>
      </c>
      <c r="H870" s="53">
        <f>SUM(IF(INSTOCK!$H$2:$H$2025=B870,INSTOCK!$I$2:$I$2025))</f>
        <v>0</v>
      </c>
      <c r="I870" s="53" t="str">
        <f>SUM(IF([1]!Table13[ID]=B870,[1]!Table13[QTY]))</f>
        <v>#ERROR!</v>
      </c>
      <c r="J870" s="53" t="str">
        <f>TABLEITEM!$H$3:$H$1138-TABLEITEM!$I$3:$I$1138</f>
        <v>#ERROR!</v>
      </c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hidden="1" customHeight="1">
      <c r="A871" s="47"/>
      <c r="B871" s="2" t="s">
        <v>892</v>
      </c>
      <c r="C871" s="2" t="s">
        <v>2599</v>
      </c>
      <c r="D871" s="2" t="s">
        <v>3833</v>
      </c>
      <c r="E871" s="51" t="s">
        <v>3087</v>
      </c>
      <c r="F871" s="47"/>
      <c r="G871" s="52">
        <f t="array" ref="G871">MAX(IF(INSTOCK!$H$2:$H$2025=B871,INSTOCK!$K$2:$K$2025))</f>
        <v>90</v>
      </c>
      <c r="H871" s="53">
        <f>SUM(IF(INSTOCK!$H$2:$H$2025=B871,INSTOCK!$I$2:$I$2025))</f>
        <v>0</v>
      </c>
      <c r="I871" s="53" t="str">
        <f>SUM(IF([1]!Table13[ID]=B871,[1]!Table13[QTY]))</f>
        <v>#ERROR!</v>
      </c>
      <c r="J871" s="53" t="str">
        <f>TABLEITEM!$H$3:$H$1138-TABLEITEM!$I$3:$I$1138</f>
        <v>#ERROR!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hidden="1" customHeight="1">
      <c r="A872" s="47"/>
      <c r="B872" s="2" t="s">
        <v>684</v>
      </c>
      <c r="C872" s="22" t="s">
        <v>2595</v>
      </c>
      <c r="D872" s="2" t="s">
        <v>3834</v>
      </c>
      <c r="E872" s="51"/>
      <c r="F872" s="47"/>
      <c r="G872" s="52">
        <f t="array" ref="G872">MAX(IF(INSTOCK!$H$2:$H$2025=B872,INSTOCK!$K$2:$K$2025))</f>
        <v>0</v>
      </c>
      <c r="H872" s="53">
        <f>SUM(IF(INSTOCK!$H$2:$H$2025=B872,INSTOCK!$I$2:$I$2025))</f>
        <v>0</v>
      </c>
      <c r="I872" s="53" t="str">
        <f>SUM(IF([1]!Table13[ID]=B872,[1]!Table13[QTY]))</f>
        <v>#ERROR!</v>
      </c>
      <c r="J872" s="53" t="str">
        <f>TABLEITEM!$H$3:$H$1138-TABLEITEM!$I$3:$I$1138</f>
        <v>#ERROR!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hidden="1" customHeight="1">
      <c r="A873" s="47"/>
      <c r="B873" s="2" t="s">
        <v>1034</v>
      </c>
      <c r="C873" s="2" t="s">
        <v>2599</v>
      </c>
      <c r="D873" s="2" t="s">
        <v>3835</v>
      </c>
      <c r="E873" s="51" t="s">
        <v>3087</v>
      </c>
      <c r="F873" s="47"/>
      <c r="G873" s="52">
        <f t="array" ref="G873">MAX(IF(INSTOCK!$H$2:$H$2025=B873,INSTOCK!$K$2:$K$2025))</f>
        <v>150</v>
      </c>
      <c r="H873" s="63">
        <f>SUM(IF(INSTOCK!$H$2:$H$2025=B873,INSTOCK!$I$2:$I$2025))</f>
        <v>168345.3</v>
      </c>
      <c r="I873" s="53" t="str">
        <f>SUM(IF([1]!Table13[ID]=B873,[1]!Table13[QTY]))</f>
        <v>#ERROR!</v>
      </c>
      <c r="J873" s="53" t="str">
        <f>TABLEITEM!$H$3:$H$1138-TABLEITEM!$I$3:$I$1138</f>
        <v>#ERROR!</v>
      </c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hidden="1" customHeight="1">
      <c r="A874" s="47"/>
      <c r="B874" s="2" t="s">
        <v>1037</v>
      </c>
      <c r="C874" s="2" t="s">
        <v>2599</v>
      </c>
      <c r="D874" s="2" t="s">
        <v>3836</v>
      </c>
      <c r="E874" s="51" t="s">
        <v>3087</v>
      </c>
      <c r="F874" s="47"/>
      <c r="G874" s="52">
        <f t="array" ref="G874">MAX(IF(INSTOCK!$H$2:$H$2025=B874,INSTOCK!$K$2:$K$2025))</f>
        <v>150</v>
      </c>
      <c r="H874" s="63">
        <f>SUM(IF(INSTOCK!$H$2:$H$2025=B874,INSTOCK!$I$2:$I$2025))</f>
        <v>168345.3</v>
      </c>
      <c r="I874" s="53" t="str">
        <f>SUM(IF([1]!Table13[ID]=B874,[1]!Table13[QTY]))</f>
        <v>#ERROR!</v>
      </c>
      <c r="J874" s="53" t="str">
        <f>TABLEITEM!$H$3:$H$1138-TABLEITEM!$I$3:$I$1138</f>
        <v>#ERROR!</v>
      </c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hidden="1" customHeight="1">
      <c r="A875" s="47"/>
      <c r="B875" s="2" t="s">
        <v>1040</v>
      </c>
      <c r="C875" s="2" t="s">
        <v>2599</v>
      </c>
      <c r="D875" s="2" t="s">
        <v>3837</v>
      </c>
      <c r="E875" s="51" t="s">
        <v>3087</v>
      </c>
      <c r="F875" s="47"/>
      <c r="G875" s="52">
        <f t="array" ref="G875">MAX(IF(INSTOCK!$H$2:$H$2025=B875,INSTOCK!$K$2:$K$2025))</f>
        <v>75</v>
      </c>
      <c r="H875" s="63">
        <f>SUM(IF(INSTOCK!$H$2:$H$2025=B875,INSTOCK!$I$2:$I$2025))</f>
        <v>168345.3</v>
      </c>
      <c r="I875" s="53" t="str">
        <f>SUM(IF([1]!Table13[ID]=B875,[1]!Table13[QTY]))</f>
        <v>#ERROR!</v>
      </c>
      <c r="J875" s="53" t="str">
        <f>TABLEITEM!$H$3:$H$1138-TABLEITEM!$I$3:$I$1138</f>
        <v>#ERROR!</v>
      </c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hidden="1" customHeight="1">
      <c r="A876" s="47"/>
      <c r="B876" s="2" t="s">
        <v>1043</v>
      </c>
      <c r="C876" s="2" t="s">
        <v>2599</v>
      </c>
      <c r="D876" s="2" t="s">
        <v>3838</v>
      </c>
      <c r="E876" s="51" t="s">
        <v>3087</v>
      </c>
      <c r="F876" s="47"/>
      <c r="G876" s="52">
        <f t="array" ref="G876">MAX(IF(INSTOCK!$H$2:$H$2025=B876,INSTOCK!$K$2:$K$2025))</f>
        <v>45</v>
      </c>
      <c r="H876" s="63">
        <f>SUM(IF(INSTOCK!$H$2:$H$2025=B876,INSTOCK!$I$2:$I$2025))</f>
        <v>168345.3</v>
      </c>
      <c r="I876" s="53" t="str">
        <f>SUM(IF([1]!Table13[ID]=B876,[1]!Table13[QTY]))</f>
        <v>#ERROR!</v>
      </c>
      <c r="J876" s="53" t="str">
        <f>TABLEITEM!$H$3:$H$1138-TABLEITEM!$I$3:$I$1138</f>
        <v>#ERROR!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hidden="1" customHeight="1">
      <c r="A877" s="47"/>
      <c r="B877" s="2" t="s">
        <v>1029</v>
      </c>
      <c r="C877" s="2" t="s">
        <v>2599</v>
      </c>
      <c r="D877" s="2" t="s">
        <v>3839</v>
      </c>
      <c r="E877" s="51" t="s">
        <v>3087</v>
      </c>
      <c r="F877" s="47"/>
      <c r="G877" s="52">
        <f t="array" ref="G877">MAX(IF(INSTOCK!$H$2:$H$2025=B877,INSTOCK!$K$2:$K$2025))</f>
        <v>300</v>
      </c>
      <c r="H877" s="53">
        <f>SUM(IF(INSTOCK!$H$2:$H$2025=B877,INSTOCK!$I$2:$I$2025))</f>
        <v>0</v>
      </c>
      <c r="I877" s="53" t="str">
        <f>SUM(IF([1]!Table13[ID]=B877,[1]!Table13[QTY]))</f>
        <v>#ERROR!</v>
      </c>
      <c r="J877" s="53" t="str">
        <f>TABLEITEM!$H$3:$H$1138-TABLEITEM!$I$3:$I$1138</f>
        <v>#ERROR!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hidden="1" customHeight="1">
      <c r="A878" s="47"/>
      <c r="B878" s="2" t="s">
        <v>1064</v>
      </c>
      <c r="C878" s="2" t="s">
        <v>1056</v>
      </c>
      <c r="D878" s="2" t="s">
        <v>1065</v>
      </c>
      <c r="E878" s="51"/>
      <c r="F878" s="47"/>
      <c r="G878" s="52">
        <f t="array" ref="G878">MAX(IF(INSTOCK!$H$2:$H$2025=B878,INSTOCK!$K$2:$K$2025))</f>
        <v>215.8333</v>
      </c>
      <c r="H878" s="53">
        <f>SUM(IF(INSTOCK!$H$2:$H$2025=B878,INSTOCK!$I$2:$I$2025))</f>
        <v>0</v>
      </c>
      <c r="I878" s="53" t="str">
        <f>SUM(IF([1]!Table13[ID]=B878,[1]!Table13[QTY]))</f>
        <v>#ERROR!</v>
      </c>
      <c r="J878" s="53" t="str">
        <f>TABLEITEM!$H$3:$H$1138-TABLEITEM!$I$3:$I$1138</f>
        <v>#ERROR!</v>
      </c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hidden="1" customHeight="1">
      <c r="A879" s="47"/>
      <c r="B879" s="2" t="s">
        <v>1067</v>
      </c>
      <c r="C879" s="2" t="s">
        <v>1056</v>
      </c>
      <c r="D879" s="2" t="s">
        <v>1068</v>
      </c>
      <c r="E879" s="51"/>
      <c r="F879" s="47"/>
      <c r="G879" s="52">
        <f t="array" ref="G879">MAX(IF(INSTOCK!$H$2:$H$2025=B879,INSTOCK!$K$2:$K$2025))</f>
        <v>37.6666</v>
      </c>
      <c r="H879" s="53">
        <f>SUM(IF(INSTOCK!$H$2:$H$2025=B879,INSTOCK!$I$2:$I$2025))</f>
        <v>0</v>
      </c>
      <c r="I879" s="53" t="str">
        <f>SUM(IF([1]!Table13[ID]=B879,[1]!Table13[QTY]))</f>
        <v>#ERROR!</v>
      </c>
      <c r="J879" s="53" t="str">
        <f>TABLEITEM!$H$3:$H$1138-TABLEITEM!$I$3:$I$1138</f>
        <v>#ERROR!</v>
      </c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hidden="1" customHeight="1">
      <c r="A880" s="47"/>
      <c r="B880" s="2" t="s">
        <v>1070</v>
      </c>
      <c r="C880" s="2" t="s">
        <v>1056</v>
      </c>
      <c r="D880" s="2" t="s">
        <v>1071</v>
      </c>
      <c r="E880" s="51"/>
      <c r="F880" s="47"/>
      <c r="G880" s="52">
        <f t="array" ref="G880">MAX(IF(INSTOCK!$H$2:$H$2025=B880,INSTOCK!$K$2:$K$2025))</f>
        <v>51.666</v>
      </c>
      <c r="H880" s="53">
        <f>SUM(IF(INSTOCK!$H$2:$H$2025=B880,INSTOCK!$I$2:$I$2025))</f>
        <v>0</v>
      </c>
      <c r="I880" s="53" t="str">
        <f>SUM(IF([1]!Table13[ID]=B880,[1]!Table13[QTY]))</f>
        <v>#ERROR!</v>
      </c>
      <c r="J880" s="53" t="str">
        <f>TABLEITEM!$H$3:$H$1138-TABLEITEM!$I$3:$I$1138</f>
        <v>#ERROR!</v>
      </c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hidden="1" customHeight="1">
      <c r="A881" s="47"/>
      <c r="B881" s="2" t="s">
        <v>1075</v>
      </c>
      <c r="C881" s="2" t="s">
        <v>2599</v>
      </c>
      <c r="D881" s="2" t="s">
        <v>3840</v>
      </c>
      <c r="E881" s="51" t="s">
        <v>3087</v>
      </c>
      <c r="F881" s="47"/>
      <c r="G881" s="52">
        <f t="array" ref="G881">MAX(IF(INSTOCK!$H$2:$H$2025=B881,INSTOCK!$K$2:$K$2025))</f>
        <v>115</v>
      </c>
      <c r="H881" s="53">
        <f>SUM(IF(INSTOCK!$H$2:$H$2025=B881,INSTOCK!$I$2:$I$2025))</f>
        <v>0</v>
      </c>
      <c r="I881" s="53" t="str">
        <f>SUM(IF([1]!Table13[ID]=B881,[1]!Table13[QTY]))</f>
        <v>#ERROR!</v>
      </c>
      <c r="J881" s="53" t="str">
        <f>TABLEITEM!$H$3:$H$1138-TABLEITEM!$I$3:$I$1138</f>
        <v>#ERROR!</v>
      </c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hidden="1" customHeight="1">
      <c r="A882" s="47"/>
      <c r="B882" s="2" t="s">
        <v>1079</v>
      </c>
      <c r="C882" s="2" t="s">
        <v>2599</v>
      </c>
      <c r="D882" s="2" t="s">
        <v>3841</v>
      </c>
      <c r="E882" s="51" t="s">
        <v>3087</v>
      </c>
      <c r="F882" s="47"/>
      <c r="G882" s="52">
        <f t="array" ref="G882">MAX(IF(INSTOCK!$H$2:$H$2025=B882,INSTOCK!$K$2:$K$2025))</f>
        <v>187</v>
      </c>
      <c r="H882" s="53">
        <f>SUM(IF(INSTOCK!$H$2:$H$2025=B882,INSTOCK!$I$2:$I$2025))</f>
        <v>0</v>
      </c>
      <c r="I882" s="53" t="str">
        <f>SUM(IF([1]!Table13[ID]=B882,[1]!Table13[QTY]))</f>
        <v>#ERROR!</v>
      </c>
      <c r="J882" s="53" t="str">
        <f>TABLEITEM!$H$3:$H$1138-TABLEITEM!$I$3:$I$1138</f>
        <v>#ERROR!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hidden="1" customHeight="1">
      <c r="A883" s="47"/>
      <c r="B883" s="2" t="s">
        <v>1084</v>
      </c>
      <c r="C883" s="2" t="s">
        <v>2599</v>
      </c>
      <c r="D883" s="2" t="s">
        <v>3842</v>
      </c>
      <c r="E883" s="51" t="s">
        <v>3087</v>
      </c>
      <c r="F883" s="47"/>
      <c r="G883" s="52">
        <f t="array" ref="G883">MAX(IF(INSTOCK!$H$2:$H$2025=B883,INSTOCK!$K$2:$K$2025))</f>
        <v>90</v>
      </c>
      <c r="H883" s="53">
        <f>SUM(IF(INSTOCK!$H$2:$H$2025=B883,INSTOCK!$I$2:$I$2025))</f>
        <v>0</v>
      </c>
      <c r="I883" s="53" t="str">
        <f>SUM(IF([1]!Table13[ID]=B883,[1]!Table13[QTY]))</f>
        <v>#ERROR!</v>
      </c>
      <c r="J883" s="53" t="str">
        <f>TABLEITEM!$H$3:$H$1138-TABLEITEM!$I$3:$I$1138</f>
        <v>#ERROR!</v>
      </c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hidden="1" customHeight="1">
      <c r="A884" s="47"/>
      <c r="B884" s="2" t="s">
        <v>1229</v>
      </c>
      <c r="C884" s="22" t="s">
        <v>2595</v>
      </c>
      <c r="D884" s="2" t="s">
        <v>3843</v>
      </c>
      <c r="E884" s="51"/>
      <c r="F884" s="47"/>
      <c r="G884" s="52">
        <f t="array" ref="G884">MAX(IF(INSTOCK!$H$2:$H$2025=B884,INSTOCK!$K$2:$K$2025))</f>
        <v>0</v>
      </c>
      <c r="H884" s="53">
        <f>SUM(IF(INSTOCK!$H$2:$H$2025=B884,INSTOCK!$I$2:$I$2025))</f>
        <v>0</v>
      </c>
      <c r="I884" s="53" t="str">
        <f>SUM(IF([1]!Table13[ID]=B884,[1]!Table13[QTY]))</f>
        <v>#ERROR!</v>
      </c>
      <c r="J884" s="53" t="str">
        <f>TABLEITEM!$H$3:$H$1138-TABLEITEM!$I$3:$I$1138</f>
        <v>#ERROR!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hidden="1" customHeight="1">
      <c r="A885" s="47"/>
      <c r="B885" s="2" t="s">
        <v>1097</v>
      </c>
      <c r="C885" s="2" t="s">
        <v>1056</v>
      </c>
      <c r="D885" s="2" t="s">
        <v>3844</v>
      </c>
      <c r="E885" s="51" t="s">
        <v>3087</v>
      </c>
      <c r="F885" s="47"/>
      <c r="G885" s="52">
        <f t="array" ref="G885">MAX(IF(INSTOCK!$H$2:$H$2025=B885,INSTOCK!$K$2:$K$2025))</f>
        <v>1100</v>
      </c>
      <c r="H885" s="53">
        <f>SUM(IF(INSTOCK!$H$2:$H$2025=B885,INSTOCK!$I$2:$I$2025))</f>
        <v>0</v>
      </c>
      <c r="I885" s="53" t="str">
        <f>SUM(IF([1]!Table13[ID]=B885,[1]!Table13[QTY]))</f>
        <v>#ERROR!</v>
      </c>
      <c r="J885" s="53" t="str">
        <f>TABLEITEM!$H$3:$H$1138-TABLEITEM!$I$3:$I$1138</f>
        <v>#ERROR!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hidden="1" customHeight="1">
      <c r="A886" s="47"/>
      <c r="B886" s="2" t="s">
        <v>1116</v>
      </c>
      <c r="C886" s="2" t="s">
        <v>2599</v>
      </c>
      <c r="D886" s="2" t="s">
        <v>3845</v>
      </c>
      <c r="E886" s="51" t="s">
        <v>3087</v>
      </c>
      <c r="F886" s="47"/>
      <c r="G886" s="52">
        <f t="array" ref="G886">MAX(IF(INSTOCK!$H$2:$H$2025=B886,INSTOCK!$K$2:$K$2025))</f>
        <v>105</v>
      </c>
      <c r="H886" s="53">
        <f>SUM(IF(INSTOCK!$H$2:$H$2025=B886,INSTOCK!$I$2:$I$2025))</f>
        <v>0</v>
      </c>
      <c r="I886" s="53" t="str">
        <f>SUM(IF([1]!Table13[ID]=B886,[1]!Table13[QTY]))</f>
        <v>#ERROR!</v>
      </c>
      <c r="J886" s="53" t="str">
        <f>TABLEITEM!$H$3:$H$1138-TABLEITEM!$I$3:$I$1138</f>
        <v>#ERROR!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hidden="1" customHeight="1">
      <c r="A887" s="47"/>
      <c r="B887" s="2" t="s">
        <v>1119</v>
      </c>
      <c r="C887" s="2" t="s">
        <v>2599</v>
      </c>
      <c r="D887" s="2" t="s">
        <v>3846</v>
      </c>
      <c r="E887" s="51" t="s">
        <v>3087</v>
      </c>
      <c r="F887" s="47"/>
      <c r="G887" s="52">
        <f t="array" ref="G887">MAX(IF(INSTOCK!$H$2:$H$2025=B887,INSTOCK!$K$2:$K$2025))</f>
        <v>140</v>
      </c>
      <c r="H887" s="53">
        <f>SUM(IF(INSTOCK!$H$2:$H$2025=B887,INSTOCK!$I$2:$I$2025))</f>
        <v>0</v>
      </c>
      <c r="I887" s="53" t="str">
        <f>SUM(IF([1]!Table13[ID]=B887,[1]!Table13[QTY]))</f>
        <v>#ERROR!</v>
      </c>
      <c r="J887" s="53" t="str">
        <f>TABLEITEM!$H$3:$H$1138-TABLEITEM!$I$3:$I$1138</f>
        <v>#ERROR!</v>
      </c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hidden="1" customHeight="1">
      <c r="A888" s="47"/>
      <c r="B888" s="2" t="s">
        <v>1124</v>
      </c>
      <c r="C888" s="22" t="s">
        <v>2595</v>
      </c>
      <c r="D888" s="2" t="s">
        <v>3847</v>
      </c>
      <c r="E888" s="51"/>
      <c r="F888" s="47"/>
      <c r="G888" s="52">
        <f t="array" ref="G888">MAX(IF(INSTOCK!$H$2:$H$2025=B888,INSTOCK!$K$2:$K$2025))</f>
        <v>0</v>
      </c>
      <c r="H888" s="53">
        <f>SUM(IF(INSTOCK!$H$2:$H$2025=B888,INSTOCK!$I$2:$I$2025))</f>
        <v>0</v>
      </c>
      <c r="I888" s="53" t="str">
        <f>SUM(IF([1]!Table13[ID]=B888,[1]!Table13[QTY]))</f>
        <v>#ERROR!</v>
      </c>
      <c r="J888" s="53" t="str">
        <f>TABLEITEM!$H$3:$H$1138-TABLEITEM!$I$3:$I$1138</f>
        <v>#ERROR!</v>
      </c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hidden="1" customHeight="1">
      <c r="A889" s="47"/>
      <c r="B889" s="2" t="s">
        <v>1125</v>
      </c>
      <c r="C889" s="22" t="s">
        <v>2595</v>
      </c>
      <c r="D889" s="2" t="s">
        <v>3848</v>
      </c>
      <c r="E889" s="51"/>
      <c r="F889" s="47"/>
      <c r="G889" s="52">
        <f t="array" ref="G889">MAX(IF(INSTOCK!$H$2:$H$2025=B889,INSTOCK!$K$2:$K$2025))</f>
        <v>0</v>
      </c>
      <c r="H889" s="53">
        <f>SUM(IF(INSTOCK!$H$2:$H$2025=B889,INSTOCK!$I$2:$I$2025))</f>
        <v>0</v>
      </c>
      <c r="I889" s="53" t="str">
        <f>SUM(IF([1]!Table13[ID]=B889,[1]!Table13[QTY]))</f>
        <v>#ERROR!</v>
      </c>
      <c r="J889" s="53" t="str">
        <f>TABLEITEM!$H$3:$H$1138-TABLEITEM!$I$3:$I$1138</f>
        <v>#ERROR!</v>
      </c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hidden="1" customHeight="1">
      <c r="A890" s="47"/>
      <c r="B890" s="2" t="s">
        <v>1129</v>
      </c>
      <c r="C890" s="22" t="s">
        <v>2595</v>
      </c>
      <c r="D890" s="2" t="s">
        <v>3849</v>
      </c>
      <c r="E890" s="51"/>
      <c r="F890" s="47"/>
      <c r="G890" s="52">
        <f t="array" ref="G890">MAX(IF(INSTOCK!$H$2:$H$2025=B890,INSTOCK!$K$2:$K$2025))</f>
        <v>0</v>
      </c>
      <c r="H890" s="53">
        <f>SUM(IF(INSTOCK!$H$2:$H$2025=B890,INSTOCK!$I$2:$I$2025))</f>
        <v>0</v>
      </c>
      <c r="I890" s="53" t="str">
        <f>SUM(IF([1]!Table13[ID]=B890,[1]!Table13[QTY]))</f>
        <v>#ERROR!</v>
      </c>
      <c r="J890" s="53" t="str">
        <f>TABLEITEM!$H$3:$H$1138-TABLEITEM!$I$3:$I$1138</f>
        <v>#ERROR!</v>
      </c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hidden="1" customHeight="1">
      <c r="A891" s="47"/>
      <c r="B891" s="2" t="s">
        <v>1137</v>
      </c>
      <c r="C891" s="2" t="s">
        <v>2599</v>
      </c>
      <c r="D891" s="2" t="s">
        <v>3850</v>
      </c>
      <c r="E891" s="51" t="s">
        <v>3087</v>
      </c>
      <c r="F891" s="47"/>
      <c r="G891" s="52">
        <f t="array" ref="G891">MAX(IF(INSTOCK!$H$2:$H$2025=B891,INSTOCK!$K$2:$K$2025))</f>
        <v>150</v>
      </c>
      <c r="H891" s="53">
        <f>SUM(IF(INSTOCK!$H$2:$H$2025=B891,INSTOCK!$I$2:$I$2025))</f>
        <v>0</v>
      </c>
      <c r="I891" s="53" t="str">
        <f>SUM(IF([1]!Table13[ID]=B891,[1]!Table13[QTY]))</f>
        <v>#ERROR!</v>
      </c>
      <c r="J891" s="53" t="str">
        <f>TABLEITEM!$H$3:$H$1138-TABLEITEM!$I$3:$I$1138</f>
        <v>#ERROR!</v>
      </c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hidden="1" customHeight="1">
      <c r="A892" s="47"/>
      <c r="B892" s="2" t="s">
        <v>1140</v>
      </c>
      <c r="C892" s="2" t="s">
        <v>2599</v>
      </c>
      <c r="D892" s="2" t="s">
        <v>3851</v>
      </c>
      <c r="E892" s="51" t="s">
        <v>3087</v>
      </c>
      <c r="F892" s="47"/>
      <c r="G892" s="52">
        <f t="array" ref="G892">MAX(IF(INSTOCK!$H$2:$H$2025=B892,INSTOCK!$K$2:$K$2025))</f>
        <v>500</v>
      </c>
      <c r="H892" s="53">
        <f>SUM(IF(INSTOCK!$H$2:$H$2025=B892,INSTOCK!$I$2:$I$2025))</f>
        <v>0</v>
      </c>
      <c r="I892" s="53" t="str">
        <f>SUM(IF([1]!Table13[ID]=B892,[1]!Table13[QTY]))</f>
        <v>#ERROR!</v>
      </c>
      <c r="J892" s="53" t="str">
        <f>TABLEITEM!$H$3:$H$1138-TABLEITEM!$I$3:$I$1138</f>
        <v>#ERROR!</v>
      </c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hidden="1" customHeight="1">
      <c r="A893" s="47"/>
      <c r="B893" s="2" t="s">
        <v>1143</v>
      </c>
      <c r="C893" s="2" t="s">
        <v>2599</v>
      </c>
      <c r="D893" s="2" t="s">
        <v>3852</v>
      </c>
      <c r="E893" s="51" t="s">
        <v>3087</v>
      </c>
      <c r="F893" s="47"/>
      <c r="G893" s="52">
        <f t="array" ref="G893">MAX(IF(INSTOCK!$H$2:$H$2025=B893,INSTOCK!$K$2:$K$2025))</f>
        <v>135</v>
      </c>
      <c r="H893" s="53">
        <f>SUM(IF(INSTOCK!$H$2:$H$2025=B893,INSTOCK!$I$2:$I$2025))</f>
        <v>0</v>
      </c>
      <c r="I893" s="53" t="str">
        <f>SUM(IF([1]!Table13[ID]=B893,[1]!Table13[QTY]))</f>
        <v>#ERROR!</v>
      </c>
      <c r="J893" s="53" t="str">
        <f>TABLEITEM!$H$3:$H$1138-TABLEITEM!$I$3:$I$1138</f>
        <v>#ERROR!</v>
      </c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hidden="1" customHeight="1">
      <c r="A894" s="47"/>
      <c r="B894" s="2" t="s">
        <v>1149</v>
      </c>
      <c r="C894" s="2" t="s">
        <v>2599</v>
      </c>
      <c r="D894" s="2" t="s">
        <v>3853</v>
      </c>
      <c r="E894" s="51" t="s">
        <v>3087</v>
      </c>
      <c r="F894" s="47"/>
      <c r="G894" s="52">
        <f t="array" ref="G894">MAX(IF(INSTOCK!$H$2:$H$2025=B894,INSTOCK!$K$2:$K$2025))</f>
        <v>150</v>
      </c>
      <c r="H894" s="53">
        <f>SUM(IF(INSTOCK!$H$2:$H$2025=B894,INSTOCK!$I$2:$I$2025))</f>
        <v>0</v>
      </c>
      <c r="I894" s="53" t="str">
        <f>SUM(IF([1]!Table13[ID]=B894,[1]!Table13[QTY]))</f>
        <v>#ERROR!</v>
      </c>
      <c r="J894" s="53" t="str">
        <f>TABLEITEM!$H$3:$H$1138-TABLEITEM!$I$3:$I$1138</f>
        <v>#ERROR!</v>
      </c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hidden="1" customHeight="1">
      <c r="A895" s="47"/>
      <c r="B895" s="2" t="s">
        <v>1152</v>
      </c>
      <c r="C895" s="2" t="s">
        <v>1056</v>
      </c>
      <c r="D895" s="2" t="s">
        <v>3854</v>
      </c>
      <c r="E895" s="51" t="s">
        <v>3610</v>
      </c>
      <c r="F895" s="47"/>
      <c r="G895" s="52">
        <f t="array" ref="G895">MAX(IF(INSTOCK!$H$2:$H$2025=B895,INSTOCK!$K$2:$K$2025))</f>
        <v>50</v>
      </c>
      <c r="H895" s="53">
        <f>SUM(IF(INSTOCK!$H$2:$H$2025=B895,INSTOCK!$I$2:$I$2025))</f>
        <v>0</v>
      </c>
      <c r="I895" s="53" t="str">
        <f>SUM(IF([1]!Table13[ID]=B895,[1]!Table13[QTY]))</f>
        <v>#ERROR!</v>
      </c>
      <c r="J895" s="53" t="str">
        <f>TABLEITEM!$H$3:$H$1138-TABLEITEM!$I$3:$I$1138</f>
        <v>#ERROR!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hidden="1" customHeight="1">
      <c r="A896" s="47"/>
      <c r="B896" s="2" t="s">
        <v>1163</v>
      </c>
      <c r="C896" s="2" t="s">
        <v>2599</v>
      </c>
      <c r="D896" s="2" t="s">
        <v>3855</v>
      </c>
      <c r="E896" s="51" t="s">
        <v>3087</v>
      </c>
      <c r="F896" s="47"/>
      <c r="G896" s="52">
        <f t="array" ref="G896">MAX(IF(INSTOCK!$H$2:$H$2025=B896,INSTOCK!$K$2:$K$2025))</f>
        <v>180</v>
      </c>
      <c r="H896" s="53">
        <f>SUM(IF(INSTOCK!$H$2:$H$2025=B896,INSTOCK!$I$2:$I$2025))</f>
        <v>0</v>
      </c>
      <c r="I896" s="53" t="str">
        <f>SUM(IF([1]!Table13[ID]=B896,[1]!Table13[QTY]))</f>
        <v>#ERROR!</v>
      </c>
      <c r="J896" s="53" t="str">
        <f>TABLEITEM!$H$3:$H$1138-TABLEITEM!$I$3:$I$1138</f>
        <v>#ERROR!</v>
      </c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hidden="1" customHeight="1">
      <c r="A897" s="47"/>
      <c r="B897" s="2" t="s">
        <v>1166</v>
      </c>
      <c r="C897" s="2" t="s">
        <v>2599</v>
      </c>
      <c r="D897" s="2" t="s">
        <v>3856</v>
      </c>
      <c r="E897" s="51" t="s">
        <v>3087</v>
      </c>
      <c r="F897" s="47"/>
      <c r="G897" s="52">
        <f t="array" ref="G897">MAX(IF(INSTOCK!$H$2:$H$2025=B897,INSTOCK!$K$2:$K$2025))</f>
        <v>240</v>
      </c>
      <c r="H897" s="53">
        <f>SUM(IF(INSTOCK!$H$2:$H$2025=B897,INSTOCK!$I$2:$I$2025))</f>
        <v>0</v>
      </c>
      <c r="I897" s="53" t="str">
        <f>SUM(IF([1]!Table13[ID]=B897,[1]!Table13[QTY]))</f>
        <v>#ERROR!</v>
      </c>
      <c r="J897" s="53" t="str">
        <f>TABLEITEM!$H$3:$H$1138-TABLEITEM!$I$3:$I$1138</f>
        <v>#ERROR!</v>
      </c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hidden="1" customHeight="1">
      <c r="A898" s="47"/>
      <c r="B898" s="2" t="s">
        <v>1171</v>
      </c>
      <c r="C898" s="2" t="s">
        <v>2599</v>
      </c>
      <c r="D898" s="2" t="s">
        <v>3857</v>
      </c>
      <c r="E898" s="51" t="s">
        <v>3087</v>
      </c>
      <c r="F898" s="47"/>
      <c r="G898" s="52">
        <f t="array" ref="G898">MAX(IF(INSTOCK!$H$2:$H$2025=B898,INSTOCK!$K$2:$K$2025))</f>
        <v>38</v>
      </c>
      <c r="H898" s="53">
        <f>SUM(IF(INSTOCK!$H$2:$H$2025=B898,INSTOCK!$I$2:$I$2025))</f>
        <v>0</v>
      </c>
      <c r="I898" s="53" t="str">
        <f>SUM(IF([1]!Table13[ID]=B898,[1]!Table13[QTY]))</f>
        <v>#ERROR!</v>
      </c>
      <c r="J898" s="53" t="str">
        <f>TABLEITEM!$H$3:$H$1138-TABLEITEM!$I$3:$I$1138</f>
        <v>#ERROR!</v>
      </c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hidden="1" customHeight="1">
      <c r="A899" s="47"/>
      <c r="B899" s="2" t="s">
        <v>1176</v>
      </c>
      <c r="C899" s="2" t="s">
        <v>2599</v>
      </c>
      <c r="D899" s="2" t="s">
        <v>3858</v>
      </c>
      <c r="E899" s="51" t="s">
        <v>3087</v>
      </c>
      <c r="F899" s="47"/>
      <c r="G899" s="52">
        <f t="array" ref="G899">MAX(IF(INSTOCK!$H$2:$H$2025=B899,INSTOCK!$K$2:$K$2025))</f>
        <v>75</v>
      </c>
      <c r="H899" s="53">
        <f>SUM(IF(INSTOCK!$H$2:$H$2025=B899,INSTOCK!$I$2:$I$2025))</f>
        <v>0</v>
      </c>
      <c r="I899" s="53" t="str">
        <f>SUM(IF([1]!Table13[ID]=B899,[1]!Table13[QTY]))</f>
        <v>#ERROR!</v>
      </c>
      <c r="J899" s="53" t="str">
        <f>TABLEITEM!$H$3:$H$1138-TABLEITEM!$I$3:$I$1138</f>
        <v>#ERROR!</v>
      </c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hidden="1" customHeight="1">
      <c r="A900" s="47"/>
      <c r="B900" s="2" t="s">
        <v>1186</v>
      </c>
      <c r="C900" s="2" t="s">
        <v>1056</v>
      </c>
      <c r="D900" s="2" t="s">
        <v>3859</v>
      </c>
      <c r="E900" s="51"/>
      <c r="F900" s="47"/>
      <c r="G900" s="52">
        <f t="array" ref="G900">MAX(IF(INSTOCK!$H$2:$H$2025=B900,INSTOCK!$K$2:$K$2025))</f>
        <v>116.6666</v>
      </c>
      <c r="H900" s="53">
        <f>SUM(IF(INSTOCK!$H$2:$H$2025=B900,INSTOCK!$I$2:$I$2025))</f>
        <v>0</v>
      </c>
      <c r="I900" s="53" t="str">
        <f>SUM(IF([1]!Table13[ID]=B900,[1]!Table13[QTY]))</f>
        <v>#ERROR!</v>
      </c>
      <c r="J900" s="53" t="str">
        <f>TABLEITEM!$H$3:$H$1138-TABLEITEM!$I$3:$I$1138</f>
        <v>#ERROR!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hidden="1" customHeight="1">
      <c r="A901" s="47"/>
      <c r="B901" s="2" t="s">
        <v>1197</v>
      </c>
      <c r="C901" s="2" t="s">
        <v>2599</v>
      </c>
      <c r="D901" s="2" t="s">
        <v>3860</v>
      </c>
      <c r="E901" s="51" t="s">
        <v>3087</v>
      </c>
      <c r="F901" s="47"/>
      <c r="G901" s="52">
        <f t="array" ref="G901">MAX(IF(INSTOCK!$H$2:$H$2025=B901,INSTOCK!$K$2:$K$2025))</f>
        <v>180</v>
      </c>
      <c r="H901" s="53">
        <f>SUM(IF(INSTOCK!$H$2:$H$2025=B901,INSTOCK!$I$2:$I$2025))</f>
        <v>0</v>
      </c>
      <c r="I901" s="53" t="str">
        <f>SUM(IF([1]!Table13[ID]=B901,[1]!Table13[QTY]))</f>
        <v>#ERROR!</v>
      </c>
      <c r="J901" s="53" t="str">
        <f>TABLEITEM!$H$3:$H$1138-TABLEITEM!$I$3:$I$1138</f>
        <v>#ERROR!</v>
      </c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hidden="1" customHeight="1">
      <c r="A902" s="47"/>
      <c r="B902" s="2" t="s">
        <v>875</v>
      </c>
      <c r="C902" s="2" t="s">
        <v>2599</v>
      </c>
      <c r="D902" s="2" t="s">
        <v>3861</v>
      </c>
      <c r="E902" s="51" t="s">
        <v>3087</v>
      </c>
      <c r="F902" s="47"/>
      <c r="G902" s="52">
        <f t="array" ref="G902">MAX(IF(INSTOCK!$H$2:$H$2025=B902,INSTOCK!$K$2:$K$2025))</f>
        <v>60</v>
      </c>
      <c r="H902" s="53">
        <f>SUM(IF(INSTOCK!$H$2:$H$2025=B902,INSTOCK!$I$2:$I$2025))</f>
        <v>0</v>
      </c>
      <c r="I902" s="53" t="str">
        <f>SUM(IF([1]!Table13[ID]=B902,[1]!Table13[QTY]))</f>
        <v>#ERROR!</v>
      </c>
      <c r="J902" s="53" t="str">
        <f>TABLEITEM!$H$3:$H$1138-TABLEITEM!$I$3:$I$1138</f>
        <v>#ERROR!</v>
      </c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hidden="1" customHeight="1">
      <c r="A903" s="47"/>
      <c r="B903" s="2" t="s">
        <v>1202</v>
      </c>
      <c r="C903" s="2" t="s">
        <v>2599</v>
      </c>
      <c r="D903" s="2" t="s">
        <v>3862</v>
      </c>
      <c r="E903" s="51" t="s">
        <v>3087</v>
      </c>
      <c r="F903" s="47"/>
      <c r="G903" s="52">
        <f t="array" ref="G903">MAX(IF(INSTOCK!$H$2:$H$2025=B903,INSTOCK!$K$2:$K$2025))</f>
        <v>25</v>
      </c>
      <c r="H903" s="53">
        <f>SUM(IF(INSTOCK!$H$2:$H$2025=B903,INSTOCK!$I$2:$I$2025))</f>
        <v>0</v>
      </c>
      <c r="I903" s="53" t="str">
        <f>SUM(IF([1]!Table13[ID]=B903,[1]!Table13[QTY]))</f>
        <v>#ERROR!</v>
      </c>
      <c r="J903" s="53" t="str">
        <f>TABLEITEM!$H$3:$H$1138-TABLEITEM!$I$3:$I$1138</f>
        <v>#ERROR!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hidden="1" customHeight="1">
      <c r="A904" s="47"/>
      <c r="B904" s="2" t="s">
        <v>1210</v>
      </c>
      <c r="C904" s="2" t="s">
        <v>2599</v>
      </c>
      <c r="D904" s="2" t="s">
        <v>3863</v>
      </c>
      <c r="E904" s="51" t="s">
        <v>3087</v>
      </c>
      <c r="F904" s="47"/>
      <c r="G904" s="52">
        <f t="array" ref="G904">MAX(IF(INSTOCK!$H$2:$H$2025=B904,INSTOCK!$K$2:$K$2025))</f>
        <v>90</v>
      </c>
      <c r="H904" s="53">
        <f>SUM(IF(INSTOCK!$H$2:$H$2025=B904,INSTOCK!$I$2:$I$2025))</f>
        <v>0</v>
      </c>
      <c r="I904" s="53" t="str">
        <f>SUM(IF([1]!Table13[ID]=B904,[1]!Table13[QTY]))</f>
        <v>#ERROR!</v>
      </c>
      <c r="J904" s="53" t="str">
        <f>TABLEITEM!$H$3:$H$1138-TABLEITEM!$I$3:$I$1138</f>
        <v>#ERROR!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hidden="1" customHeight="1">
      <c r="A905" s="47"/>
      <c r="B905" s="2" t="s">
        <v>1213</v>
      </c>
      <c r="C905" s="2" t="s">
        <v>2599</v>
      </c>
      <c r="D905" s="2" t="s">
        <v>3864</v>
      </c>
      <c r="E905" s="51" t="s">
        <v>3087</v>
      </c>
      <c r="F905" s="47"/>
      <c r="G905" s="52">
        <f t="array" ref="G905">MAX(IF(INSTOCK!$H$2:$H$2025=B905,INSTOCK!$K$2:$K$2025))</f>
        <v>300</v>
      </c>
      <c r="H905" s="53">
        <f>SUM(IF(INSTOCK!$H$2:$H$2025=B905,INSTOCK!$I$2:$I$2025))</f>
        <v>0</v>
      </c>
      <c r="I905" s="53" t="str">
        <f>SUM(IF([1]!Table13[ID]=B905,[1]!Table13[QTY]))</f>
        <v>#ERROR!</v>
      </c>
      <c r="J905" s="53" t="str">
        <f>TABLEITEM!$H$3:$H$1138-TABLEITEM!$I$3:$I$1138</f>
        <v>#ERROR!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hidden="1" customHeight="1">
      <c r="A906" s="47"/>
      <c r="B906" s="2" t="s">
        <v>1216</v>
      </c>
      <c r="C906" s="2" t="s">
        <v>2599</v>
      </c>
      <c r="D906" s="2" t="s">
        <v>3865</v>
      </c>
      <c r="E906" s="51" t="s">
        <v>3087</v>
      </c>
      <c r="F906" s="47"/>
      <c r="G906" s="52">
        <f t="array" ref="G906">MAX(IF(INSTOCK!$H$2:$H$2025=B906,INSTOCK!$K$2:$K$2025))</f>
        <v>240</v>
      </c>
      <c r="H906" s="53">
        <f>SUM(IF(INSTOCK!$H$2:$H$2025=B906,INSTOCK!$I$2:$I$2025))</f>
        <v>0</v>
      </c>
      <c r="I906" s="53" t="str">
        <f>SUM(IF([1]!Table13[ID]=B906,[1]!Table13[QTY]))</f>
        <v>#ERROR!</v>
      </c>
      <c r="J906" s="53" t="str">
        <f>TABLEITEM!$H$3:$H$1138-TABLEITEM!$I$3:$I$1138</f>
        <v>#ERROR!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hidden="1" customHeight="1">
      <c r="A907" s="47"/>
      <c r="B907" s="2" t="s">
        <v>1218</v>
      </c>
      <c r="C907" s="2" t="s">
        <v>2599</v>
      </c>
      <c r="D907" s="2" t="s">
        <v>3866</v>
      </c>
      <c r="E907" s="51" t="s">
        <v>3087</v>
      </c>
      <c r="F907" s="47"/>
      <c r="G907" s="52">
        <f t="array" ref="G907">MAX(IF(INSTOCK!$H$2:$H$2025=B907,INSTOCK!$K$2:$K$2025))</f>
        <v>115</v>
      </c>
      <c r="H907" s="53">
        <f>SUM(IF(INSTOCK!$H$2:$H$2025=B907,INSTOCK!$I$2:$I$2025))</f>
        <v>0</v>
      </c>
      <c r="I907" s="53" t="str">
        <f>SUM(IF([1]!Table13[ID]=B907,[1]!Table13[QTY]))</f>
        <v>#ERROR!</v>
      </c>
      <c r="J907" s="53" t="str">
        <f>TABLEITEM!$H$3:$H$1138-TABLEITEM!$I$3:$I$1138</f>
        <v>#ERROR!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hidden="1" customHeight="1">
      <c r="A908" s="47"/>
      <c r="B908" s="2" t="s">
        <v>1220</v>
      </c>
      <c r="C908" s="2" t="s">
        <v>2599</v>
      </c>
      <c r="D908" s="2" t="s">
        <v>3867</v>
      </c>
      <c r="E908" s="51" t="s">
        <v>3087</v>
      </c>
      <c r="F908" s="47"/>
      <c r="G908" s="52">
        <f t="array" ref="G908">MAX(IF(INSTOCK!$H$2:$H$2025=B908,INSTOCK!$K$2:$K$2025))</f>
        <v>56</v>
      </c>
      <c r="H908" s="53">
        <f>SUM(IF(INSTOCK!$H$2:$H$2025=B908,INSTOCK!$I$2:$I$2025))</f>
        <v>0</v>
      </c>
      <c r="I908" s="53" t="str">
        <f>SUM(IF([1]!Table13[ID]=B908,[1]!Table13[QTY]))</f>
        <v>#ERROR!</v>
      </c>
      <c r="J908" s="53" t="str">
        <f>TABLEITEM!$H$3:$H$1138-TABLEITEM!$I$3:$I$1138</f>
        <v>#ERROR!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hidden="1" customHeight="1">
      <c r="A909" s="47"/>
      <c r="B909" s="2" t="s">
        <v>1222</v>
      </c>
      <c r="C909" s="2" t="s">
        <v>2599</v>
      </c>
      <c r="D909" s="2" t="s">
        <v>3868</v>
      </c>
      <c r="E909" s="51" t="s">
        <v>3087</v>
      </c>
      <c r="F909" s="47"/>
      <c r="G909" s="52">
        <f t="array" ref="G909">MAX(IF(INSTOCK!$H$2:$H$2025=B909,INSTOCK!$K$2:$K$2025))</f>
        <v>38</v>
      </c>
      <c r="H909" s="53">
        <f>SUM(IF(INSTOCK!$H$2:$H$2025=B909,INSTOCK!$I$2:$I$2025))</f>
        <v>0</v>
      </c>
      <c r="I909" s="53" t="str">
        <f>SUM(IF([1]!Table13[ID]=B909,[1]!Table13[QTY]))</f>
        <v>#ERROR!</v>
      </c>
      <c r="J909" s="53" t="str">
        <f>TABLEITEM!$H$3:$H$1138-TABLEITEM!$I$3:$I$1138</f>
        <v>#ERROR!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hidden="1" customHeight="1">
      <c r="A910" s="47"/>
      <c r="B910" s="2" t="s">
        <v>1235</v>
      </c>
      <c r="C910" s="2" t="s">
        <v>1056</v>
      </c>
      <c r="D910" s="2" t="s">
        <v>3869</v>
      </c>
      <c r="E910" s="51"/>
      <c r="F910" s="47"/>
      <c r="G910" s="52">
        <f t="array" ref="G910">MAX(IF(INSTOCK!$H$2:$H$2025=B910,INSTOCK!$K$2:$K$2025))</f>
        <v>61.67</v>
      </c>
      <c r="H910" s="53">
        <f>SUM(IF(INSTOCK!$H$2:$H$2025=B910,INSTOCK!$I$2:$I$2025))</f>
        <v>0</v>
      </c>
      <c r="I910" s="53" t="str">
        <f>SUM(IF([1]!Table13[ID]=B910,[1]!Table13[QTY]))</f>
        <v>#ERROR!</v>
      </c>
      <c r="J910" s="53" t="str">
        <f>TABLEITEM!$H$3:$H$1138-TABLEITEM!$I$3:$I$1138</f>
        <v>#ERROR!</v>
      </c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hidden="1" customHeight="1">
      <c r="A911" s="47"/>
      <c r="B911" s="2" t="s">
        <v>1237</v>
      </c>
      <c r="C911" s="2" t="s">
        <v>1056</v>
      </c>
      <c r="D911" s="2" t="s">
        <v>3870</v>
      </c>
      <c r="E911" s="51"/>
      <c r="F911" s="47"/>
      <c r="G911" s="52">
        <f t="array" ref="G911">MAX(IF(INSTOCK!$H$2:$H$2025=B911,INSTOCK!$K$2:$K$2025))</f>
        <v>17.8</v>
      </c>
      <c r="H911" s="53">
        <f>SUM(IF(INSTOCK!$H$2:$H$2025=B911,INSTOCK!$I$2:$I$2025))</f>
        <v>0</v>
      </c>
      <c r="I911" s="53" t="str">
        <f>SUM(IF([1]!Table13[ID]=B911,[1]!Table13[QTY]))</f>
        <v>#ERROR!</v>
      </c>
      <c r="J911" s="53" t="str">
        <f>TABLEITEM!$H$3:$H$1138-TABLEITEM!$I$3:$I$1138</f>
        <v>#ERROR!</v>
      </c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hidden="1" customHeight="1">
      <c r="A912" s="47"/>
      <c r="B912" s="2" t="s">
        <v>1261</v>
      </c>
      <c r="C912" s="2" t="s">
        <v>2599</v>
      </c>
      <c r="D912" s="2" t="s">
        <v>3871</v>
      </c>
      <c r="E912" s="51" t="s">
        <v>3087</v>
      </c>
      <c r="F912" s="47"/>
      <c r="G912" s="52">
        <f t="array" ref="G912">MAX(IF(INSTOCK!$H$2:$H$2025=B912,INSTOCK!$K$2:$K$2025))</f>
        <v>50</v>
      </c>
      <c r="H912" s="53">
        <f>SUM(IF(INSTOCK!$H$2:$H$2025=B912,INSTOCK!$I$2:$I$2025))</f>
        <v>0</v>
      </c>
      <c r="I912" s="53" t="str">
        <f>SUM(IF([1]!Table13[ID]=B912,[1]!Table13[QTY]))</f>
        <v>#ERROR!</v>
      </c>
      <c r="J912" s="53" t="str">
        <f>TABLEITEM!$H$3:$H$1138-TABLEITEM!$I$3:$I$1138</f>
        <v>#ERROR!</v>
      </c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hidden="1" customHeight="1">
      <c r="A913" s="47"/>
      <c r="B913" s="2" t="s">
        <v>1270</v>
      </c>
      <c r="C913" s="2" t="s">
        <v>1056</v>
      </c>
      <c r="D913" s="2" t="s">
        <v>3872</v>
      </c>
      <c r="E913" s="51"/>
      <c r="F913" s="47"/>
      <c r="G913" s="52">
        <f t="array" ref="G913">MAX(IF(INSTOCK!$H$2:$H$2025=B913,INSTOCK!$K$2:$K$2025))</f>
        <v>11.4</v>
      </c>
      <c r="H913" s="53">
        <f>SUM(IF(INSTOCK!$H$2:$H$2025=B913,INSTOCK!$I$2:$I$2025))</f>
        <v>0</v>
      </c>
      <c r="I913" s="53" t="str">
        <f>SUM(IF([1]!Table13[ID]=B913,[1]!Table13[QTY]))</f>
        <v>#ERROR!</v>
      </c>
      <c r="J913" s="53" t="str">
        <f>TABLEITEM!$H$3:$H$1138-TABLEITEM!$I$3:$I$1138</f>
        <v>#ERROR!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hidden="1" customHeight="1">
      <c r="A914" s="47"/>
      <c r="B914" s="2" t="s">
        <v>1283</v>
      </c>
      <c r="C914" s="2" t="s">
        <v>2599</v>
      </c>
      <c r="D914" s="2" t="s">
        <v>3873</v>
      </c>
      <c r="E914" s="51" t="s">
        <v>3087</v>
      </c>
      <c r="F914" s="47"/>
      <c r="G914" s="52">
        <f t="array" ref="G914">MAX(IF(INSTOCK!$H$2:$H$2025=B914,INSTOCK!$K$2:$K$2025))</f>
        <v>135</v>
      </c>
      <c r="H914" s="53">
        <f>SUM(IF(INSTOCK!$H$2:$H$2025=B914,INSTOCK!$I$2:$I$2025))</f>
        <v>0</v>
      </c>
      <c r="I914" s="53" t="str">
        <f>SUM(IF([1]!Table13[ID]=B914,[1]!Table13[QTY]))</f>
        <v>#ERROR!</v>
      </c>
      <c r="J914" s="53" t="str">
        <f>TABLEITEM!$H$3:$H$1138-TABLEITEM!$I$3:$I$1138</f>
        <v>#ERROR!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hidden="1" customHeight="1">
      <c r="A915" s="47"/>
      <c r="B915" s="2" t="s">
        <v>1285</v>
      </c>
      <c r="C915" s="2" t="s">
        <v>2599</v>
      </c>
      <c r="D915" s="2" t="s">
        <v>3874</v>
      </c>
      <c r="E915" s="51" t="s">
        <v>3087</v>
      </c>
      <c r="F915" s="47"/>
      <c r="G915" s="52">
        <f t="array" ref="G915">MAX(IF(INSTOCK!$H$2:$H$2025=B915,INSTOCK!$K$2:$K$2025))</f>
        <v>375</v>
      </c>
      <c r="H915" s="53">
        <f>SUM(IF(INSTOCK!$H$2:$H$2025=B915,INSTOCK!$I$2:$I$2025))</f>
        <v>0</v>
      </c>
      <c r="I915" s="53" t="str">
        <f>SUM(IF([1]!Table13[ID]=B915,[1]!Table13[QTY]))</f>
        <v>#ERROR!</v>
      </c>
      <c r="J915" s="53" t="str">
        <f>TABLEITEM!$H$3:$H$1138-TABLEITEM!$I$3:$I$1138</f>
        <v>#ERROR!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hidden="1" customHeight="1">
      <c r="A916" s="47"/>
      <c r="B916" s="2" t="s">
        <v>1287</v>
      </c>
      <c r="C916" s="2" t="s">
        <v>2599</v>
      </c>
      <c r="D916" s="2" t="s">
        <v>3875</v>
      </c>
      <c r="E916" s="51" t="s">
        <v>3087</v>
      </c>
      <c r="F916" s="47"/>
      <c r="G916" s="52">
        <f t="array" ref="G916">MAX(IF(INSTOCK!$H$2:$H$2025=B916,INSTOCK!$K$2:$K$2025))</f>
        <v>90</v>
      </c>
      <c r="H916" s="53">
        <f>SUM(IF(INSTOCK!$H$2:$H$2025=B916,INSTOCK!$I$2:$I$2025))</f>
        <v>0</v>
      </c>
      <c r="I916" s="53" t="str">
        <f>SUM(IF([1]!Table13[ID]=B916,[1]!Table13[QTY]))</f>
        <v>#ERROR!</v>
      </c>
      <c r="J916" s="53" t="str">
        <f>TABLEITEM!$H$3:$H$1138-TABLEITEM!$I$3:$I$1138</f>
        <v>#ERROR!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hidden="1" customHeight="1">
      <c r="A917" s="47"/>
      <c r="B917" s="2" t="s">
        <v>1289</v>
      </c>
      <c r="C917" s="2" t="s">
        <v>2595</v>
      </c>
      <c r="D917" s="2" t="s">
        <v>3876</v>
      </c>
      <c r="E917" s="51"/>
      <c r="F917" s="47"/>
      <c r="G917" s="52">
        <f t="array" ref="G917">MAX(IF(INSTOCK!$H$2:$H$2025=B917,INSTOCK!$K$2:$K$2025))</f>
        <v>0</v>
      </c>
      <c r="H917" s="53">
        <f>SUM(IF(INSTOCK!$H$2:$H$2025=B917,INSTOCK!$I$2:$I$2025))</f>
        <v>0</v>
      </c>
      <c r="I917" s="53" t="str">
        <f>SUM(IF([1]!Table13[ID]=B917,[1]!Table13[QTY]))</f>
        <v>#ERROR!</v>
      </c>
      <c r="J917" s="53" t="str">
        <f>TABLEITEM!$H$3:$H$1138-TABLEITEM!$I$3:$I$1138</f>
        <v>#ERROR!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hidden="1" customHeight="1">
      <c r="A918" s="47"/>
      <c r="B918" s="2" t="s">
        <v>1290</v>
      </c>
      <c r="C918" s="2" t="s">
        <v>2595</v>
      </c>
      <c r="D918" s="2" t="s">
        <v>3877</v>
      </c>
      <c r="E918" s="51"/>
      <c r="F918" s="47"/>
      <c r="G918" s="52">
        <f t="array" ref="G918">MAX(IF(INSTOCK!$H$2:$H$2025=B918,INSTOCK!$K$2:$K$2025))</f>
        <v>0</v>
      </c>
      <c r="H918" s="53">
        <f>SUM(IF(INSTOCK!$H$2:$H$2025=B918,INSTOCK!$I$2:$I$2025))</f>
        <v>0</v>
      </c>
      <c r="I918" s="53" t="str">
        <f>SUM(IF([1]!Table13[ID]=B918,[1]!Table13[QTY]))</f>
        <v>#ERROR!</v>
      </c>
      <c r="J918" s="53" t="str">
        <f>TABLEITEM!$H$3:$H$1138-TABLEITEM!$I$3:$I$1138</f>
        <v>#ERROR!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hidden="1" customHeight="1">
      <c r="A919" s="47"/>
      <c r="B919" s="2" t="s">
        <v>1291</v>
      </c>
      <c r="C919" s="2" t="s">
        <v>2595</v>
      </c>
      <c r="D919" s="2" t="s">
        <v>3878</v>
      </c>
      <c r="E919" s="51"/>
      <c r="F919" s="47"/>
      <c r="G919" s="52">
        <f t="array" ref="G919">MAX(IF(INSTOCK!$H$2:$H$2025=B919,INSTOCK!$K$2:$K$2025))</f>
        <v>0</v>
      </c>
      <c r="H919" s="53">
        <f>SUM(IF(INSTOCK!$H$2:$H$2025=B919,INSTOCK!$I$2:$I$2025))</f>
        <v>0</v>
      </c>
      <c r="I919" s="53" t="str">
        <f>SUM(IF([1]!Table13[ID]=B919,[1]!Table13[QTY]))</f>
        <v>#ERROR!</v>
      </c>
      <c r="J919" s="53" t="str">
        <f>TABLEITEM!$H$3:$H$1138-TABLEITEM!$I$3:$I$1138</f>
        <v>#ERROR!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hidden="1" customHeight="1">
      <c r="A920" s="47"/>
      <c r="B920" s="2" t="s">
        <v>1309</v>
      </c>
      <c r="C920" s="2" t="s">
        <v>2599</v>
      </c>
      <c r="D920" s="2" t="s">
        <v>3879</v>
      </c>
      <c r="E920" s="51" t="s">
        <v>3087</v>
      </c>
      <c r="F920" s="47"/>
      <c r="G920" s="52">
        <f t="array" ref="G920">MAX(IF(INSTOCK!$H$2:$H$2025=B920,INSTOCK!$K$2:$K$2025))</f>
        <v>50</v>
      </c>
      <c r="H920" s="53">
        <f>SUM(IF(INSTOCK!$H$2:$H$2025=B920,INSTOCK!$I$2:$I$2025))</f>
        <v>0</v>
      </c>
      <c r="I920" s="53" t="str">
        <f>SUM(IF([1]!Table13[ID]=B920,[1]!Table13[QTY]))</f>
        <v>#ERROR!</v>
      </c>
      <c r="J920" s="53" t="str">
        <f>TABLEITEM!$H$3:$H$1138-TABLEITEM!$I$3:$I$1138</f>
        <v>#ERROR!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hidden="1" customHeight="1">
      <c r="A921" s="47"/>
      <c r="B921" s="2" t="s">
        <v>1311</v>
      </c>
      <c r="C921" s="2" t="s">
        <v>2599</v>
      </c>
      <c r="D921" s="2" t="s">
        <v>3880</v>
      </c>
      <c r="E921" s="51" t="s">
        <v>3087</v>
      </c>
      <c r="F921" s="47"/>
      <c r="G921" s="52">
        <f t="array" ref="G921">MAX(IF(INSTOCK!$H$2:$H$2025=B921,INSTOCK!$K$2:$K$2025))</f>
        <v>210</v>
      </c>
      <c r="H921" s="53">
        <f>SUM(IF(INSTOCK!$H$2:$H$2025=B921,INSTOCK!$I$2:$I$2025))</f>
        <v>0</v>
      </c>
      <c r="I921" s="53" t="str">
        <f>SUM(IF([1]!Table13[ID]=B921,[1]!Table13[QTY]))</f>
        <v>#ERROR!</v>
      </c>
      <c r="J921" s="53" t="str">
        <f>TABLEITEM!$H$3:$H$1138-TABLEITEM!$I$3:$I$1138</f>
        <v>#ERROR!</v>
      </c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hidden="1" customHeight="1">
      <c r="A922" s="47"/>
      <c r="B922" s="2" t="s">
        <v>1313</v>
      </c>
      <c r="C922" s="2" t="s">
        <v>2599</v>
      </c>
      <c r="D922" s="2" t="s">
        <v>3881</v>
      </c>
      <c r="E922" s="51" t="s">
        <v>3087</v>
      </c>
      <c r="F922" s="47"/>
      <c r="G922" s="52">
        <f t="array" ref="G922">MAX(IF(INSTOCK!$H$2:$H$2025=B922,INSTOCK!$K$2:$K$2025))</f>
        <v>175</v>
      </c>
      <c r="H922" s="53">
        <f>SUM(IF(INSTOCK!$H$2:$H$2025=B922,INSTOCK!$I$2:$I$2025))</f>
        <v>0</v>
      </c>
      <c r="I922" s="53" t="str">
        <f>SUM(IF([1]!Table13[ID]=B922,[1]!Table13[QTY]))</f>
        <v>#ERROR!</v>
      </c>
      <c r="J922" s="53" t="str">
        <f>TABLEITEM!$H$3:$H$1138-TABLEITEM!$I$3:$I$1138</f>
        <v>#ERROR!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hidden="1" customHeight="1">
      <c r="A923" s="47"/>
      <c r="B923" s="2" t="s">
        <v>1315</v>
      </c>
      <c r="C923" s="2" t="s">
        <v>2599</v>
      </c>
      <c r="D923" s="2" t="s">
        <v>3882</v>
      </c>
      <c r="E923" s="51" t="s">
        <v>3087</v>
      </c>
      <c r="F923" s="47"/>
      <c r="G923" s="52">
        <f t="array" ref="G923">MAX(IF(INSTOCK!$H$2:$H$2025=B923,INSTOCK!$K$2:$K$2025))</f>
        <v>150</v>
      </c>
      <c r="H923" s="53">
        <f>SUM(IF(INSTOCK!$H$2:$H$2025=B923,INSTOCK!$I$2:$I$2025))</f>
        <v>0</v>
      </c>
      <c r="I923" s="53" t="str">
        <f>SUM(IF([1]!Table13[ID]=B923,[1]!Table13[QTY]))</f>
        <v>#ERROR!</v>
      </c>
      <c r="J923" s="53" t="str">
        <f>TABLEITEM!$H$3:$H$1138-TABLEITEM!$I$3:$I$1138</f>
        <v>#ERROR!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hidden="1" customHeight="1">
      <c r="A924" s="47"/>
      <c r="B924" s="2" t="s">
        <v>1317</v>
      </c>
      <c r="C924" s="2" t="s">
        <v>2599</v>
      </c>
      <c r="D924" s="2" t="s">
        <v>3883</v>
      </c>
      <c r="E924" s="51" t="s">
        <v>3087</v>
      </c>
      <c r="F924" s="47"/>
      <c r="G924" s="52">
        <f t="array" ref="G924">MAX(IF(INSTOCK!$H$2:$H$2025=B924,INSTOCK!$K$2:$K$2025))</f>
        <v>240</v>
      </c>
      <c r="H924" s="53">
        <f>SUM(IF(INSTOCK!$H$2:$H$2025=B924,INSTOCK!$I$2:$I$2025))</f>
        <v>0</v>
      </c>
      <c r="I924" s="53" t="str">
        <f>SUM(IF([1]!Table13[ID]=B924,[1]!Table13[QTY]))</f>
        <v>#ERROR!</v>
      </c>
      <c r="J924" s="53" t="str">
        <f>TABLEITEM!$H$3:$H$1138-TABLEITEM!$I$3:$I$1138</f>
        <v>#ERROR!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hidden="1" customHeight="1">
      <c r="A925" s="47"/>
      <c r="B925" s="2" t="s">
        <v>1319</v>
      </c>
      <c r="C925" s="2" t="s">
        <v>2599</v>
      </c>
      <c r="D925" s="2" t="s">
        <v>3884</v>
      </c>
      <c r="E925" s="51" t="s">
        <v>3087</v>
      </c>
      <c r="F925" s="47"/>
      <c r="G925" s="52">
        <f t="array" ref="G925">MAX(IF(INSTOCK!$H$2:$H$2025=B925,INSTOCK!$K$2:$K$2025))</f>
        <v>180</v>
      </c>
      <c r="H925" s="53">
        <f>SUM(IF(INSTOCK!$H$2:$H$2025=B925,INSTOCK!$I$2:$I$2025))</f>
        <v>0</v>
      </c>
      <c r="I925" s="53" t="str">
        <f>SUM(IF([1]!Table13[ID]=B925,[1]!Table13[QTY]))</f>
        <v>#ERROR!</v>
      </c>
      <c r="J925" s="53" t="str">
        <f>TABLEITEM!$H$3:$H$1138-TABLEITEM!$I$3:$I$1138</f>
        <v>#ERROR!</v>
      </c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hidden="1" customHeight="1">
      <c r="A926" s="47"/>
      <c r="B926" s="2" t="s">
        <v>1321</v>
      </c>
      <c r="C926" s="2" t="s">
        <v>2599</v>
      </c>
      <c r="D926" s="2" t="s">
        <v>3885</v>
      </c>
      <c r="E926" s="51" t="s">
        <v>3087</v>
      </c>
      <c r="F926" s="47"/>
      <c r="G926" s="52">
        <f t="array" ref="G926">MAX(IF(INSTOCK!$H$2:$H$2025=B926,INSTOCK!$K$2:$K$2025))</f>
        <v>68</v>
      </c>
      <c r="H926" s="53">
        <f>SUM(IF(INSTOCK!$H$2:$H$2025=B926,INSTOCK!$I$2:$I$2025))</f>
        <v>0</v>
      </c>
      <c r="I926" s="53" t="str">
        <f>SUM(IF([1]!Table13[ID]=B926,[1]!Table13[QTY]))</f>
        <v>#ERROR!</v>
      </c>
      <c r="J926" s="53" t="str">
        <f>TABLEITEM!$H$3:$H$1138-TABLEITEM!$I$3:$I$1138</f>
        <v>#ERROR!</v>
      </c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hidden="1" customHeight="1">
      <c r="A927" s="47"/>
      <c r="B927" s="2" t="s">
        <v>1333</v>
      </c>
      <c r="C927" s="2" t="s">
        <v>2595</v>
      </c>
      <c r="D927" s="2" t="s">
        <v>3886</v>
      </c>
      <c r="E927" s="51"/>
      <c r="F927" s="47"/>
      <c r="G927" s="52">
        <f t="array" ref="G927">MAX(IF(INSTOCK!$H$2:$H$2025=B927,INSTOCK!$K$2:$K$2025))</f>
        <v>0</v>
      </c>
      <c r="H927" s="53">
        <f>SUM(IF(INSTOCK!$H$2:$H$2025=B927,INSTOCK!$I$2:$I$2025))</f>
        <v>0</v>
      </c>
      <c r="I927" s="53" t="str">
        <f>SUM(IF([1]!Table13[ID]=B927,[1]!Table13[QTY]))</f>
        <v>#ERROR!</v>
      </c>
      <c r="J927" s="53" t="str">
        <f>TABLEITEM!$H$3:$H$1138-TABLEITEM!$I$3:$I$1138</f>
        <v>#ERROR!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hidden="1" customHeight="1">
      <c r="A928" s="47"/>
      <c r="B928" s="2" t="s">
        <v>1345</v>
      </c>
      <c r="C928" s="2" t="s">
        <v>2599</v>
      </c>
      <c r="D928" s="2" t="s">
        <v>3887</v>
      </c>
      <c r="E928" s="51" t="s">
        <v>3087</v>
      </c>
      <c r="F928" s="47"/>
      <c r="G928" s="52">
        <f t="array" ref="G928">MAX(IF(INSTOCK!$H$2:$H$2025=B928,INSTOCK!$K$2:$K$2025))</f>
        <v>300</v>
      </c>
      <c r="H928" s="53">
        <f>SUM(IF(INSTOCK!$H$2:$H$2025=B928,INSTOCK!$I$2:$I$2025))</f>
        <v>0</v>
      </c>
      <c r="I928" s="53" t="str">
        <f>SUM(IF([1]!Table13[ID]=B928,[1]!Table13[QTY]))</f>
        <v>#ERROR!</v>
      </c>
      <c r="J928" s="53" t="str">
        <f>TABLEITEM!$H$3:$H$1138-TABLEITEM!$I$3:$I$1138</f>
        <v>#ERROR!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hidden="1" customHeight="1">
      <c r="A929" s="47"/>
      <c r="B929" s="2" t="s">
        <v>3888</v>
      </c>
      <c r="C929" s="2" t="s">
        <v>2595</v>
      </c>
      <c r="D929" s="2" t="s">
        <v>3889</v>
      </c>
      <c r="E929" s="51"/>
      <c r="F929" s="47"/>
      <c r="G929" s="52">
        <f t="array" ref="G929">MAX(IF(INSTOCK!$H$2:$H$2025=B929,INSTOCK!$K$2:$K$2025))</f>
        <v>0</v>
      </c>
      <c r="H929" s="53">
        <f>SUM(IF(INSTOCK!$H$2:$H$2025=B929,INSTOCK!$I$2:$I$2025))</f>
        <v>0</v>
      </c>
      <c r="I929" s="53" t="str">
        <f>SUM(IF([1]!Table13[ID]=B929,[1]!Table13[QTY]))</f>
        <v>#ERROR!</v>
      </c>
      <c r="J929" s="53" t="str">
        <f>TABLEITEM!$H$3:$H$1138-TABLEITEM!$I$3:$I$1138</f>
        <v>#ERROR!</v>
      </c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hidden="1" customHeight="1">
      <c r="A930" s="47"/>
      <c r="B930" s="2" t="s">
        <v>1353</v>
      </c>
      <c r="C930" s="2"/>
      <c r="D930" s="2" t="s">
        <v>3890</v>
      </c>
      <c r="E930" s="51" t="s">
        <v>3610</v>
      </c>
      <c r="F930" s="47"/>
      <c r="G930" s="52">
        <f t="array" ref="G930">MAX(IF(INSTOCK!$H$2:$H$2025=B930,INSTOCK!$K$2:$K$2025))</f>
        <v>283.3333</v>
      </c>
      <c r="H930" s="53">
        <f>SUM(IF(INSTOCK!$H$2:$H$2025=B930,INSTOCK!$I$2:$I$2025))</f>
        <v>0</v>
      </c>
      <c r="I930" s="53" t="str">
        <f>SUM(IF([1]!Table13[ID]=B930,[1]!Table13[QTY]))</f>
        <v>#ERROR!</v>
      </c>
      <c r="J930" s="53" t="str">
        <f>TABLEITEM!$H$3:$H$1138-TABLEITEM!$I$3:$I$1138</f>
        <v>#ERROR!</v>
      </c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hidden="1" customHeight="1">
      <c r="A931" s="47"/>
      <c r="B931" s="2" t="s">
        <v>3891</v>
      </c>
      <c r="C931" s="2"/>
      <c r="D931" s="2" t="s">
        <v>3892</v>
      </c>
      <c r="E931" s="51"/>
      <c r="F931" s="47"/>
      <c r="G931" s="52">
        <f t="array" ref="G931">MAX(IF(INSTOCK!$H$2:$H$2025=B931,INSTOCK!$K$2:$K$2025))</f>
        <v>0</v>
      </c>
      <c r="H931" s="53">
        <f>SUM(IF(INSTOCK!$H$2:$H$2025=B931,INSTOCK!$I$2:$I$2025))</f>
        <v>0</v>
      </c>
      <c r="I931" s="53" t="str">
        <f>SUM(IF([1]!Table13[ID]=B931,[1]!Table13[QTY]))</f>
        <v>#ERROR!</v>
      </c>
      <c r="J931" s="53" t="str">
        <f>TABLEITEM!$H$3:$H$1138-TABLEITEM!$I$3:$I$1138</f>
        <v>#ERROR!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hidden="1" customHeight="1">
      <c r="A932" s="47"/>
      <c r="B932" s="2" t="s">
        <v>1369</v>
      </c>
      <c r="C932" s="2" t="s">
        <v>2595</v>
      </c>
      <c r="D932" s="2" t="s">
        <v>3893</v>
      </c>
      <c r="E932" s="51"/>
      <c r="F932" s="47"/>
      <c r="G932" s="52">
        <f t="array" ref="G932">MAX(IF(INSTOCK!$H$2:$H$2025=B932,INSTOCK!$K$2:$K$2025))</f>
        <v>0</v>
      </c>
      <c r="H932" s="53">
        <f>SUM(IF(INSTOCK!$H$2:$H$2025=B932,INSTOCK!$I$2:$I$2025))</f>
        <v>0</v>
      </c>
      <c r="I932" s="53" t="str">
        <f>SUM(IF([1]!Table13[ID]=B932,[1]!Table13[QTY]))</f>
        <v>#ERROR!</v>
      </c>
      <c r="J932" s="53" t="str">
        <f>TABLEITEM!$H$3:$H$1138-TABLEITEM!$I$3:$I$1138</f>
        <v>#ERROR!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hidden="1" customHeight="1">
      <c r="A933" s="47"/>
      <c r="B933" s="2" t="s">
        <v>1370</v>
      </c>
      <c r="C933" s="2" t="s">
        <v>2595</v>
      </c>
      <c r="D933" s="2" t="s">
        <v>3894</v>
      </c>
      <c r="E933" s="51"/>
      <c r="F933" s="47"/>
      <c r="G933" s="52">
        <f t="array" ref="G933">MAX(IF(INSTOCK!$H$2:$H$2025=B933,INSTOCK!$K$2:$K$2025))</f>
        <v>0</v>
      </c>
      <c r="H933" s="53">
        <f>SUM(IF(INSTOCK!$H$2:$H$2025=B933,INSTOCK!$I$2:$I$2025))</f>
        <v>0</v>
      </c>
      <c r="I933" s="53" t="str">
        <f>SUM(IF([1]!Table13[ID]=B933,[1]!Table13[QTY]))</f>
        <v>#ERROR!</v>
      </c>
      <c r="J933" s="53" t="str">
        <f>TABLEITEM!$H$3:$H$1138-TABLEITEM!$I$3:$I$1138</f>
        <v>#ERROR!</v>
      </c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hidden="1" customHeight="1">
      <c r="A934" s="47"/>
      <c r="B934" s="2" t="s">
        <v>1362</v>
      </c>
      <c r="C934" s="2" t="s">
        <v>2599</v>
      </c>
      <c r="D934" s="2" t="s">
        <v>3895</v>
      </c>
      <c r="E934" s="51"/>
      <c r="F934" s="47"/>
      <c r="G934" s="52">
        <f t="array" ref="G934">MAX(IF(INSTOCK!$H$2:$H$2025=B934,INSTOCK!$K$2:$K$2025))</f>
        <v>472.5</v>
      </c>
      <c r="H934" s="53">
        <f>SUM(IF(INSTOCK!$H$2:$H$2025=B934,INSTOCK!$I$2:$I$2025))</f>
        <v>0</v>
      </c>
      <c r="I934" s="53" t="str">
        <f>SUM(IF([1]!Table13[ID]=B934,[1]!Table13[QTY]))</f>
        <v>#ERROR!</v>
      </c>
      <c r="J934" s="53" t="str">
        <f>TABLEITEM!$H$3:$H$1138-TABLEITEM!$I$3:$I$1138</f>
        <v>#ERROR!</v>
      </c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hidden="1" customHeight="1">
      <c r="A935" s="47"/>
      <c r="B935" s="2" t="s">
        <v>1364</v>
      </c>
      <c r="C935" s="2" t="s">
        <v>2599</v>
      </c>
      <c r="D935" s="2" t="s">
        <v>3896</v>
      </c>
      <c r="E935" s="51"/>
      <c r="F935" s="47"/>
      <c r="G935" s="52">
        <f t="array" ref="G935">MAX(IF(INSTOCK!$H$2:$H$2025=B935,INSTOCK!$K$2:$K$2025))</f>
        <v>74.5098</v>
      </c>
      <c r="H935" s="53">
        <f>SUM(IF(INSTOCK!$H$2:$H$2025=B935,INSTOCK!$I$2:$I$2025))</f>
        <v>0</v>
      </c>
      <c r="I935" s="53" t="str">
        <f>SUM(IF([1]!Table13[ID]=B935,[1]!Table13[QTY]))</f>
        <v>#ERROR!</v>
      </c>
      <c r="J935" s="53" t="str">
        <f>TABLEITEM!$H$3:$H$1138-TABLEITEM!$I$3:$I$1138</f>
        <v>#ERROR!</v>
      </c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hidden="1" customHeight="1">
      <c r="A936" s="47"/>
      <c r="B936" s="2" t="s">
        <v>1357</v>
      </c>
      <c r="C936" s="2" t="s">
        <v>2599</v>
      </c>
      <c r="D936" s="2" t="s">
        <v>3897</v>
      </c>
      <c r="E936" s="51" t="s">
        <v>3087</v>
      </c>
      <c r="F936" s="47"/>
      <c r="G936" s="52">
        <f t="array" ref="G936">MAX(IF(INSTOCK!$H$2:$H$2025=B936,INSTOCK!$K$2:$K$2025))</f>
        <v>12400</v>
      </c>
      <c r="H936" s="53">
        <f>SUM(IF(INSTOCK!$H$2:$H$2025=B936,INSTOCK!$I$2:$I$2025))</f>
        <v>0</v>
      </c>
      <c r="I936" s="53" t="str">
        <f>SUM(IF([1]!Table13[ID]=B936,[1]!Table13[QTY]))</f>
        <v>#ERROR!</v>
      </c>
      <c r="J936" s="53" t="str">
        <f>TABLEITEM!$H$3:$H$1138-TABLEITEM!$I$3:$I$1138</f>
        <v>#ERROR!</v>
      </c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hidden="1" customHeight="1">
      <c r="A937" s="47"/>
      <c r="B937" s="2" t="s">
        <v>1376</v>
      </c>
      <c r="C937" s="2" t="s">
        <v>2599</v>
      </c>
      <c r="D937" s="2" t="s">
        <v>3898</v>
      </c>
      <c r="E937" s="51" t="s">
        <v>3087</v>
      </c>
      <c r="F937" s="47"/>
      <c r="G937" s="52">
        <f t="array" ref="G937">MAX(IF(INSTOCK!$H$2:$H$2025=B937,INSTOCK!$K$2:$K$2025))</f>
        <v>260</v>
      </c>
      <c r="H937" s="53">
        <f>SUM(IF(INSTOCK!$H$2:$H$2025=B937,INSTOCK!$I$2:$I$2025))</f>
        <v>0</v>
      </c>
      <c r="I937" s="53" t="str">
        <f>SUM(IF([1]!Table13[ID]=B937,[1]!Table13[QTY]))</f>
        <v>#ERROR!</v>
      </c>
      <c r="J937" s="53" t="str">
        <f>TABLEITEM!$H$3:$H$1138-TABLEITEM!$I$3:$I$1138</f>
        <v>#ERROR!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hidden="1" customHeight="1">
      <c r="A938" s="47"/>
      <c r="B938" s="2" t="s">
        <v>1378</v>
      </c>
      <c r="C938" s="2" t="s">
        <v>2599</v>
      </c>
      <c r="D938" s="2" t="s">
        <v>3899</v>
      </c>
      <c r="E938" s="51" t="s">
        <v>3087</v>
      </c>
      <c r="F938" s="47"/>
      <c r="G938" s="52">
        <f t="array" ref="G938">MAX(IF(INSTOCK!$H$2:$H$2025=B938,INSTOCK!$K$2:$K$2025))</f>
        <v>70</v>
      </c>
      <c r="H938" s="53">
        <f>SUM(IF(INSTOCK!$H$2:$H$2025=B938,INSTOCK!$I$2:$I$2025))</f>
        <v>0</v>
      </c>
      <c r="I938" s="53" t="str">
        <f>SUM(IF([1]!Table13[ID]=B938,[1]!Table13[QTY]))</f>
        <v>#ERROR!</v>
      </c>
      <c r="J938" s="53" t="str">
        <f>TABLEITEM!$H$3:$H$1138-TABLEITEM!$I$3:$I$1138</f>
        <v>#ERROR!</v>
      </c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hidden="1" customHeight="1">
      <c r="A939" s="47"/>
      <c r="B939" s="2" t="s">
        <v>1380</v>
      </c>
      <c r="C939" s="2" t="s">
        <v>2599</v>
      </c>
      <c r="D939" s="2" t="s">
        <v>3900</v>
      </c>
      <c r="E939" s="51" t="s">
        <v>3087</v>
      </c>
      <c r="F939" s="47"/>
      <c r="G939" s="52">
        <f t="array" ref="G939">MAX(IF(INSTOCK!$H$2:$H$2025=B939,INSTOCK!$K$2:$K$2025))</f>
        <v>115</v>
      </c>
      <c r="H939" s="53">
        <f>SUM(IF(INSTOCK!$H$2:$H$2025=B939,INSTOCK!$I$2:$I$2025))</f>
        <v>0</v>
      </c>
      <c r="I939" s="53" t="str">
        <f>SUM(IF([1]!Table13[ID]=B939,[1]!Table13[QTY]))</f>
        <v>#ERROR!</v>
      </c>
      <c r="J939" s="53" t="str">
        <f>TABLEITEM!$H$3:$H$1138-TABLEITEM!$I$3:$I$1138</f>
        <v>#ERROR!</v>
      </c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hidden="1" customHeight="1">
      <c r="A940" s="47"/>
      <c r="B940" s="2" t="s">
        <v>1394</v>
      </c>
      <c r="C940" s="2" t="s">
        <v>1056</v>
      </c>
      <c r="D940" s="2" t="s">
        <v>3901</v>
      </c>
      <c r="E940" s="51"/>
      <c r="F940" s="47"/>
      <c r="G940" s="52">
        <f t="array" ref="G940">MAX(IF(INSTOCK!$H$2:$H$2025=B940,INSTOCK!$K$2:$K$2025))</f>
        <v>457.3333</v>
      </c>
      <c r="H940" s="53">
        <f>SUM(IF(INSTOCK!$H$2:$H$2025=B940,INSTOCK!$I$2:$I$2025))</f>
        <v>0</v>
      </c>
      <c r="I940" s="53" t="str">
        <f>SUM(IF([1]!Table13[ID]=B940,[1]!Table13[QTY]))</f>
        <v>#ERROR!</v>
      </c>
      <c r="J940" s="53" t="str">
        <f>TABLEITEM!$H$3:$H$1138-TABLEITEM!$I$3:$I$1138</f>
        <v>#ERROR!</v>
      </c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hidden="1" customHeight="1">
      <c r="A941" s="47"/>
      <c r="B941" s="2" t="s">
        <v>1406</v>
      </c>
      <c r="C941" s="2" t="s">
        <v>2599</v>
      </c>
      <c r="D941" s="2" t="s">
        <v>3902</v>
      </c>
      <c r="E941" s="51" t="s">
        <v>3087</v>
      </c>
      <c r="F941" s="47"/>
      <c r="G941" s="52">
        <f t="array" ref="G941">MAX(IF(INSTOCK!$H$2:$H$2025=B941,INSTOCK!$K$2:$K$2025))</f>
        <v>25</v>
      </c>
      <c r="H941" s="53">
        <f>SUM(IF(INSTOCK!$H$2:$H$2025=B941,INSTOCK!$I$2:$I$2025))</f>
        <v>0</v>
      </c>
      <c r="I941" s="53" t="str">
        <f>SUM(IF([1]!Table13[ID]=B941,[1]!Table13[QTY]))</f>
        <v>#ERROR!</v>
      </c>
      <c r="J941" s="53" t="str">
        <f>TABLEITEM!$H$3:$H$1138-TABLEITEM!$I$3:$I$1138</f>
        <v>#ERROR!</v>
      </c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hidden="1" customHeight="1">
      <c r="A942" s="47"/>
      <c r="B942" s="2" t="s">
        <v>1411</v>
      </c>
      <c r="C942" s="2" t="s">
        <v>2599</v>
      </c>
      <c r="D942" s="2" t="s">
        <v>3903</v>
      </c>
      <c r="E942" s="51" t="s">
        <v>3087</v>
      </c>
      <c r="F942" s="47"/>
      <c r="G942" s="52">
        <f t="array" ref="G942">MAX(IF(INSTOCK!$H$2:$H$2025=B942,INSTOCK!$K$2:$K$2025))</f>
        <v>180</v>
      </c>
      <c r="H942" s="53">
        <f>SUM(IF(INSTOCK!$H$2:$H$2025=B942,INSTOCK!$I$2:$I$2025))</f>
        <v>0</v>
      </c>
      <c r="I942" s="53" t="str">
        <f>SUM(IF([1]!Table13[ID]=B942,[1]!Table13[QTY]))</f>
        <v>#ERROR!</v>
      </c>
      <c r="J942" s="53" t="str">
        <f>TABLEITEM!$H$3:$H$1138-TABLEITEM!$I$3:$I$1138</f>
        <v>#ERROR!</v>
      </c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hidden="1" customHeight="1">
      <c r="A943" s="47"/>
      <c r="B943" s="2" t="s">
        <v>1414</v>
      </c>
      <c r="C943" s="2" t="s">
        <v>2599</v>
      </c>
      <c r="D943" s="2" t="s">
        <v>3904</v>
      </c>
      <c r="E943" s="51" t="s">
        <v>3087</v>
      </c>
      <c r="F943" s="47"/>
      <c r="G943" s="52">
        <f t="array" ref="G943">MAX(IF(INSTOCK!$H$2:$H$2025=B943,INSTOCK!$K$2:$K$2025))</f>
        <v>45</v>
      </c>
      <c r="H943" s="53">
        <f>SUM(IF(INSTOCK!$H$2:$H$2025=B943,INSTOCK!$I$2:$I$2025))</f>
        <v>0</v>
      </c>
      <c r="I943" s="53" t="str">
        <f>SUM(IF([1]!Table13[ID]=B943,[1]!Table13[QTY]))</f>
        <v>#ERROR!</v>
      </c>
      <c r="J943" s="53" t="str">
        <f>TABLEITEM!$H$3:$H$1138-TABLEITEM!$I$3:$I$1138</f>
        <v>#ERROR!</v>
      </c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hidden="1" customHeight="1">
      <c r="A944" s="47"/>
      <c r="B944" s="2" t="s">
        <v>1426</v>
      </c>
      <c r="C944" s="2"/>
      <c r="D944" s="2" t="s">
        <v>3905</v>
      </c>
      <c r="E944" s="51" t="s">
        <v>3087</v>
      </c>
      <c r="F944" s="47"/>
      <c r="G944" s="52">
        <f t="array" ref="G944">MAX(IF(INSTOCK!$H$2:$H$2025=B944,INSTOCK!$K$2:$K$2025))</f>
        <v>210</v>
      </c>
      <c r="H944" s="53">
        <f>SUM(IF(INSTOCK!$H$2:$H$2025=B944,INSTOCK!$I$2:$I$2025))</f>
        <v>0</v>
      </c>
      <c r="I944" s="53" t="str">
        <f>SUM(IF([1]!Table13[ID]=B944,[1]!Table13[QTY]))</f>
        <v>#ERROR!</v>
      </c>
      <c r="J944" s="53" t="str">
        <f>TABLEITEM!$H$3:$H$1138-TABLEITEM!$I$3:$I$1138</f>
        <v>#ERROR!</v>
      </c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hidden="1" customHeight="1">
      <c r="A945" s="47"/>
      <c r="B945" s="2" t="s">
        <v>1429</v>
      </c>
      <c r="C945" s="2"/>
      <c r="D945" s="2" t="s">
        <v>3906</v>
      </c>
      <c r="E945" s="51" t="s">
        <v>3087</v>
      </c>
      <c r="F945" s="47"/>
      <c r="G945" s="52">
        <f t="array" ref="G945">MAX(IF(INSTOCK!$H$2:$H$2025=B945,INSTOCK!$K$2:$K$2025))</f>
        <v>400</v>
      </c>
      <c r="H945" s="53">
        <f>SUM(IF(INSTOCK!$H$2:$H$2025=B945,INSTOCK!$I$2:$I$2025))</f>
        <v>0</v>
      </c>
      <c r="I945" s="53" t="str">
        <f>SUM(IF([1]!Table13[ID]=B945,[1]!Table13[QTY]))</f>
        <v>#ERROR!</v>
      </c>
      <c r="J945" s="53" t="str">
        <f>TABLEITEM!$H$3:$H$1138-TABLEITEM!$I$3:$I$1138</f>
        <v>#ERROR!</v>
      </c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47"/>
      <c r="B946" s="2" t="s">
        <v>1431</v>
      </c>
      <c r="C946" s="2"/>
      <c r="D946" s="2" t="s">
        <v>3907</v>
      </c>
      <c r="E946" s="51"/>
      <c r="F946" s="47"/>
      <c r="G946" s="52">
        <f t="array" ref="G946">MAX(IF(INSTOCK!$H$2:$H$2025=B946,INSTOCK!$K$2:$K$2025))</f>
        <v>1240</v>
      </c>
      <c r="H946" s="53">
        <f>SUM(IF(INSTOCK!$H$2:$H$2025=B946,INSTOCK!$I$2:$I$2025))</f>
        <v>0</v>
      </c>
      <c r="I946" s="53" t="str">
        <f>SUM(IF([1]!Table13[ID]=B946,[1]!Table13[QTY]))</f>
        <v>#ERROR!</v>
      </c>
      <c r="J946" s="53" t="str">
        <f>TABLEITEM!$H$3:$H$1138-TABLEITEM!$I$3:$I$1138</f>
        <v>#ERROR!</v>
      </c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hidden="1" customHeight="1">
      <c r="A947" s="47"/>
      <c r="B947" s="2" t="s">
        <v>1433</v>
      </c>
      <c r="C947" s="2"/>
      <c r="D947" s="2" t="s">
        <v>3908</v>
      </c>
      <c r="E947" s="51"/>
      <c r="F947" s="47"/>
      <c r="G947" s="52">
        <f t="array" ref="G947">MAX(IF(INSTOCK!$H$2:$H$2025=B947,INSTOCK!$K$2:$K$2025))</f>
        <v>1700</v>
      </c>
      <c r="H947" s="53">
        <f>SUM(IF(INSTOCK!$H$2:$H$2025=B947,INSTOCK!$I$2:$I$2025))</f>
        <v>0</v>
      </c>
      <c r="I947" s="53" t="str">
        <f>SUM(IF([1]!Table13[ID]=B947,[1]!Table13[QTY]))</f>
        <v>#ERROR!</v>
      </c>
      <c r="J947" s="53" t="str">
        <f>TABLEITEM!$H$3:$H$1138-TABLEITEM!$I$3:$I$1138</f>
        <v>#ERROR!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hidden="1" customHeight="1">
      <c r="A948" s="47"/>
      <c r="B948" s="2" t="s">
        <v>1453</v>
      </c>
      <c r="C948" s="2" t="s">
        <v>2599</v>
      </c>
      <c r="D948" s="2" t="s">
        <v>3909</v>
      </c>
      <c r="E948" s="51" t="s">
        <v>3087</v>
      </c>
      <c r="F948" s="47"/>
      <c r="G948" s="52">
        <f t="array" ref="G948">MAX(IF(INSTOCK!$H$2:$H$2025=B948,INSTOCK!$K$2:$K$2025))</f>
        <v>25</v>
      </c>
      <c r="H948" s="53">
        <f>SUM(IF(INSTOCK!$H$2:$H$2025=B948,INSTOCK!$I$2:$I$2025))</f>
        <v>0</v>
      </c>
      <c r="I948" s="53" t="str">
        <f>SUM(IF([1]!Table13[ID]=B948,[1]!Table13[QTY]))</f>
        <v>#ERROR!</v>
      </c>
      <c r="J948" s="53" t="str">
        <f>TABLEITEM!$H$3:$H$1138-TABLEITEM!$I$3:$I$1138</f>
        <v>#ERROR!</v>
      </c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hidden="1" customHeight="1">
      <c r="A949" s="47"/>
      <c r="B949" s="2" t="s">
        <v>1440</v>
      </c>
      <c r="C949" s="2" t="s">
        <v>1056</v>
      </c>
      <c r="D949" s="2" t="s">
        <v>3910</v>
      </c>
      <c r="E949" s="51"/>
      <c r="F949" s="47"/>
      <c r="G949" s="52">
        <f t="array" ref="G949">MAX(IF(INSTOCK!$H$2:$H$2025=B949,INSTOCK!$K$2:$K$2025))</f>
        <v>432</v>
      </c>
      <c r="H949" s="53">
        <f>SUM(IF(INSTOCK!$H$2:$H$2025=B949,INSTOCK!$I$2:$I$2025))</f>
        <v>0</v>
      </c>
      <c r="I949" s="53" t="str">
        <f>SUM(IF([1]!Table13[ID]=B949,[1]!Table13[QTY]))</f>
        <v>#ERROR!</v>
      </c>
      <c r="J949" s="53" t="str">
        <f>TABLEITEM!$H$3:$H$1138-TABLEITEM!$I$3:$I$1138</f>
        <v>#ERROR!</v>
      </c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hidden="1" customHeight="1">
      <c r="A950" s="47"/>
      <c r="B950" s="2" t="s">
        <v>1443</v>
      </c>
      <c r="C950" s="2" t="s">
        <v>1056</v>
      </c>
      <c r="D950" s="2" t="s">
        <v>3911</v>
      </c>
      <c r="E950" s="51"/>
      <c r="F950" s="47"/>
      <c r="G950" s="52">
        <f t="array" ref="G950">MAX(IF(INSTOCK!$H$2:$H$2025=B950,INSTOCK!$K$2:$K$2025))</f>
        <v>336</v>
      </c>
      <c r="H950" s="53">
        <f>SUM(IF(INSTOCK!$H$2:$H$2025=B950,INSTOCK!$I$2:$I$2025))</f>
        <v>0</v>
      </c>
      <c r="I950" s="53" t="str">
        <f>SUM(IF([1]!Table13[ID]=B950,[1]!Table13[QTY]))</f>
        <v>#ERROR!</v>
      </c>
      <c r="J950" s="53" t="str">
        <f>TABLEITEM!$H$3:$H$1138-TABLEITEM!$I$3:$I$1138</f>
        <v>#ERROR!</v>
      </c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hidden="1" customHeight="1">
      <c r="A951" s="47"/>
      <c r="B951" s="2" t="s">
        <v>1457</v>
      </c>
      <c r="C951" s="2" t="s">
        <v>2599</v>
      </c>
      <c r="D951" s="2" t="s">
        <v>3912</v>
      </c>
      <c r="E951" s="51" t="s">
        <v>3087</v>
      </c>
      <c r="F951" s="47"/>
      <c r="G951" s="52">
        <f t="array" ref="G951">MAX(IF(INSTOCK!$H$2:$H$2025=B951,INSTOCK!$K$2:$K$2025))</f>
        <v>25</v>
      </c>
      <c r="H951" s="53">
        <f>SUM(IF(INSTOCK!$H$2:$H$2025=B951,INSTOCK!$I$2:$I$2025))</f>
        <v>0</v>
      </c>
      <c r="I951" s="53" t="str">
        <f>SUM(IF([1]!Table13[ID]=B951,[1]!Table13[QTY]))</f>
        <v>#ERROR!</v>
      </c>
      <c r="J951" s="53" t="str">
        <f>TABLEITEM!$H$3:$H$1138-TABLEITEM!$I$3:$I$1138</f>
        <v>#ERROR!</v>
      </c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hidden="1" customHeight="1">
      <c r="A952" s="47"/>
      <c r="B952" s="2" t="s">
        <v>1458</v>
      </c>
      <c r="C952" s="2" t="s">
        <v>2599</v>
      </c>
      <c r="D952" s="2" t="s">
        <v>3913</v>
      </c>
      <c r="E952" s="51" t="s">
        <v>3087</v>
      </c>
      <c r="F952" s="47"/>
      <c r="G952" s="52">
        <f t="array" ref="G952">MAX(IF(INSTOCK!$H$2:$H$2025=B952,INSTOCK!$K$2:$K$2025))</f>
        <v>25</v>
      </c>
      <c r="H952" s="53">
        <f>SUM(IF(INSTOCK!$H$2:$H$2025=B952,INSTOCK!$I$2:$I$2025))</f>
        <v>0</v>
      </c>
      <c r="I952" s="53" t="str">
        <f>SUM(IF([1]!Table13[ID]=B952,[1]!Table13[QTY]))</f>
        <v>#ERROR!</v>
      </c>
      <c r="J952" s="53" t="str">
        <f>TABLEITEM!$H$3:$H$1138-TABLEITEM!$I$3:$I$1138</f>
        <v>#ERROR!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hidden="1" customHeight="1">
      <c r="A953" s="47"/>
      <c r="B953" s="2" t="s">
        <v>1464</v>
      </c>
      <c r="C953" s="2" t="s">
        <v>2599</v>
      </c>
      <c r="D953" s="2" t="s">
        <v>3914</v>
      </c>
      <c r="E953" s="51" t="s">
        <v>3087</v>
      </c>
      <c r="F953" s="47"/>
      <c r="G953" s="52">
        <f t="array" ref="G953">MAX(IF(INSTOCK!$H$2:$H$2025=B953,INSTOCK!$K$2:$K$2025))</f>
        <v>360</v>
      </c>
      <c r="H953" s="53">
        <f>SUM(IF(INSTOCK!$H$2:$H$2025=B953,INSTOCK!$I$2:$I$2025))</f>
        <v>0</v>
      </c>
      <c r="I953" s="53" t="str">
        <f>SUM(IF([1]!Table13[ID]=B953,[1]!Table13[QTY]))</f>
        <v>#ERROR!</v>
      </c>
      <c r="J953" s="53" t="str">
        <f>TABLEITEM!$H$3:$H$1138-TABLEITEM!$I$3:$I$1138</f>
        <v>#ERROR!</v>
      </c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hidden="1" customHeight="1">
      <c r="A954" s="47"/>
      <c r="B954" s="2" t="s">
        <v>1461</v>
      </c>
      <c r="C954" s="2" t="s">
        <v>2599</v>
      </c>
      <c r="D954" s="2" t="s">
        <v>3915</v>
      </c>
      <c r="E954" s="51" t="s">
        <v>3087</v>
      </c>
      <c r="F954" s="47"/>
      <c r="G954" s="52">
        <f t="array" ref="G954">MAX(IF(INSTOCK!$H$2:$H$2025=B954,INSTOCK!$K$2:$K$2025))</f>
        <v>38</v>
      </c>
      <c r="H954" s="53">
        <f>SUM(IF(INSTOCK!$H$2:$H$2025=B954,INSTOCK!$I$2:$I$2025))</f>
        <v>0</v>
      </c>
      <c r="I954" s="53" t="str">
        <f>SUM(IF([1]!Table13[ID]=B954,[1]!Table13[QTY]))</f>
        <v>#ERROR!</v>
      </c>
      <c r="J954" s="53" t="str">
        <f>TABLEITEM!$H$3:$H$1138-TABLEITEM!$I$3:$I$1138</f>
        <v>#ERROR!</v>
      </c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hidden="1" customHeight="1">
      <c r="A955" s="47"/>
      <c r="B955" s="2" t="s">
        <v>1474</v>
      </c>
      <c r="C955" s="2" t="s">
        <v>2599</v>
      </c>
      <c r="D955" s="2" t="s">
        <v>3916</v>
      </c>
      <c r="E955" s="51"/>
      <c r="F955" s="47"/>
      <c r="G955" s="52">
        <f t="array" ref="G955">MAX(IF(INSTOCK!$H$2:$H$2025=B955,INSTOCK!$K$2:$K$2025))</f>
        <v>49.166666</v>
      </c>
      <c r="H955" s="53">
        <f>SUM(IF(INSTOCK!$H$2:$H$2025=B955,INSTOCK!$I$2:$I$2025))</f>
        <v>0</v>
      </c>
      <c r="I955" s="53" t="str">
        <f>SUM(IF([1]!Table13[ID]=B955,[1]!Table13[QTY]))</f>
        <v>#ERROR!</v>
      </c>
      <c r="J955" s="53" t="str">
        <f>TABLEITEM!$H$3:$H$1138-TABLEITEM!$I$3:$I$1138</f>
        <v>#ERROR!</v>
      </c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hidden="1" customHeight="1">
      <c r="A956" s="47"/>
      <c r="B956" s="2" t="s">
        <v>1516</v>
      </c>
      <c r="C956" s="2" t="s">
        <v>2599</v>
      </c>
      <c r="D956" s="2" t="s">
        <v>3917</v>
      </c>
      <c r="E956" s="51" t="s">
        <v>3087</v>
      </c>
      <c r="F956" s="47"/>
      <c r="G956" s="52">
        <f t="array" ref="G956">MAX(IF(INSTOCK!$H$2:$H$2025=B956,INSTOCK!$K$2:$K$2025))</f>
        <v>25</v>
      </c>
      <c r="H956" s="53">
        <f>SUM(IF(INSTOCK!$H$2:$H$2025=B956,INSTOCK!$I$2:$I$2025))</f>
        <v>0</v>
      </c>
      <c r="I956" s="53" t="str">
        <f>SUM(IF([1]!Table13[ID]=B956,[1]!Table13[QTY]))</f>
        <v>#ERROR!</v>
      </c>
      <c r="J956" s="53" t="str">
        <f>TABLEITEM!$H$3:$H$1138-TABLEITEM!$I$3:$I$1138</f>
        <v>#ERROR!</v>
      </c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hidden="1" customHeight="1">
      <c r="A957" s="47"/>
      <c r="B957" s="2" t="s">
        <v>1519</v>
      </c>
      <c r="C957" s="2" t="s">
        <v>2599</v>
      </c>
      <c r="D957" s="2" t="s">
        <v>3918</v>
      </c>
      <c r="E957" s="51" t="s">
        <v>3087</v>
      </c>
      <c r="F957" s="47"/>
      <c r="G957" s="52">
        <f t="array" ref="G957">MAX(IF(INSTOCK!$H$2:$H$2025=B957,INSTOCK!$K$2:$K$2025))</f>
        <v>25</v>
      </c>
      <c r="H957" s="53">
        <f>SUM(IF(INSTOCK!$H$2:$H$2025=B957,INSTOCK!$I$2:$I$2025))</f>
        <v>0</v>
      </c>
      <c r="I957" s="53" t="str">
        <f>SUM(IF([1]!Table13[ID]=B957,[1]!Table13[QTY]))</f>
        <v>#ERROR!</v>
      </c>
      <c r="J957" s="53" t="str">
        <f>TABLEITEM!$H$3:$H$1138-TABLEITEM!$I$3:$I$1138</f>
        <v>#ERROR!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hidden="1" customHeight="1">
      <c r="A958" s="47"/>
      <c r="B958" s="2" t="s">
        <v>1522</v>
      </c>
      <c r="C958" s="2" t="s">
        <v>2599</v>
      </c>
      <c r="D958" s="2" t="s">
        <v>3919</v>
      </c>
      <c r="E958" s="51" t="s">
        <v>3087</v>
      </c>
      <c r="F958" s="47"/>
      <c r="G958" s="52">
        <f t="array" ref="G958">MAX(IF(INSTOCK!$H$2:$H$2025=B957,INSTOCK!$K$2:$K$2025))</f>
        <v>25</v>
      </c>
      <c r="H958" s="53">
        <f>SUM(IF(INSTOCK!$H$2:$H$2025=B958,INSTOCK!$I$2:$I$2025))</f>
        <v>0</v>
      </c>
      <c r="I958" s="53" t="str">
        <f>SUM(IF([1]!Table13[ID]=B958,[1]!Table13[QTY]))</f>
        <v>#ERROR!</v>
      </c>
      <c r="J958" s="53" t="str">
        <f>TABLEITEM!$H$3:$H$1138-TABLEITEM!$I$3:$I$1138</f>
        <v>#ERROR!</v>
      </c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hidden="1" customHeight="1">
      <c r="A959" s="47"/>
      <c r="B959" s="2" t="s">
        <v>1524</v>
      </c>
      <c r="C959" s="2" t="s">
        <v>2599</v>
      </c>
      <c r="D959" s="2" t="s">
        <v>3920</v>
      </c>
      <c r="E959" s="51" t="s">
        <v>3087</v>
      </c>
      <c r="F959" s="47"/>
      <c r="G959" s="52">
        <f t="array" ref="G959">MAX(IF(INSTOCK!$H$2:$H$2025=B959,INSTOCK!$K$2:$K$2025))</f>
        <v>25</v>
      </c>
      <c r="H959" s="53">
        <f>SUM(IF(INSTOCK!$H$2:$H$2025=B959,INSTOCK!$I$2:$I$2025))</f>
        <v>0</v>
      </c>
      <c r="I959" s="53" t="str">
        <f>SUM(IF([1]!Table13[ID]=B959,[1]!Table13[QTY]))</f>
        <v>#ERROR!</v>
      </c>
      <c r="J959" s="53" t="str">
        <f>TABLEITEM!$H$3:$H$1138-TABLEITEM!$I$3:$I$1138</f>
        <v>#ERROR!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hidden="1" customHeight="1">
      <c r="A960" s="47"/>
      <c r="B960" s="2" t="s">
        <v>1529</v>
      </c>
      <c r="C960" s="2" t="s">
        <v>2599</v>
      </c>
      <c r="D960" s="2" t="s">
        <v>3921</v>
      </c>
      <c r="E960" s="51" t="s">
        <v>3087</v>
      </c>
      <c r="F960" s="47"/>
      <c r="G960" s="52">
        <f t="array" ref="G960">MAX(IF(INSTOCK!$H$2:$H$2025=B960,INSTOCK!$K$2:$K$2025))</f>
        <v>140</v>
      </c>
      <c r="H960" s="53">
        <f>SUM(IF(INSTOCK!$H$2:$H$2025=B960,INSTOCK!$I$2:$I$2025))</f>
        <v>0</v>
      </c>
      <c r="I960" s="53" t="str">
        <f>SUM(IF([1]!Table13[ID]=B960,[1]!Table13[QTY]))</f>
        <v>#ERROR!</v>
      </c>
      <c r="J960" s="53" t="str">
        <f>TABLEITEM!$H$3:$H$1138-TABLEITEM!$I$3:$I$1138</f>
        <v>#ERROR!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hidden="1" customHeight="1">
      <c r="A961" s="47"/>
      <c r="B961" s="2" t="s">
        <v>1539</v>
      </c>
      <c r="C961" s="2" t="s">
        <v>2599</v>
      </c>
      <c r="D961" s="2" t="s">
        <v>3922</v>
      </c>
      <c r="E961" s="51" t="s">
        <v>3087</v>
      </c>
      <c r="F961" s="47"/>
      <c r="G961" s="52">
        <f t="array" ref="G961">MAX(IF(INSTOCK!$H$2:$H$2025=B961,INSTOCK!$K$2:$K$2025))</f>
        <v>90</v>
      </c>
      <c r="H961" s="53">
        <f>SUM(IF(INSTOCK!$H$2:$H$2025=B961,INSTOCK!$I$2:$I$2025))</f>
        <v>0</v>
      </c>
      <c r="I961" s="53" t="str">
        <f>SUM(IF([1]!Table13[ID]=B961,[1]!Table13[QTY]))</f>
        <v>#ERROR!</v>
      </c>
      <c r="J961" s="53" t="str">
        <f>TABLEITEM!$H$3:$H$1138-TABLEITEM!$I$3:$I$1138</f>
        <v>#ERROR!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hidden="1" customHeight="1">
      <c r="A962" s="47"/>
      <c r="B962" s="2" t="s">
        <v>1542</v>
      </c>
      <c r="C962" s="2" t="s">
        <v>2599</v>
      </c>
      <c r="D962" s="2" t="s">
        <v>3923</v>
      </c>
      <c r="E962" s="51" t="s">
        <v>3087</v>
      </c>
      <c r="F962" s="47"/>
      <c r="G962" s="52">
        <f t="array" ref="G962">MAX(IF(INSTOCK!$H$2:$H$2025=B962,INSTOCK!$K$2:$K$2025))</f>
        <v>150</v>
      </c>
      <c r="H962" s="53">
        <f>SUM(IF(INSTOCK!$H$2:$H$2025=B962,INSTOCK!$I$2:$I$2025))</f>
        <v>0</v>
      </c>
      <c r="I962" s="53" t="str">
        <f>SUM(IF([1]!Table13[ID]=B962,[1]!Table13[QTY]))</f>
        <v>#ERROR!</v>
      </c>
      <c r="J962" s="53" t="str">
        <f>TABLEITEM!$H$3:$H$1138-TABLEITEM!$I$3:$I$1138</f>
        <v>#ERROR!</v>
      </c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hidden="1" customHeight="1">
      <c r="A963" s="47"/>
      <c r="B963" s="2" t="s">
        <v>1545</v>
      </c>
      <c r="C963" s="2" t="s">
        <v>2599</v>
      </c>
      <c r="D963" s="2" t="s">
        <v>3924</v>
      </c>
      <c r="E963" s="51" t="s">
        <v>3087</v>
      </c>
      <c r="F963" s="47"/>
      <c r="G963" s="52">
        <f t="array" ref="G963">MAX(IF(INSTOCK!$H$2:$H$2025=B963,INSTOCK!$K$2:$K$2025))</f>
        <v>60</v>
      </c>
      <c r="H963" s="53">
        <f>SUM(IF(INSTOCK!$H$2:$H$2025=B963,INSTOCK!$I$2:$I$2025))</f>
        <v>0</v>
      </c>
      <c r="I963" s="53" t="str">
        <f>SUM(IF([1]!Table13[ID]=B963,[1]!Table13[QTY]))</f>
        <v>#ERROR!</v>
      </c>
      <c r="J963" s="53" t="str">
        <f>TABLEITEM!$H$3:$H$1138-TABLEITEM!$I$3:$I$1138</f>
        <v>#ERROR!</v>
      </c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hidden="1" customHeight="1">
      <c r="A964" s="47"/>
      <c r="B964" s="2" t="s">
        <v>1549</v>
      </c>
      <c r="C964" s="2" t="s">
        <v>2599</v>
      </c>
      <c r="D964" s="2" t="s">
        <v>3925</v>
      </c>
      <c r="E964" s="51" t="s">
        <v>3087</v>
      </c>
      <c r="F964" s="47"/>
      <c r="G964" s="52">
        <f t="array" ref="G964">MAX(IF(INSTOCK!$H$2:$H$2025=B964,INSTOCK!$K$2:$K$2025))</f>
        <v>130</v>
      </c>
      <c r="H964" s="53">
        <f>SUM(IF(INSTOCK!$H$2:$H$2025=B964,INSTOCK!$I$2:$I$2025))</f>
        <v>0</v>
      </c>
      <c r="I964" s="53" t="str">
        <f>SUM(IF([1]!Table13[ID]=B964,[1]!Table13[QTY]))</f>
        <v>#ERROR!</v>
      </c>
      <c r="J964" s="53" t="str">
        <f>TABLEITEM!$H$3:$H$1138-TABLEITEM!$I$3:$I$1138</f>
        <v>#ERROR!</v>
      </c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hidden="1" customHeight="1">
      <c r="A965" s="47"/>
      <c r="B965" s="2" t="s">
        <v>1552</v>
      </c>
      <c r="C965" s="2" t="s">
        <v>2599</v>
      </c>
      <c r="D965" s="2" t="s">
        <v>3926</v>
      </c>
      <c r="E965" s="51" t="s">
        <v>3087</v>
      </c>
      <c r="F965" s="47"/>
      <c r="G965" s="52">
        <f t="array" ref="G965">MAX(IF(INSTOCK!$H$2:$H$2025=B965,INSTOCK!$K$2:$K$2025))</f>
        <v>240</v>
      </c>
      <c r="H965" s="53">
        <f>SUM(IF(INSTOCK!$H$2:$H$2025=B965,INSTOCK!$I$2:$I$2025))</f>
        <v>0</v>
      </c>
      <c r="I965" s="53" t="str">
        <f>SUM(IF([1]!Table13[ID]=B965,[1]!Table13[QTY]))</f>
        <v>#ERROR!</v>
      </c>
      <c r="J965" s="53" t="str">
        <f>TABLEITEM!$H$3:$H$1138-TABLEITEM!$I$3:$I$1138</f>
        <v>#ERROR!</v>
      </c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hidden="1" customHeight="1">
      <c r="A966" s="47"/>
      <c r="B966" s="2" t="s">
        <v>1555</v>
      </c>
      <c r="C966" s="2" t="s">
        <v>2599</v>
      </c>
      <c r="D966" s="2" t="s">
        <v>3927</v>
      </c>
      <c r="E966" s="51" t="s">
        <v>3087</v>
      </c>
      <c r="F966" s="47"/>
      <c r="G966" s="52">
        <f t="array" ref="G966">MAX(IF(INSTOCK!$H$2:$H$2025=B966,INSTOCK!$K$2:$K$2025))</f>
        <v>68</v>
      </c>
      <c r="H966" s="53">
        <f>SUM(IF(INSTOCK!$H$2:$H$2025=B966,INSTOCK!$I$2:$I$2025))</f>
        <v>0</v>
      </c>
      <c r="I966" s="53" t="str">
        <f>SUM(IF([1]!Table13[ID]=B966,[1]!Table13[QTY]))</f>
        <v>#ERROR!</v>
      </c>
      <c r="J966" s="53" t="str">
        <f>TABLEITEM!$H$3:$H$1138-TABLEITEM!$I$3:$I$1138</f>
        <v>#ERROR!</v>
      </c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hidden="1" customHeight="1">
      <c r="A967" s="47"/>
      <c r="B967" s="2" t="s">
        <v>1561</v>
      </c>
      <c r="C967" s="64" t="s">
        <v>1056</v>
      </c>
      <c r="D967" s="2" t="s">
        <v>3928</v>
      </c>
      <c r="E967" s="51"/>
      <c r="F967" s="47"/>
      <c r="G967" s="52">
        <f>MAX(IF(INSTOCK!$H$2:$H$2025=B967,INSTOCK!$K$2:$K$2025))</f>
        <v>0</v>
      </c>
      <c r="H967" s="53">
        <f>SUM(IF(INSTOCK!$H$2:$H$2025=B967,INSTOCK!$I$2:$I$2025))</f>
        <v>0</v>
      </c>
      <c r="I967" s="53" t="str">
        <f>SUM(IF([1]!Table13[ID]=B967,[1]!Table13[QTY]))</f>
        <v>#ERROR!</v>
      </c>
      <c r="J967" s="53" t="str">
        <f>TABLEITEM!$H$3:$H$1138-TABLEITEM!$I$3:$I$1138</f>
        <v>#ERROR!</v>
      </c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hidden="1" customHeight="1">
      <c r="A968" s="47"/>
      <c r="B968" s="2" t="s">
        <v>1578</v>
      </c>
      <c r="C968" s="64" t="s">
        <v>1056</v>
      </c>
      <c r="D968" s="2" t="s">
        <v>3929</v>
      </c>
      <c r="E968" s="51"/>
      <c r="F968" s="47"/>
      <c r="G968" s="52">
        <f t="array" ref="G968">MAX(IF(INSTOCK!$H$2:$H$2025=B968,INSTOCK!$K$2:$K$2025))</f>
        <v>328.5333</v>
      </c>
      <c r="H968" s="53">
        <f>SUM(IF(INSTOCK!$H$2:$H$2025=B968,INSTOCK!$I$2:$I$2025))</f>
        <v>0</v>
      </c>
      <c r="I968" s="53" t="str">
        <f>SUM(IF([1]!Table13[ID]=B968,[1]!Table13[QTY]))</f>
        <v>#ERROR!</v>
      </c>
      <c r="J968" s="53" t="str">
        <f>TABLEITEM!$H$3:$H$1138-TABLEITEM!$I$3:$I$1138</f>
        <v>#ERROR!</v>
      </c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hidden="1" customHeight="1">
      <c r="A969" s="47"/>
      <c r="B969" s="2" t="s">
        <v>1591</v>
      </c>
      <c r="C969" s="2" t="s">
        <v>2599</v>
      </c>
      <c r="D969" s="2" t="s">
        <v>3930</v>
      </c>
      <c r="E969" s="51" t="s">
        <v>3087</v>
      </c>
      <c r="F969" s="47"/>
      <c r="G969" s="52">
        <f t="array" ref="G969">MAX(IF(INSTOCK!$H$2:$H$2025=B969,INSTOCK!$K$2:$K$2025))</f>
        <v>50</v>
      </c>
      <c r="H969" s="53">
        <f>SUM(IF(INSTOCK!$H$2:$H$2025=B969,INSTOCK!$I$2:$I$2025))</f>
        <v>0</v>
      </c>
      <c r="I969" s="53" t="str">
        <f>SUM(IF([1]!Table13[ID]=B969,[1]!Table13[QTY]))</f>
        <v>#ERROR!</v>
      </c>
      <c r="J969" s="53" t="str">
        <f>TABLEITEM!$H$3:$H$1138-TABLEITEM!$I$3:$I$1138</f>
        <v>#ERROR!</v>
      </c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hidden="1" customHeight="1">
      <c r="A970" s="47"/>
      <c r="B970" s="2" t="s">
        <v>1598</v>
      </c>
      <c r="C970" s="2" t="s">
        <v>2599</v>
      </c>
      <c r="D970" s="2" t="s">
        <v>3931</v>
      </c>
      <c r="E970" s="51" t="s">
        <v>3087</v>
      </c>
      <c r="F970" s="47"/>
      <c r="G970" s="52">
        <f t="array" ref="G970">MAX(IF(INSTOCK!$H$2:$H$2025=B970,INSTOCK!$K$2:$K$2025))</f>
        <v>25</v>
      </c>
      <c r="H970" s="53">
        <f>SUM(IF(INSTOCK!$H$2:$H$2025=B970,INSTOCK!$I$2:$I$2025))</f>
        <v>0</v>
      </c>
      <c r="I970" s="53" t="str">
        <f>SUM(IF([1]!Table13[ID]=B970,[1]!Table13[QTY]))</f>
        <v>#ERROR!</v>
      </c>
      <c r="J970" s="53" t="str">
        <f>TABLEITEM!$H$3:$H$1138-TABLEITEM!$I$3:$I$1138</f>
        <v>#ERROR!</v>
      </c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hidden="1" customHeight="1">
      <c r="A971" s="47"/>
      <c r="B971" s="2" t="s">
        <v>1601</v>
      </c>
      <c r="C971" s="2" t="s">
        <v>2599</v>
      </c>
      <c r="D971" s="2" t="s">
        <v>3932</v>
      </c>
      <c r="E971" s="51" t="s">
        <v>3087</v>
      </c>
      <c r="F971" s="47"/>
      <c r="G971" s="52">
        <f t="array" ref="G971">MAX(IF(INSTOCK!$H$2:$H$2025=B971,INSTOCK!$K$2:$K$2025))</f>
        <v>240</v>
      </c>
      <c r="H971" s="53">
        <f>SUM(IF(INSTOCK!$H$2:$H$2025=B971,INSTOCK!$I$2:$I$2025))</f>
        <v>0</v>
      </c>
      <c r="I971" s="53" t="str">
        <f>SUM(IF([1]!Table13[ID]=B971,[1]!Table13[QTY]))</f>
        <v>#ERROR!</v>
      </c>
      <c r="J971" s="53" t="str">
        <f>TABLEITEM!$H$3:$H$1138-TABLEITEM!$I$3:$I$1138</f>
        <v>#ERROR!</v>
      </c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hidden="1" customHeight="1">
      <c r="A972" s="47"/>
      <c r="B972" s="2" t="s">
        <v>1606</v>
      </c>
      <c r="C972" s="2" t="s">
        <v>2599</v>
      </c>
      <c r="D972" s="2" t="s">
        <v>3933</v>
      </c>
      <c r="E972" s="51" t="s">
        <v>3087</v>
      </c>
      <c r="F972" s="47"/>
      <c r="G972" s="52">
        <f t="array" ref="G972">MAX(IF(INSTOCK!$H$2:$H$2025=B972,INSTOCK!$K$2:$K$2025))</f>
        <v>90</v>
      </c>
      <c r="H972" s="53">
        <f>SUM(IF(INSTOCK!$H$2:$H$2025=B972,INSTOCK!$I$2:$I$2025))</f>
        <v>0</v>
      </c>
      <c r="I972" s="53" t="str">
        <f>SUM(IF([1]!Table13[ID]=B972,[1]!Table13[QTY]))</f>
        <v>#ERROR!</v>
      </c>
      <c r="J972" s="53" t="str">
        <f>TABLEITEM!$H$3:$H$1138-TABLEITEM!$I$3:$I$1138</f>
        <v>#ERROR!</v>
      </c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hidden="1" customHeight="1">
      <c r="A973" s="47"/>
      <c r="B973" s="2" t="s">
        <v>1609</v>
      </c>
      <c r="C973" s="2" t="s">
        <v>2599</v>
      </c>
      <c r="D973" s="2" t="s">
        <v>3934</v>
      </c>
      <c r="E973" s="51" t="s">
        <v>3087</v>
      </c>
      <c r="F973" s="47"/>
      <c r="G973" s="52">
        <f t="array" ref="G973">MAX(IF(INSTOCK!$H$2:$H$2025=B973,INSTOCK!$K$2:$K$2025))</f>
        <v>240</v>
      </c>
      <c r="H973" s="53">
        <f>SUM(IF(INSTOCK!$H$2:$H$2025=B973,INSTOCK!$I$2:$I$2025))</f>
        <v>0</v>
      </c>
      <c r="I973" s="53" t="str">
        <f>SUM(IF([1]!Table13[ID]=B973,[1]!Table13[QTY]))</f>
        <v>#ERROR!</v>
      </c>
      <c r="J973" s="53" t="str">
        <f>TABLEITEM!$H$3:$H$1138-TABLEITEM!$I$3:$I$1138</f>
        <v>#ERROR!</v>
      </c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hidden="1" customHeight="1">
      <c r="A974" s="47"/>
      <c r="B974" s="2" t="s">
        <v>1635</v>
      </c>
      <c r="C974" s="2" t="s">
        <v>2599</v>
      </c>
      <c r="D974" s="2" t="s">
        <v>3935</v>
      </c>
      <c r="E974" s="51" t="s">
        <v>3087</v>
      </c>
      <c r="F974" s="47"/>
      <c r="G974" s="52">
        <f t="array" ref="G974">MAX(IF(INSTOCK!$H$2:$H$2025=B974,INSTOCK!$K$2:$K$2025))</f>
        <v>90</v>
      </c>
      <c r="H974" s="53">
        <f>SUM(IF(INSTOCK!$H$2:$H$2025=B974,INSTOCK!$I$2:$I$2025))</f>
        <v>0</v>
      </c>
      <c r="I974" s="53" t="str">
        <f>SUM(IF([1]!Table13[ID]=B974,[1]!Table13[QTY]))</f>
        <v>#ERROR!</v>
      </c>
      <c r="J974" s="53" t="str">
        <f>TABLEITEM!$H$3:$H$1138-TABLEITEM!$I$3:$I$1138</f>
        <v>#ERROR!</v>
      </c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hidden="1" customHeight="1">
      <c r="A975" s="47"/>
      <c r="B975" s="2" t="s">
        <v>1638</v>
      </c>
      <c r="C975" s="2" t="s">
        <v>2599</v>
      </c>
      <c r="D975" s="2" t="s">
        <v>3936</v>
      </c>
      <c r="E975" s="51" t="s">
        <v>3087</v>
      </c>
      <c r="F975" s="47"/>
      <c r="G975" s="52">
        <f t="array" ref="G975">MAX(IF(INSTOCK!$H$2:$H$2025=B975,INSTOCK!$K$2:$K$2025))</f>
        <v>90</v>
      </c>
      <c r="H975" s="53">
        <f>SUM(IF(INSTOCK!$H$2:$H$2025=B975,INSTOCK!$I$2:$I$2025))</f>
        <v>0</v>
      </c>
      <c r="I975" s="53" t="str">
        <f>SUM(IF([1]!Table13[ID]=B975,[1]!Table13[QTY]))</f>
        <v>#ERROR!</v>
      </c>
      <c r="J975" s="53" t="str">
        <f>TABLEITEM!$H$3:$H$1138-TABLEITEM!$I$3:$I$1138</f>
        <v>#ERROR!</v>
      </c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hidden="1" customHeight="1">
      <c r="A976" s="47"/>
      <c r="B976" s="2" t="s">
        <v>1629</v>
      </c>
      <c r="C976" s="2" t="s">
        <v>2599</v>
      </c>
      <c r="D976" s="2" t="s">
        <v>3937</v>
      </c>
      <c r="E976" s="51" t="s">
        <v>3087</v>
      </c>
      <c r="F976" s="47"/>
      <c r="G976" s="52">
        <f t="array" ref="G976">MAX(IF(INSTOCK!$H$2:$H$2025=B976,INSTOCK!$K$2:$K$2025))</f>
        <v>188</v>
      </c>
      <c r="H976" s="53">
        <f>SUM(IF(INSTOCK!$H$2:$H$2025=B976,INSTOCK!$I$2:$I$2025))</f>
        <v>0</v>
      </c>
      <c r="I976" s="53" t="str">
        <f>SUM(IF([1]!Table13[ID]=B976,[1]!Table13[QTY]))</f>
        <v>#ERROR!</v>
      </c>
      <c r="J976" s="53" t="str">
        <f>TABLEITEM!$H$3:$H$1138-TABLEITEM!$I$3:$I$1138</f>
        <v>#ERROR!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hidden="1" customHeight="1">
      <c r="A977" s="47"/>
      <c r="B977" s="2" t="s">
        <v>1641</v>
      </c>
      <c r="C977" s="2"/>
      <c r="D977" s="2" t="s">
        <v>3938</v>
      </c>
      <c r="E977" s="51"/>
      <c r="F977" s="47"/>
      <c r="G977" s="52">
        <f t="array" ref="G977">MAX(IF(INSTOCK!$H$2:$H$2025=B977,INSTOCK!$K$2:$K$2025))</f>
        <v>66.66666</v>
      </c>
      <c r="H977" s="53">
        <f>SUM(IF(INSTOCK!$H$2:$H$2025=B977,INSTOCK!$I$2:$I$2025))</f>
        <v>0</v>
      </c>
      <c r="I977" s="53" t="str">
        <f>SUM(IF([1]!Table13[ID]=B977,[1]!Table13[QTY]))</f>
        <v>#ERROR!</v>
      </c>
      <c r="J977" s="53" t="str">
        <f>TABLEITEM!$H$3:$H$1138-TABLEITEM!$I$3:$I$1138</f>
        <v>#ERROR!</v>
      </c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hidden="1" customHeight="1">
      <c r="A978" s="47"/>
      <c r="B978" s="2" t="s">
        <v>1648</v>
      </c>
      <c r="C978" s="2"/>
      <c r="D978" s="2" t="s">
        <v>3939</v>
      </c>
      <c r="E978" s="51"/>
      <c r="F978" s="47"/>
      <c r="G978" s="52">
        <f t="array" ref="G978">MAX(IF(INSTOCK!$H$2:$H$2025=B978,INSTOCK!$K$2:$K$2025))</f>
        <v>80</v>
      </c>
      <c r="H978" s="53">
        <f>SUM(IF(INSTOCK!$H$2:$H$2025=B978,INSTOCK!$I$2:$I$2025))</f>
        <v>0</v>
      </c>
      <c r="I978" s="53" t="str">
        <f>SUM(IF([1]!Table13[ID]=B978,[1]!Table13[QTY]))</f>
        <v>#ERROR!</v>
      </c>
      <c r="J978" s="53" t="str">
        <f>TABLEITEM!$H$3:$H$1138-TABLEITEM!$I$3:$I$1138</f>
        <v>#ERROR!</v>
      </c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hidden="1" customHeight="1">
      <c r="A979" s="47"/>
      <c r="B979" s="2" t="s">
        <v>1655</v>
      </c>
      <c r="C979" s="2"/>
      <c r="D979" s="2" t="s">
        <v>3940</v>
      </c>
      <c r="E979" s="51"/>
      <c r="F979" s="47"/>
      <c r="G979" s="52">
        <f t="array" ref="G979">MAX(IF(INSTOCK!$H$2:$H$2025=B979,INSTOCK!$K$2:$K$2025))</f>
        <v>134.16666</v>
      </c>
      <c r="H979" s="53">
        <f>SUM(IF(INSTOCK!$H$2:$H$2025=B979,INSTOCK!$I$2:$I$2025))</f>
        <v>0</v>
      </c>
      <c r="I979" s="53" t="str">
        <f>SUM(IF([1]!Table13[ID]=B979,[1]!Table13[QTY]))</f>
        <v>#ERROR!</v>
      </c>
      <c r="J979" s="53" t="str">
        <f>TABLEITEM!$H$3:$H$1138-TABLEITEM!$I$3:$I$1138</f>
        <v>#ERROR!</v>
      </c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hidden="1" customHeight="1">
      <c r="A980" s="47"/>
      <c r="B980" s="2" t="s">
        <v>1657</v>
      </c>
      <c r="C980" s="2"/>
      <c r="D980" s="2" t="s">
        <v>3941</v>
      </c>
      <c r="E980" s="51"/>
      <c r="F980" s="47"/>
      <c r="G980" s="52">
        <f t="array" ref="G980">MAX(IF(INSTOCK!$H$2:$H$2025=B980,INSTOCK!$K$2:$K$2025))</f>
        <v>168.33333</v>
      </c>
      <c r="H980" s="53">
        <f>SUM(IF(INSTOCK!$H$2:$H$2025=B980,INSTOCK!$I$2:$I$2025))</f>
        <v>0</v>
      </c>
      <c r="I980" s="53" t="str">
        <f>SUM(IF([1]!Table13[ID]=B980,[1]!Table13[QTY]))</f>
        <v>#ERROR!</v>
      </c>
      <c r="J980" s="53" t="str">
        <f>TABLEITEM!$H$3:$H$1138-TABLEITEM!$I$3:$I$1138</f>
        <v>#ERROR!</v>
      </c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hidden="1" customHeight="1">
      <c r="A981" s="47"/>
      <c r="B981" s="2" t="s">
        <v>1666</v>
      </c>
      <c r="C981" s="2"/>
      <c r="D981" s="2" t="s">
        <v>3942</v>
      </c>
      <c r="E981" s="51"/>
      <c r="F981" s="47"/>
      <c r="G981" s="52">
        <f t="array" ref="G981">MAX(IF(INSTOCK!$H$2:$H$2025=B981,INSTOCK!$K$2:$K$2025))</f>
        <v>900</v>
      </c>
      <c r="H981" s="53">
        <f>SUM(IF(INSTOCK!$H$2:$H$2025=B981,INSTOCK!$I$2:$I$2025))</f>
        <v>0</v>
      </c>
      <c r="I981" s="53" t="str">
        <f>SUM(IF([1]!Table13[ID]=B981,[1]!Table13[QTY]))</f>
        <v>#ERROR!</v>
      </c>
      <c r="J981" s="53" t="str">
        <f>TABLEITEM!$H$3:$H$1138-TABLEITEM!$I$3:$I$1138</f>
        <v>#ERROR!</v>
      </c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hidden="1" customHeight="1">
      <c r="A982" s="47"/>
      <c r="B982" s="2" t="s">
        <v>1677</v>
      </c>
      <c r="C982" s="2"/>
      <c r="D982" s="2" t="s">
        <v>3943</v>
      </c>
      <c r="E982" s="51"/>
      <c r="F982" s="47"/>
      <c r="G982" s="52">
        <f t="array" ref="G982">MAX(IF(INSTOCK!$H$2:$H$2025=B982,INSTOCK!$K$2:$K$2025))</f>
        <v>80</v>
      </c>
      <c r="H982" s="53">
        <f>SUM(IF(INSTOCK!$H$2:$H$2025=B982,INSTOCK!$I$2:$I$2025))</f>
        <v>0</v>
      </c>
      <c r="I982" s="53" t="str">
        <f>SUM(IF([1]!Table13[ID]=B982,[1]!Table13[QTY]))</f>
        <v>#ERROR!</v>
      </c>
      <c r="J982" s="53" t="str">
        <f>TABLEITEM!$H$3:$H$1138-TABLEITEM!$I$3:$I$1138</f>
        <v>#ERROR!</v>
      </c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hidden="1" customHeight="1">
      <c r="A983" s="47"/>
      <c r="B983" s="2" t="s">
        <v>1681</v>
      </c>
      <c r="C983" s="2"/>
      <c r="D983" s="2" t="s">
        <v>3944</v>
      </c>
      <c r="E983" s="51" t="s">
        <v>3087</v>
      </c>
      <c r="F983" s="47"/>
      <c r="G983" s="52">
        <f t="array" ref="G983">MAX(IF(INSTOCK!$H$2:$H$2025=B983,INSTOCK!$K$2:$K$2025))</f>
        <v>2550</v>
      </c>
      <c r="H983" s="53">
        <f>SUM(IF(INSTOCK!$H$2:$H$2025=B983,INSTOCK!$I$2:$I$2025))</f>
        <v>0</v>
      </c>
      <c r="I983" s="53" t="str">
        <f>SUM(IF([1]!Table13[ID]=B983,[1]!Table13[QTY]))</f>
        <v>#ERROR!</v>
      </c>
      <c r="J983" s="53" t="str">
        <f>TABLEITEM!$H$3:$H$1138-TABLEITEM!$I$3:$I$1138</f>
        <v>#ERROR!</v>
      </c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hidden="1" customHeight="1">
      <c r="A984" s="47"/>
      <c r="B984" s="2" t="s">
        <v>1691</v>
      </c>
      <c r="C984" s="2" t="s">
        <v>2599</v>
      </c>
      <c r="D984" s="2" t="s">
        <v>3945</v>
      </c>
      <c r="E984" s="51" t="s">
        <v>3087</v>
      </c>
      <c r="F984" s="47"/>
      <c r="G984" s="52">
        <f t="array" ref="G984">MAX(IF(INSTOCK!$H$2:$H$2025=B984,INSTOCK!$K$2:$K$2025))</f>
        <v>38</v>
      </c>
      <c r="H984" s="53">
        <f>SUM(IF(INSTOCK!$H$2:$H$2025=B984,INSTOCK!$I$2:$I$2025))</f>
        <v>0</v>
      </c>
      <c r="I984" s="53" t="str">
        <f>SUM(IF([1]!Table13[ID]=B984,[1]!Table13[QTY]))</f>
        <v>#ERROR!</v>
      </c>
      <c r="J984" s="53" t="str">
        <f>TABLEITEM!$H$3:$H$1138-TABLEITEM!$I$3:$I$1138</f>
        <v>#ERROR!</v>
      </c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hidden="1" customHeight="1">
      <c r="A985" s="47"/>
      <c r="B985" s="2" t="s">
        <v>1696</v>
      </c>
      <c r="C985" s="2" t="s">
        <v>2599</v>
      </c>
      <c r="D985" s="2" t="s">
        <v>3946</v>
      </c>
      <c r="E985" s="51" t="s">
        <v>3087</v>
      </c>
      <c r="F985" s="47"/>
      <c r="G985" s="52">
        <f t="array" ref="G985">MAX(IF(INSTOCK!$H$2:$H$2025=B985,INSTOCK!$K$2:$K$2025))</f>
        <v>115</v>
      </c>
      <c r="H985" s="53">
        <f>SUM(IF(INSTOCK!$H$2:$H$2025=B985,INSTOCK!$I$2:$I$2025))</f>
        <v>0</v>
      </c>
      <c r="I985" s="53" t="str">
        <f>SUM(IF([1]!Table13[ID]=B985,[1]!Table13[QTY]))</f>
        <v>#ERROR!</v>
      </c>
      <c r="J985" s="53" t="str">
        <f>TABLEITEM!$H$3:$H$1138-TABLEITEM!$I$3:$I$1138</f>
        <v>#ERROR!</v>
      </c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hidden="1" customHeight="1">
      <c r="A986" s="47"/>
      <c r="B986" s="2" t="s">
        <v>1699</v>
      </c>
      <c r="C986" s="2" t="s">
        <v>2599</v>
      </c>
      <c r="D986" s="2" t="s">
        <v>3947</v>
      </c>
      <c r="E986" s="51" t="s">
        <v>3087</v>
      </c>
      <c r="F986" s="47"/>
      <c r="G986" s="52">
        <f t="array" ref="G986">MAX(IF(INSTOCK!$H$2:$H$2025=B986,INSTOCK!$K$2:$K$2025))</f>
        <v>30</v>
      </c>
      <c r="H986" s="53">
        <f>SUM(IF(INSTOCK!$H$2:$H$2025=B986,INSTOCK!$I$2:$I$2025))</f>
        <v>0</v>
      </c>
      <c r="I986" s="53" t="str">
        <f>SUM(IF([1]!Table13[ID]=B986,[1]!Table13[QTY]))</f>
        <v>#ERROR!</v>
      </c>
      <c r="J986" s="53" t="str">
        <f>TABLEITEM!$H$3:$H$1138-TABLEITEM!$I$3:$I$1138</f>
        <v>#ERROR!</v>
      </c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hidden="1" customHeight="1">
      <c r="A987" s="47"/>
      <c r="B987" s="2" t="s">
        <v>1702</v>
      </c>
      <c r="C987" s="2" t="s">
        <v>2599</v>
      </c>
      <c r="D987" s="2" t="s">
        <v>3948</v>
      </c>
      <c r="E987" s="51" t="s">
        <v>3087</v>
      </c>
      <c r="F987" s="47"/>
      <c r="G987" s="52">
        <f t="array" ref="G987">MAX(IF(INSTOCK!$H$2:$H$2025=B987,INSTOCK!$K$2:$K$2025))</f>
        <v>120</v>
      </c>
      <c r="H987" s="53">
        <f>SUM(IF(INSTOCK!$H$2:$H$2025=B987,INSTOCK!$I$2:$I$2025))</f>
        <v>0</v>
      </c>
      <c r="I987" s="53" t="str">
        <f>SUM(IF([1]!Table13[ID]=B987,[1]!Table13[QTY]))</f>
        <v>#ERROR!</v>
      </c>
      <c r="J987" s="53" t="str">
        <f>TABLEITEM!$H$3:$H$1138-TABLEITEM!$I$3:$I$1138</f>
        <v>#ERROR!</v>
      </c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hidden="1" customHeight="1">
      <c r="A988" s="47"/>
      <c r="B988" s="2" t="s">
        <v>1705</v>
      </c>
      <c r="C988" s="2" t="s">
        <v>2599</v>
      </c>
      <c r="D988" s="2" t="s">
        <v>3949</v>
      </c>
      <c r="E988" s="51" t="s">
        <v>3087</v>
      </c>
      <c r="F988" s="47"/>
      <c r="G988" s="52">
        <f t="array" ref="G988">MAX(IF(INSTOCK!$H$2:$H$2025=B988,INSTOCK!$K$2:$K$2025))</f>
        <v>90</v>
      </c>
      <c r="H988" s="53">
        <f>SUM(IF(INSTOCK!$H$2:$H$2025=B988,INSTOCK!$I$2:$I$2025))</f>
        <v>0</v>
      </c>
      <c r="I988" s="53" t="str">
        <f>SUM(IF([1]!Table13[ID]=B988,[1]!Table13[QTY]))</f>
        <v>#ERROR!</v>
      </c>
      <c r="J988" s="53" t="str">
        <f>TABLEITEM!$H$3:$H$1138-TABLEITEM!$I$3:$I$1138</f>
        <v>#ERROR!</v>
      </c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hidden="1" customHeight="1">
      <c r="A989" s="47"/>
      <c r="B989" s="2" t="s">
        <v>1708</v>
      </c>
      <c r="C989" s="2" t="s">
        <v>2599</v>
      </c>
      <c r="D989" s="2" t="s">
        <v>3950</v>
      </c>
      <c r="E989" s="51" t="s">
        <v>3087</v>
      </c>
      <c r="F989" s="47"/>
      <c r="G989" s="52">
        <f t="array" ref="G989">MAX(IF(INSTOCK!$H$2:$H$2025=B989,INSTOCK!$K$2:$K$2025))</f>
        <v>115</v>
      </c>
      <c r="H989" s="53">
        <f>SUM(IF(INSTOCK!$H$2:$H$2025=B989,INSTOCK!$I$2:$I$2025))</f>
        <v>0</v>
      </c>
      <c r="I989" s="53" t="str">
        <f>SUM(IF([1]!Table13[ID]=B989,[1]!Table13[QTY]))</f>
        <v>#ERROR!</v>
      </c>
      <c r="J989" s="53" t="str">
        <f>TABLEITEM!$H$3:$H$1138-TABLEITEM!$I$3:$I$1138</f>
        <v>#ERROR!</v>
      </c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hidden="1" customHeight="1">
      <c r="A990" s="47"/>
      <c r="B990" s="2" t="s">
        <v>1790</v>
      </c>
      <c r="C990" s="2" t="s">
        <v>2595</v>
      </c>
      <c r="D990" s="2" t="s">
        <v>3951</v>
      </c>
      <c r="E990" s="51"/>
      <c r="F990" s="47"/>
      <c r="G990" s="52">
        <f t="array" ref="G990">MAX(IF(INSTOCK!$H$2:$H$2025=B990,INSTOCK!$K$2:$K$2025))</f>
        <v>0</v>
      </c>
      <c r="H990" s="53">
        <f>SUM(IF(INSTOCK!$H$2:$H$2025=B990,INSTOCK!$I$2:$I$2025))</f>
        <v>0</v>
      </c>
      <c r="I990" s="53" t="str">
        <f>SUM(IF([1]!Table13[ID]=B990,[1]!Table13[QTY]))</f>
        <v>#ERROR!</v>
      </c>
      <c r="J990" s="53" t="str">
        <f>TABLEITEM!$H$3:$H$1138-TABLEITEM!$I$3:$I$1138</f>
        <v>#ERROR!</v>
      </c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hidden="1" customHeight="1">
      <c r="A991" s="47"/>
      <c r="B991" s="2" t="s">
        <v>1740</v>
      </c>
      <c r="C991" s="2" t="s">
        <v>2599</v>
      </c>
      <c r="D991" s="2" t="s">
        <v>3952</v>
      </c>
      <c r="E991" s="51" t="s">
        <v>3087</v>
      </c>
      <c r="F991" s="47"/>
      <c r="G991" s="52">
        <f t="array" ref="G991">MAX(IF(INSTOCK!$H$2:$H$2025=B991,INSTOCK!$K$2:$K$2025))</f>
        <v>110</v>
      </c>
      <c r="H991" s="53">
        <f>SUM(IF(INSTOCK!$H$2:$H$2025=B991,INSTOCK!$I$2:$I$2025))</f>
        <v>0</v>
      </c>
      <c r="I991" s="53" t="str">
        <f>SUM(IF([1]!Table13[ID]=B991,[1]!Table13[QTY]))</f>
        <v>#ERROR!</v>
      </c>
      <c r="J991" s="53" t="str">
        <f>TABLEITEM!$H$3:$H$1138-TABLEITEM!$I$3:$I$1138</f>
        <v>#ERROR!</v>
      </c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hidden="1" customHeight="1">
      <c r="A992" s="47"/>
      <c r="B992" s="2" t="s">
        <v>1742</v>
      </c>
      <c r="C992" s="2"/>
      <c r="D992" s="2" t="s">
        <v>3953</v>
      </c>
      <c r="E992" s="51"/>
      <c r="F992" s="47"/>
      <c r="G992" s="52">
        <f t="array" ref="G992">MAX(IF(INSTOCK!$H$2:$H$2025=B992,INSTOCK!$K$2:$K$2025))</f>
        <v>8.75</v>
      </c>
      <c r="H992" s="53">
        <f>SUM(IF(INSTOCK!$H$2:$H$2025=B992,INSTOCK!$I$2:$I$2025))</f>
        <v>0</v>
      </c>
      <c r="I992" s="53" t="str">
        <f>SUM(IF([1]!Table13[ID]=B992,[1]!Table13[QTY]))</f>
        <v>#ERROR!</v>
      </c>
      <c r="J992" s="53" t="str">
        <f>TABLEITEM!$H$3:$H$1138-TABLEITEM!$I$3:$I$1138</f>
        <v>#ERROR!</v>
      </c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hidden="1" customHeight="1">
      <c r="A993" s="47"/>
      <c r="B993" s="2" t="s">
        <v>1767</v>
      </c>
      <c r="C993" s="2"/>
      <c r="D993" s="2" t="s">
        <v>3954</v>
      </c>
      <c r="E993" s="51" t="s">
        <v>3610</v>
      </c>
      <c r="F993" s="47"/>
      <c r="G993" s="52">
        <f t="array" ref="G993">MAX(IF(INSTOCK!$H$2:$H$2025=B993,INSTOCK!$K$2:$K$2025))</f>
        <v>958.3334</v>
      </c>
      <c r="H993" s="53">
        <f>SUM(IF(INSTOCK!$H$2:$H$2025=B993,INSTOCK!$I$2:$I$2025))</f>
        <v>0</v>
      </c>
      <c r="I993" s="53" t="str">
        <f>SUM(IF([1]!Table13[ID]=B993,[1]!Table13[QTY]))</f>
        <v>#ERROR!</v>
      </c>
      <c r="J993" s="53" t="str">
        <f>TABLEITEM!$H$3:$H$1138-TABLEITEM!$I$3:$I$1138</f>
        <v>#ERROR!</v>
      </c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hidden="1" customHeight="1">
      <c r="A994" s="47"/>
      <c r="B994" s="2" t="s">
        <v>1773</v>
      </c>
      <c r="C994" s="2"/>
      <c r="D994" s="2" t="s">
        <v>3955</v>
      </c>
      <c r="E994" s="51" t="s">
        <v>3087</v>
      </c>
      <c r="F994" s="47"/>
      <c r="G994" s="52">
        <f t="array" ref="G994">MAX(IF(INSTOCK!$H$2:$H$2025=B994,INSTOCK!$K$2:$K$2025))</f>
        <v>850</v>
      </c>
      <c r="H994" s="53">
        <f>SUM(IF(INSTOCK!$H$2:$H$2025=B994,INSTOCK!$I$2:$I$2025))</f>
        <v>0</v>
      </c>
      <c r="I994" s="53" t="str">
        <f>SUM(IF([1]!Table13[ID]=B994,[1]!Table13[QTY]))</f>
        <v>#ERROR!</v>
      </c>
      <c r="J994" s="53" t="str">
        <f>TABLEITEM!$H$3:$H$1138-TABLEITEM!$I$3:$I$1138</f>
        <v>#ERROR!</v>
      </c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hidden="1" customHeight="1">
      <c r="A995" s="47"/>
      <c r="B995" s="2" t="s">
        <v>1806</v>
      </c>
      <c r="C995" s="2"/>
      <c r="D995" s="2" t="s">
        <v>3956</v>
      </c>
      <c r="E995" s="51" t="s">
        <v>3087</v>
      </c>
      <c r="F995" s="47"/>
      <c r="G995" s="52">
        <f t="array" ref="G995">MAX(IF(INSTOCK!$H$2:$H$2025=B995,INSTOCK!$K$2:$K$2025))</f>
        <v>38</v>
      </c>
      <c r="H995" s="53">
        <f>SUM(IF(INSTOCK!$H$2:$H$2025=B995,INSTOCK!$I$2:$I$2025))</f>
        <v>0</v>
      </c>
      <c r="I995" s="53" t="str">
        <f>SUM(IF([1]!Table13[ID]=B995,[1]!Table13[QTY]))</f>
        <v>#ERROR!</v>
      </c>
      <c r="J995" s="53" t="str">
        <f>TABLEITEM!$H$3:$H$1138-TABLEITEM!$I$3:$I$1138</f>
        <v>#ERROR!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hidden="1" customHeight="1">
      <c r="A996" s="47"/>
      <c r="B996" s="2" t="s">
        <v>1810</v>
      </c>
      <c r="C996" s="2"/>
      <c r="D996" s="2" t="s">
        <v>3957</v>
      </c>
      <c r="E996" s="51" t="s">
        <v>3087</v>
      </c>
      <c r="F996" s="47"/>
      <c r="G996" s="52">
        <f t="array" ref="G996">MAX(IF(INSTOCK!$H$2:$H$2025=B996,INSTOCK!$K$2:$K$2025))</f>
        <v>25</v>
      </c>
      <c r="H996" s="53">
        <f>SUM(IF(INSTOCK!$H$2:$H$2025=B996,INSTOCK!$I$2:$I$2025))</f>
        <v>0</v>
      </c>
      <c r="I996" s="53" t="str">
        <f>SUM(IF([1]!Table13[ID]=B996,[1]!Table13[QTY]))</f>
        <v>#ERROR!</v>
      </c>
      <c r="J996" s="53" t="str">
        <f>TABLEITEM!$H$3:$H$1138-TABLEITEM!$I$3:$I$1138</f>
        <v>#ERROR!</v>
      </c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hidden="1" customHeight="1">
      <c r="A997" s="47"/>
      <c r="B997" s="2" t="s">
        <v>1813</v>
      </c>
      <c r="C997" s="2"/>
      <c r="D997" s="2" t="s">
        <v>3958</v>
      </c>
      <c r="E997" s="51" t="s">
        <v>3087</v>
      </c>
      <c r="F997" s="47"/>
      <c r="G997" s="52">
        <f t="array" ref="G997">MAX(IF(INSTOCK!$H$2:$H$2025=B997,INSTOCK!$K$2:$K$2025))</f>
        <v>75</v>
      </c>
      <c r="H997" s="53">
        <f>SUM(IF(INSTOCK!$H$2:$H$2025=B997,INSTOCK!$I$2:$I$2025))</f>
        <v>0</v>
      </c>
      <c r="I997" s="53" t="str">
        <f>SUM(IF([1]!Table13[ID]=B997,[1]!Table13[QTY]))</f>
        <v>#ERROR!</v>
      </c>
      <c r="J997" s="53" t="str">
        <f>TABLEITEM!$H$3:$H$1138-TABLEITEM!$I$3:$I$1138</f>
        <v>#ERROR!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hidden="1" customHeight="1">
      <c r="A998" s="47"/>
      <c r="B998" s="2" t="s">
        <v>1818</v>
      </c>
      <c r="C998" s="2"/>
      <c r="D998" s="2" t="s">
        <v>3959</v>
      </c>
      <c r="E998" s="51" t="s">
        <v>3087</v>
      </c>
      <c r="F998" s="47"/>
      <c r="G998" s="52">
        <f t="array" ref="G998">MAX(IF(INSTOCK!$H$2:$H$2025=B998,INSTOCK!$K$2:$K$2025))</f>
        <v>25</v>
      </c>
      <c r="H998" s="53">
        <f>SUM(IF(INSTOCK!$H$2:$H$2025=B998,INSTOCK!$I$2:$I$2025))</f>
        <v>0</v>
      </c>
      <c r="I998" s="53" t="str">
        <f>SUM(IF([1]!Table13[ID]=B998,[1]!Table13[QTY]))</f>
        <v>#ERROR!</v>
      </c>
      <c r="J998" s="53" t="str">
        <f>TABLEITEM!$H$3:$H$1138-TABLEITEM!$I$3:$I$1138</f>
        <v>#ERROR!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hidden="1" customHeight="1">
      <c r="A999" s="47"/>
      <c r="B999" s="2" t="s">
        <v>3960</v>
      </c>
      <c r="C999" s="2"/>
      <c r="D999" s="2" t="s">
        <v>3961</v>
      </c>
      <c r="E999" s="51"/>
      <c r="F999" s="47"/>
      <c r="G999" s="52">
        <f t="array" ref="G999">MAX(IF(INSTOCK!$H$2:$H$2025=B999,INSTOCK!$K$2:$K$2025))</f>
        <v>0</v>
      </c>
      <c r="H999" s="53">
        <f>SUM(IF(INSTOCK!$H$2:$H$2025=B999,INSTOCK!$I$2:$I$2025))</f>
        <v>0</v>
      </c>
      <c r="I999" s="53" t="str">
        <f>SUM(IF([1]!Table13[ID]=B999,[1]!Table13[QTY]))</f>
        <v>#ERROR!</v>
      </c>
      <c r="J999" s="53" t="str">
        <f>TABLEITEM!$H$3:$H$1138-TABLEITEM!$I$3:$I$1138</f>
        <v>#ERROR!</v>
      </c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hidden="1" customHeight="1">
      <c r="A1000" s="47"/>
      <c r="B1000" s="2" t="s">
        <v>1828</v>
      </c>
      <c r="C1000" s="2"/>
      <c r="D1000" s="2" t="s">
        <v>3962</v>
      </c>
      <c r="E1000" s="51" t="s">
        <v>3087</v>
      </c>
      <c r="F1000" s="47"/>
      <c r="G1000" s="52">
        <f t="array" ref="G1000">MAX(IF(INSTOCK!$H$2:$H$2025=B1000,INSTOCK!$K$2:$K$2025))</f>
        <v>60</v>
      </c>
      <c r="H1000" s="53">
        <f>SUM(IF(INSTOCK!$H$2:$H$2025=B1000,INSTOCK!$I$2:$I$2025))</f>
        <v>0</v>
      </c>
      <c r="I1000" s="53" t="str">
        <f>SUM(IF([1]!Table13[ID]=B1000,[1]!Table13[QTY]))</f>
        <v>#ERROR!</v>
      </c>
      <c r="J1000" s="53" t="str">
        <f>TABLEITEM!$H$3:$H$1138-TABLEITEM!$I$3:$I$1138</f>
        <v>#ERROR!</v>
      </c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8.0" hidden="1" customHeight="1">
      <c r="A1001" s="47"/>
      <c r="B1001" s="2" t="s">
        <v>1831</v>
      </c>
      <c r="C1001" s="2"/>
      <c r="D1001" s="2" t="s">
        <v>3963</v>
      </c>
      <c r="E1001" s="51" t="s">
        <v>3087</v>
      </c>
      <c r="F1001" s="47"/>
      <c r="G1001" s="52">
        <f t="array" ref="G1001">MAX(IF(INSTOCK!$H$2:$H$2025=B1001,INSTOCK!$K$2:$K$2025))</f>
        <v>240</v>
      </c>
      <c r="H1001" s="53">
        <f>SUM(IF(INSTOCK!$H$2:$H$2025=B1001,INSTOCK!$I$2:$I$2025))</f>
        <v>0</v>
      </c>
      <c r="I1001" s="53" t="str">
        <f>SUM(IF([1]!Table13[ID]=B1001,[1]!Table13[QTY]))</f>
        <v>#ERROR!</v>
      </c>
      <c r="J1001" s="53" t="str">
        <f>TABLEITEM!$H$3:$H$1138-TABLEITEM!$I$3:$I$1138</f>
        <v>#ERROR!</v>
      </c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8.0" hidden="1" customHeight="1">
      <c r="A1002" s="47"/>
      <c r="B1002" s="2" t="s">
        <v>1834</v>
      </c>
      <c r="C1002" s="2"/>
      <c r="D1002" s="2" t="s">
        <v>3964</v>
      </c>
      <c r="E1002" s="51" t="s">
        <v>3087</v>
      </c>
      <c r="F1002" s="47"/>
      <c r="G1002" s="52">
        <f t="array" ref="G1002">MAX(IF(INSTOCK!$H$2:$H$2025=B1002,INSTOCK!$K$2:$K$2025))</f>
        <v>112</v>
      </c>
      <c r="H1002" s="53">
        <f>SUM(IF(INSTOCK!$H$2:$H$2025=B1002,INSTOCK!$I$2:$I$2025))</f>
        <v>0</v>
      </c>
      <c r="I1002" s="53" t="str">
        <f>SUM(IF([1]!Table13[ID]=B1002,[1]!Table13[QTY]))</f>
        <v>#ERROR!</v>
      </c>
      <c r="J1002" s="53" t="str">
        <f>TABLEITEM!$H$3:$H$1138-TABLEITEM!$I$3:$I$1138</f>
        <v>#ERROR!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8.0" hidden="1" customHeight="1">
      <c r="A1003" s="47"/>
      <c r="B1003" s="2" t="s">
        <v>1839</v>
      </c>
      <c r="C1003" s="2"/>
      <c r="D1003" s="2" t="s">
        <v>3965</v>
      </c>
      <c r="E1003" s="51" t="s">
        <v>3087</v>
      </c>
      <c r="F1003" s="47"/>
      <c r="G1003" s="52">
        <f t="array" ref="G1003">MAX(IF(INSTOCK!$H$2:$H$2025=B1003,INSTOCK!$K$2:$K$2025))</f>
        <v>60</v>
      </c>
      <c r="H1003" s="53">
        <f>SUM(IF(INSTOCK!$H$2:$H$2025=B1003,INSTOCK!$I$2:$I$2025))</f>
        <v>0</v>
      </c>
      <c r="I1003" s="53" t="str">
        <f>SUM(IF([1]!Table13[ID]=B1003,[1]!Table13[QTY]))</f>
        <v>#ERROR!</v>
      </c>
      <c r="J1003" s="53" t="str">
        <f>TABLEITEM!$H$3:$H$1138-TABLEITEM!$I$3:$I$1138</f>
        <v>#ERROR!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8.0" hidden="1" customHeight="1">
      <c r="A1004" s="47"/>
      <c r="B1004" s="2" t="s">
        <v>1840</v>
      </c>
      <c r="C1004" s="2"/>
      <c r="D1004" s="2" t="s">
        <v>3966</v>
      </c>
      <c r="E1004" s="51" t="s">
        <v>3087</v>
      </c>
      <c r="F1004" s="47"/>
      <c r="G1004" s="52">
        <f t="array" ref="G1004">MAX(IF(INSTOCK!$H$2:$H$2025=B1004,INSTOCK!$K$2:$K$2025))</f>
        <v>45</v>
      </c>
      <c r="H1004" s="53">
        <f>SUM(IF(INSTOCK!$H$2:$H$2025=B1004,INSTOCK!$I$2:$I$2025))</f>
        <v>0</v>
      </c>
      <c r="I1004" s="53" t="str">
        <f>SUM(IF([1]!Table13[ID]=B1004,[1]!Table13[QTY]))</f>
        <v>#ERROR!</v>
      </c>
      <c r="J1004" s="53" t="str">
        <f>TABLEITEM!$H$3:$H$1138-TABLEITEM!$I$3:$I$1138</f>
        <v>#ERROR!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8.0" hidden="1" customHeight="1">
      <c r="A1005" s="47"/>
      <c r="B1005" s="2" t="s">
        <v>1843</v>
      </c>
      <c r="C1005" s="2"/>
      <c r="D1005" s="2" t="s">
        <v>3967</v>
      </c>
      <c r="E1005" s="51" t="s">
        <v>3087</v>
      </c>
      <c r="F1005" s="47"/>
      <c r="G1005" s="52">
        <f t="array" ref="G1005">MAX(IF(INSTOCK!$H$2:$H$2025=B1005,INSTOCK!$K$2:$K$2025))</f>
        <v>90</v>
      </c>
      <c r="H1005" s="53">
        <f>SUM(IF(INSTOCK!$H$2:$H$2025=B1005,INSTOCK!$I$2:$I$2025))</f>
        <v>0</v>
      </c>
      <c r="I1005" s="53" t="str">
        <f>SUM(IF([1]!Table13[ID]=B1005,[1]!Table13[QTY]))</f>
        <v>#ERROR!</v>
      </c>
      <c r="J1005" s="53" t="str">
        <f>TABLEITEM!$H$3:$H$1138-TABLEITEM!$I$3:$I$1138</f>
        <v>#ERROR!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8.0" hidden="1" customHeight="1">
      <c r="A1006" s="47"/>
      <c r="B1006" s="2" t="s">
        <v>1863</v>
      </c>
      <c r="C1006" s="2"/>
      <c r="D1006" s="2" t="s">
        <v>3968</v>
      </c>
      <c r="E1006" s="51" t="s">
        <v>3087</v>
      </c>
      <c r="F1006" s="47"/>
      <c r="G1006" s="52">
        <f t="array" ref="G1006">MAX(IF(INSTOCK!$H$2:$H$2025=B1006,INSTOCK!$K$2:$K$2025))</f>
        <v>38</v>
      </c>
      <c r="H1006" s="53">
        <f>SUM(IF(INSTOCK!$H$2:$H$2025=B1006,INSTOCK!$I$2:$I$2025))</f>
        <v>0</v>
      </c>
      <c r="I1006" s="53" t="str">
        <f>SUM(IF([1]!Table13[ID]=B1006,[1]!Table13[QTY]))</f>
        <v>#ERROR!</v>
      </c>
      <c r="J1006" s="53" t="str">
        <f>TABLEITEM!$H$3:$H$1138-TABLEITEM!$I$3:$I$1138</f>
        <v>#ERROR!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8.0" hidden="1" customHeight="1">
      <c r="A1007" s="47"/>
      <c r="B1007" s="2" t="s">
        <v>1864</v>
      </c>
      <c r="C1007" s="2"/>
      <c r="D1007" s="2" t="s">
        <v>3969</v>
      </c>
      <c r="E1007" s="51" t="s">
        <v>3087</v>
      </c>
      <c r="F1007" s="47"/>
      <c r="G1007" s="52">
        <f t="array" ref="G1007">MAX(IF(INSTOCK!$H$2:$H$2025=B1007,INSTOCK!$K$2:$K$2025))</f>
        <v>25</v>
      </c>
      <c r="H1007" s="53">
        <f>SUM(IF(INSTOCK!$H$2:$H$2025=B1007,INSTOCK!$I$2:$I$2025))</f>
        <v>0</v>
      </c>
      <c r="I1007" s="53" t="str">
        <f>SUM(IF([1]!Table13[ID]=B1007,[1]!Table13[QTY]))</f>
        <v>#ERROR!</v>
      </c>
      <c r="J1007" s="53" t="str">
        <f>TABLEITEM!$H$3:$H$1138-TABLEITEM!$I$3:$I$1138</f>
        <v>#ERROR!</v>
      </c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8.0" hidden="1" customHeight="1">
      <c r="A1008" s="47"/>
      <c r="B1008" s="2" t="s">
        <v>1866</v>
      </c>
      <c r="C1008" s="2"/>
      <c r="D1008" s="2" t="s">
        <v>3970</v>
      </c>
      <c r="E1008" s="51" t="s">
        <v>3087</v>
      </c>
      <c r="F1008" s="47"/>
      <c r="G1008" s="52">
        <f t="array" ref="G1008">MAX(IF(INSTOCK!$H$2:$H$2025=B1008,INSTOCK!$K$2:$K$2025))</f>
        <v>23</v>
      </c>
      <c r="H1008" s="53">
        <f>SUM(IF(INSTOCK!$H$2:$H$2025=B1008,INSTOCK!$I$2:$I$2025))</f>
        <v>0</v>
      </c>
      <c r="I1008" s="53" t="str">
        <f>SUM(IF([1]!Table13[ID]=B1008,[1]!Table13[QTY]))</f>
        <v>#ERROR!</v>
      </c>
      <c r="J1008" s="53" t="str">
        <f>TABLEITEM!$H$3:$H$1138-TABLEITEM!$I$3:$I$1138</f>
        <v>#ERROR!</v>
      </c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8.0" hidden="1" customHeight="1">
      <c r="A1009" s="47"/>
      <c r="B1009" s="2" t="s">
        <v>1867</v>
      </c>
      <c r="C1009" s="2"/>
      <c r="D1009" s="2" t="s">
        <v>3971</v>
      </c>
      <c r="E1009" s="51" t="s">
        <v>3087</v>
      </c>
      <c r="F1009" s="47"/>
      <c r="G1009" s="52">
        <f t="array" ref="G1009">MAX(IF(INSTOCK!$H$2:$H$2025=B1009,INSTOCK!$K$2:$K$2025))</f>
        <v>90</v>
      </c>
      <c r="H1009" s="53">
        <f>SUM(IF(INSTOCK!$H$2:$H$2025=B1009,INSTOCK!$I$2:$I$2025))</f>
        <v>0</v>
      </c>
      <c r="I1009" s="53" t="str">
        <f>SUM(IF([1]!Table13[ID]=B1009,[1]!Table13[QTY]))</f>
        <v>#ERROR!</v>
      </c>
      <c r="J1009" s="53" t="str">
        <f>TABLEITEM!$H$3:$H$1138-TABLEITEM!$I$3:$I$1138</f>
        <v>#ERROR!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8.0" hidden="1" customHeight="1">
      <c r="A1010" s="47"/>
      <c r="B1010" s="2" t="s">
        <v>1870</v>
      </c>
      <c r="C1010" s="2"/>
      <c r="D1010" s="2" t="s">
        <v>3972</v>
      </c>
      <c r="E1010" s="51" t="s">
        <v>3087</v>
      </c>
      <c r="F1010" s="47"/>
      <c r="G1010" s="52">
        <f t="array" ref="G1010">MAX(IF(INSTOCK!$H$2:$H$2025=B1010,INSTOCK!$K$2:$K$2025))</f>
        <v>150</v>
      </c>
      <c r="H1010" s="53">
        <f>SUM(IF(INSTOCK!$H$2:$H$2025=B1010,INSTOCK!$I$2:$I$2025))</f>
        <v>0</v>
      </c>
      <c r="I1010" s="53" t="str">
        <f>SUM(IF([1]!Table13[ID]=B1010,[1]!Table13[QTY]))</f>
        <v>#ERROR!</v>
      </c>
      <c r="J1010" s="53" t="str">
        <f>TABLEITEM!$H$3:$H$1138-TABLEITEM!$I$3:$I$1138</f>
        <v>#ERROR!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8.0" hidden="1" customHeight="1">
      <c r="A1011" s="47"/>
      <c r="B1011" s="2" t="s">
        <v>1873</v>
      </c>
      <c r="C1011" s="2"/>
      <c r="D1011" s="2" t="s">
        <v>3973</v>
      </c>
      <c r="E1011" s="51" t="s">
        <v>3610</v>
      </c>
      <c r="F1011" s="47"/>
      <c r="G1011" s="52">
        <f t="array" ref="G1011">MAX(IF(INSTOCK!$H$2:$H$2025=B1011,INSTOCK!$K$2:$K$2025))</f>
        <v>86.667</v>
      </c>
      <c r="H1011" s="53">
        <f>SUM(IF(INSTOCK!$H$2:$H$2025=B1011,INSTOCK!$I$2:$I$2025))</f>
        <v>0</v>
      </c>
      <c r="I1011" s="53" t="str">
        <f>SUM(IF([1]!Table13[ID]=B1011,[1]!Table13[QTY]))</f>
        <v>#ERROR!</v>
      </c>
      <c r="J1011" s="53" t="str">
        <f>TABLEITEM!$H$3:$H$1138-TABLEITEM!$I$3:$I$1138</f>
        <v>#ERROR!</v>
      </c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8.0" hidden="1" customHeight="1">
      <c r="A1012" s="47"/>
      <c r="B1012" s="2" t="s">
        <v>1900</v>
      </c>
      <c r="C1012" s="2"/>
      <c r="D1012" s="2" t="s">
        <v>3974</v>
      </c>
      <c r="E1012" s="51" t="s">
        <v>3087</v>
      </c>
      <c r="F1012" s="47"/>
      <c r="G1012" s="52">
        <f t="array" ref="G1012">MAX(IF(INSTOCK!$H$2:$H$2025=B1012,INSTOCK!$K$2:$K$2025))</f>
        <v>25</v>
      </c>
      <c r="H1012" s="53">
        <f>SUM(IF(INSTOCK!$H$2:$H$2025=B1012,INSTOCK!$I$2:$I$2025))</f>
        <v>0</v>
      </c>
      <c r="I1012" s="53" t="str">
        <f>SUM(IF([1]!Table13[ID]=B1012,[1]!Table13[QTY]))</f>
        <v>#ERROR!</v>
      </c>
      <c r="J1012" s="53" t="str">
        <f>TABLEITEM!$H$3:$H$1138-TABLEITEM!$I$3:$I$1138</f>
        <v>#ERROR!</v>
      </c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8.0" hidden="1" customHeight="1">
      <c r="A1013" s="47"/>
      <c r="B1013" s="2" t="s">
        <v>1903</v>
      </c>
      <c r="C1013" s="2"/>
      <c r="D1013" s="2" t="s">
        <v>3975</v>
      </c>
      <c r="E1013" s="51" t="s">
        <v>3087</v>
      </c>
      <c r="F1013" s="47"/>
      <c r="G1013" s="52">
        <f t="array" ref="G1013">MAX(IF(INSTOCK!$H$2:$H$2025=B1013,INSTOCK!$K$2:$K$2025))</f>
        <v>25</v>
      </c>
      <c r="H1013" s="53">
        <f>SUM(IF(INSTOCK!$H$2:$H$2025=B1013,INSTOCK!$I$2:$I$2025))</f>
        <v>0</v>
      </c>
      <c r="I1013" s="53" t="str">
        <f>SUM(IF([1]!Table13[ID]=B1013,[1]!Table13[QTY]))</f>
        <v>#ERROR!</v>
      </c>
      <c r="J1013" s="53" t="str">
        <f>TABLEITEM!$H$3:$H$1138-TABLEITEM!$I$3:$I$1138</f>
        <v>#ERROR!</v>
      </c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8.0" hidden="1" customHeight="1">
      <c r="A1014" s="47"/>
      <c r="B1014" s="2" t="s">
        <v>1906</v>
      </c>
      <c r="C1014" s="2"/>
      <c r="D1014" s="2" t="s">
        <v>3976</v>
      </c>
      <c r="E1014" s="51" t="s">
        <v>3087</v>
      </c>
      <c r="F1014" s="47"/>
      <c r="G1014" s="52">
        <f t="array" ref="G1014">MAX(IF(INSTOCK!$H$2:$H$2025=B1014,INSTOCK!$K$2:$K$2025))</f>
        <v>75</v>
      </c>
      <c r="H1014" s="53">
        <f>SUM(IF(INSTOCK!$H$2:$H$2025=B1014,INSTOCK!$I$2:$I$2025))</f>
        <v>0</v>
      </c>
      <c r="I1014" s="53" t="str">
        <f>SUM(IF([1]!Table13[ID]=B1014,[1]!Table13[QTY]))</f>
        <v>#ERROR!</v>
      </c>
      <c r="J1014" s="53" t="str">
        <f>TABLEITEM!$H$3:$H$1138-TABLEITEM!$I$3:$I$1138</f>
        <v>#ERROR!</v>
      </c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8.0" hidden="1" customHeight="1">
      <c r="A1015" s="47"/>
      <c r="B1015" s="2" t="s">
        <v>1907</v>
      </c>
      <c r="C1015" s="2"/>
      <c r="D1015" s="2" t="s">
        <v>3977</v>
      </c>
      <c r="E1015" s="51" t="s">
        <v>3087</v>
      </c>
      <c r="F1015" s="47"/>
      <c r="G1015" s="52">
        <f t="array" ref="G1015">MAX(IF(INSTOCK!$H$2:$H$2025=B1015,INSTOCK!$K$2:$K$2025))</f>
        <v>600</v>
      </c>
      <c r="H1015" s="53">
        <f>SUM(IF(INSTOCK!$H$2:$H$2025=B1015,INSTOCK!$I$2:$I$2025))</f>
        <v>0</v>
      </c>
      <c r="I1015" s="53" t="str">
        <f>SUM(IF([1]!Table13[ID]=B1015,[1]!Table13[QTY]))</f>
        <v>#ERROR!</v>
      </c>
      <c r="J1015" s="53" t="str">
        <f>TABLEITEM!$H$3:$H$1138-TABLEITEM!$I$3:$I$1138</f>
        <v>#ERROR!</v>
      </c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8.0" hidden="1" customHeight="1">
      <c r="A1016" s="47"/>
      <c r="B1016" s="2" t="s">
        <v>1910</v>
      </c>
      <c r="C1016" s="2"/>
      <c r="D1016" s="2" t="s">
        <v>3978</v>
      </c>
      <c r="E1016" s="51" t="s">
        <v>3087</v>
      </c>
      <c r="F1016" s="47"/>
      <c r="G1016" s="52">
        <f t="array" ref="G1016">MAX(IF(INSTOCK!$H$2:$H$2025=B1016,INSTOCK!$K$2:$K$2025))</f>
        <v>60</v>
      </c>
      <c r="H1016" s="53">
        <f>SUM(IF(INSTOCK!$H$2:$H$2025=B1016,INSTOCK!$I$2:$I$2025))</f>
        <v>0</v>
      </c>
      <c r="I1016" s="53" t="str">
        <f>SUM(IF([1]!Table13[ID]=B1016,[1]!Table13[QTY]))</f>
        <v>#ERROR!</v>
      </c>
      <c r="J1016" s="53" t="str">
        <f>TABLEITEM!$H$3:$H$1138-TABLEITEM!$I$3:$I$1138</f>
        <v>#ERROR!</v>
      </c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8.0" hidden="1" customHeight="1">
      <c r="A1017" s="47"/>
      <c r="B1017" s="2" t="s">
        <v>1913</v>
      </c>
      <c r="C1017" s="2"/>
      <c r="D1017" s="2" t="s">
        <v>3979</v>
      </c>
      <c r="E1017" s="51" t="s">
        <v>3087</v>
      </c>
      <c r="F1017" s="47"/>
      <c r="G1017" s="52">
        <f t="array" ref="G1017">MAX(IF(INSTOCK!$H$2:$H$2025=B1017,INSTOCK!$K$2:$K$2025))</f>
        <v>68</v>
      </c>
      <c r="H1017" s="53">
        <f>SUM(IF(INSTOCK!$H$2:$H$2025=B1017,INSTOCK!$I$2:$I$2025))</f>
        <v>0</v>
      </c>
      <c r="I1017" s="53" t="str">
        <f>SUM(IF([1]!Table13[ID]=B1017,[1]!Table13[QTY]))</f>
        <v>#ERROR!</v>
      </c>
      <c r="J1017" s="53" t="str">
        <f>TABLEITEM!$H$3:$H$1138-TABLEITEM!$I$3:$I$1138</f>
        <v>#ERROR!</v>
      </c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8.0" hidden="1" customHeight="1">
      <c r="A1018" s="47"/>
      <c r="B1018" s="2" t="s">
        <v>1943</v>
      </c>
      <c r="C1018" s="2"/>
      <c r="D1018" s="2" t="s">
        <v>3980</v>
      </c>
      <c r="E1018" s="51"/>
      <c r="F1018" s="47"/>
      <c r="G1018" s="52">
        <f t="array" ref="G1018">MAX(IF(INSTOCK!$H$2:$H$2025=B1018,INSTOCK!$K$2:$K$2025))</f>
        <v>1520</v>
      </c>
      <c r="H1018" s="53">
        <f>SUM(IF(INSTOCK!$H$2:$H$2025=B1018,INSTOCK!$I$2:$I$2025))</f>
        <v>0</v>
      </c>
      <c r="I1018" s="53" t="str">
        <f>SUM(IF([1]!Table13[ID]=B1018,[1]!Table13[QTY]))</f>
        <v>#ERROR!</v>
      </c>
      <c r="J1018" s="53" t="str">
        <f>TABLEITEM!$H$3:$H$1138-TABLEITEM!$I$3:$I$1138</f>
        <v>#ERROR!</v>
      </c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8.0" hidden="1" customHeight="1">
      <c r="A1019" s="47"/>
      <c r="B1019" s="2" t="s">
        <v>1948</v>
      </c>
      <c r="C1019" s="2"/>
      <c r="D1019" s="2" t="s">
        <v>3981</v>
      </c>
      <c r="E1019" s="51" t="s">
        <v>3087</v>
      </c>
      <c r="F1019" s="47"/>
      <c r="G1019" s="52">
        <f t="array" ref="G1019">MAX(IF(INSTOCK!$H$2:$H$2025=B1019,INSTOCK!$K$2:$K$2025))</f>
        <v>25</v>
      </c>
      <c r="H1019" s="53">
        <f>SUM(IF(INSTOCK!$H$2:$H$2025=B1019,INSTOCK!$I$2:$I$2025))</f>
        <v>0</v>
      </c>
      <c r="I1019" s="53" t="str">
        <f>SUM(IF([1]!Table13[ID]=B1019,[1]!Table13[QTY]))</f>
        <v>#ERROR!</v>
      </c>
      <c r="J1019" s="53" t="str">
        <f>TABLEITEM!$H$3:$H$1138-TABLEITEM!$I$3:$I$1138</f>
        <v>#ERROR!</v>
      </c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8.0" hidden="1" customHeight="1">
      <c r="A1020" s="47"/>
      <c r="B1020" s="2" t="s">
        <v>1953</v>
      </c>
      <c r="C1020" s="2"/>
      <c r="D1020" s="2" t="s">
        <v>3982</v>
      </c>
      <c r="E1020" s="51" t="s">
        <v>3087</v>
      </c>
      <c r="F1020" s="47"/>
      <c r="G1020" s="52">
        <f t="array" ref="G1020">MAX(IF(INSTOCK!$H$2:$H$2025=B1020,INSTOCK!$K$2:$K$2025))</f>
        <v>25</v>
      </c>
      <c r="H1020" s="53">
        <f>SUM(IF(INSTOCK!$H$2:$H$2025=B1020,INSTOCK!$I$2:$I$2025))</f>
        <v>0</v>
      </c>
      <c r="I1020" s="53" t="str">
        <f>SUM(IF([1]!Table13[ID]=B1020,[1]!Table13[QTY]))</f>
        <v>#ERROR!</v>
      </c>
      <c r="J1020" s="53" t="str">
        <f>TABLEITEM!$H$3:$H$1138-TABLEITEM!$I$3:$I$1138</f>
        <v>#ERROR!</v>
      </c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8.0" hidden="1" customHeight="1">
      <c r="A1021" s="47"/>
      <c r="B1021" s="2" t="s">
        <v>1957</v>
      </c>
      <c r="C1021" s="2"/>
      <c r="D1021" s="2" t="s">
        <v>3983</v>
      </c>
      <c r="E1021" s="51" t="s">
        <v>3087</v>
      </c>
      <c r="F1021" s="47"/>
      <c r="G1021" s="52">
        <f t="array" ref="G1021">MAX(IF(INSTOCK!$H$2:$H$2025=B1021,INSTOCK!$K$2:$K$2025))</f>
        <v>25</v>
      </c>
      <c r="H1021" s="53">
        <f>SUM(IF(INSTOCK!$H$2:$H$2025=B1021,INSTOCK!$I$2:$I$2025))</f>
        <v>0</v>
      </c>
      <c r="I1021" s="53" t="str">
        <f>SUM(IF([1]!Table13[ID]=B1021,[1]!Table13[QTY]))</f>
        <v>#ERROR!</v>
      </c>
      <c r="J1021" s="53" t="str">
        <f>TABLEITEM!$H$3:$H$1138-TABLEITEM!$I$3:$I$1138</f>
        <v>#ERROR!</v>
      </c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8.0" hidden="1" customHeight="1">
      <c r="A1022" s="47"/>
      <c r="B1022" s="2" t="s">
        <v>1960</v>
      </c>
      <c r="C1022" s="2"/>
      <c r="D1022" s="2" t="s">
        <v>3984</v>
      </c>
      <c r="E1022" s="51" t="s">
        <v>3087</v>
      </c>
      <c r="F1022" s="47"/>
      <c r="G1022" s="52">
        <f t="array" ref="G1022">MAX(IF(INSTOCK!$H$2:$H$2025=B1022,INSTOCK!$K$2:$K$2025))</f>
        <v>180</v>
      </c>
      <c r="H1022" s="53">
        <f>SUM(IF(INSTOCK!$H$2:$H$2025=B1022,INSTOCK!$I$2:$I$2025))</f>
        <v>0</v>
      </c>
      <c r="I1022" s="53" t="str">
        <f>SUM(IF([1]!Table13[ID]=B1022,[1]!Table13[QTY]))</f>
        <v>#ERROR!</v>
      </c>
      <c r="J1022" s="53" t="str">
        <f>TABLEITEM!$H$3:$H$1138-TABLEITEM!$I$3:$I$1138</f>
        <v>#ERROR!</v>
      </c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8.0" hidden="1" customHeight="1">
      <c r="A1023" s="47"/>
      <c r="B1023" s="2" t="s">
        <v>1963</v>
      </c>
      <c r="C1023" s="2"/>
      <c r="D1023" s="2" t="s">
        <v>3985</v>
      </c>
      <c r="E1023" s="51"/>
      <c r="F1023" s="47" t="s">
        <v>3986</v>
      </c>
      <c r="G1023" s="52">
        <f t="array" ref="G1023">MAX(IF(INSTOCK!$H$2:$H$2025=B1023,INSTOCK!$K$2:$K$2025))</f>
        <v>155</v>
      </c>
      <c r="H1023" s="53">
        <f>SUM(IF(INSTOCK!$H$2:$H$2025=B1023,INSTOCK!$I$2:$I$2025))</f>
        <v>0</v>
      </c>
      <c r="I1023" s="53" t="str">
        <f>SUM(IF([1]!Table13[ID]=B1023,[1]!Table13[QTY]))</f>
        <v>#ERROR!</v>
      </c>
      <c r="J1023" s="53" t="str">
        <f>TABLEITEM!$H$3:$H$1138-TABLEITEM!$I$3:$I$1138</f>
        <v>#ERROR!</v>
      </c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8.0" hidden="1" customHeight="1">
      <c r="A1024" s="47"/>
      <c r="B1024" s="2" t="s">
        <v>1965</v>
      </c>
      <c r="C1024" s="2"/>
      <c r="D1024" s="2" t="s">
        <v>3987</v>
      </c>
      <c r="E1024" s="51"/>
      <c r="F1024" s="47" t="s">
        <v>3986</v>
      </c>
      <c r="G1024" s="52">
        <f t="array" ref="G1024">MAX(IF(INSTOCK!$H$2:$H$2025=B1024,INSTOCK!$K$2:$K$2025))</f>
        <v>155</v>
      </c>
      <c r="H1024" s="53">
        <f>SUM(IF(INSTOCK!$H$2:$H$2025=B1024,INSTOCK!$I$2:$I$2025))</f>
        <v>0</v>
      </c>
      <c r="I1024" s="53" t="str">
        <f>SUM(IF([1]!Table13[ID]=B1024,[1]!Table13[QTY]))</f>
        <v>#ERROR!</v>
      </c>
      <c r="J1024" s="53" t="str">
        <f>TABLEITEM!$H$3:$H$1138-TABLEITEM!$I$3:$I$1138</f>
        <v>#ERROR!</v>
      </c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8.0" hidden="1" customHeight="1">
      <c r="A1025" s="47"/>
      <c r="B1025" s="2" t="s">
        <v>1966</v>
      </c>
      <c r="C1025" s="2"/>
      <c r="D1025" s="2" t="s">
        <v>3988</v>
      </c>
      <c r="E1025" s="51"/>
      <c r="F1025" s="47" t="s">
        <v>3986</v>
      </c>
      <c r="G1025" s="52">
        <f t="array" ref="G1025">MAX(IF(INSTOCK!$H$2:$H$2025=B1025,INSTOCK!$K$2:$K$2025))</f>
        <v>155</v>
      </c>
      <c r="H1025" s="53">
        <f>SUM(IF(INSTOCK!$H$2:$H$2025=B1025,INSTOCK!$I$2:$I$2025))</f>
        <v>0</v>
      </c>
      <c r="I1025" s="53" t="str">
        <f>SUM(IF([1]!Table13[ID]=B1025,[1]!Table13[QTY]))</f>
        <v>#ERROR!</v>
      </c>
      <c r="J1025" s="53" t="str">
        <f>TABLEITEM!$H$3:$H$1138-TABLEITEM!$I$3:$I$1138</f>
        <v>#ERROR!</v>
      </c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8.0" hidden="1" customHeight="1">
      <c r="A1026" s="47"/>
      <c r="B1026" s="2" t="s">
        <v>1967</v>
      </c>
      <c r="C1026" s="2"/>
      <c r="D1026" s="2" t="s">
        <v>3989</v>
      </c>
      <c r="E1026" s="51"/>
      <c r="F1026" s="47" t="s">
        <v>3986</v>
      </c>
      <c r="G1026" s="52">
        <f t="array" ref="G1026">MAX(IF(INSTOCK!$H$2:$H$2025=B1026,INSTOCK!$K$2:$K$2025))</f>
        <v>155</v>
      </c>
      <c r="H1026" s="53">
        <f>SUM(IF(INSTOCK!$H$2:$H$2025=B1026,INSTOCK!$I$2:$I$2025))</f>
        <v>0</v>
      </c>
      <c r="I1026" s="53" t="str">
        <f>SUM(IF([1]!Table13[ID]=B1026,[1]!Table13[QTY]))</f>
        <v>#ERROR!</v>
      </c>
      <c r="J1026" s="53" t="str">
        <f>TABLEITEM!$H$3:$H$1138-TABLEITEM!$I$3:$I$1138</f>
        <v>#ERROR!</v>
      </c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8.0" hidden="1" customHeight="1">
      <c r="A1027" s="47"/>
      <c r="B1027" s="2" t="s">
        <v>1968</v>
      </c>
      <c r="C1027" s="2"/>
      <c r="D1027" s="2" t="s">
        <v>3990</v>
      </c>
      <c r="E1027" s="51"/>
      <c r="F1027" s="47" t="s">
        <v>3986</v>
      </c>
      <c r="G1027" s="52">
        <f t="array" ref="G1027">MAX(IF(INSTOCK!$H$2:$H$2025=B1027,INSTOCK!$K$2:$K$2025))</f>
        <v>155</v>
      </c>
      <c r="H1027" s="53">
        <f>SUM(IF(INSTOCK!$H$2:$H$2025=B1027,INSTOCK!$I$2:$I$2025))</f>
        <v>0</v>
      </c>
      <c r="I1027" s="53" t="str">
        <f>SUM(IF([1]!Table13[ID]=B1027,[1]!Table13[QTY]))</f>
        <v>#ERROR!</v>
      </c>
      <c r="J1027" s="53" t="str">
        <f>TABLEITEM!$H$3:$H$1138-TABLEITEM!$I$3:$I$1138</f>
        <v>#ERROR!</v>
      </c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8.0" hidden="1" customHeight="1">
      <c r="A1028" s="47"/>
      <c r="B1028" s="2" t="s">
        <v>1972</v>
      </c>
      <c r="C1028" s="2"/>
      <c r="D1028" s="2" t="s">
        <v>3991</v>
      </c>
      <c r="E1028" s="51" t="s">
        <v>3610</v>
      </c>
      <c r="F1028" s="47"/>
      <c r="G1028" s="52">
        <f t="array" ref="G1028">MAX(IF(INSTOCK!$H$2:$H$2025=B1028,INSTOCK!$K$2:$K$2025))</f>
        <v>36.6667</v>
      </c>
      <c r="H1028" s="53">
        <f>SUM(IF(INSTOCK!$H$2:$H$2025=B1028,INSTOCK!$I$2:$I$2025))</f>
        <v>0</v>
      </c>
      <c r="I1028" s="53" t="str">
        <f>SUM(IF([1]!Table13[ID]=B1028,[1]!Table13[QTY]))</f>
        <v>#ERROR!</v>
      </c>
      <c r="J1028" s="53" t="str">
        <f>TABLEITEM!$H$3:$H$1138-TABLEITEM!$I$3:$I$1138</f>
        <v>#ERROR!</v>
      </c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8.0" hidden="1" customHeight="1">
      <c r="A1029" s="47"/>
      <c r="B1029" s="2" t="s">
        <v>1975</v>
      </c>
      <c r="C1029" s="2"/>
      <c r="D1029" s="2" t="s">
        <v>3992</v>
      </c>
      <c r="E1029" s="51" t="s">
        <v>3610</v>
      </c>
      <c r="F1029" s="47"/>
      <c r="G1029" s="52">
        <f t="array" ref="G1029">MAX(IF(INSTOCK!$H$2:$H$2025=B1029,INSTOCK!$K$2:$K$2025))</f>
        <v>46.6667</v>
      </c>
      <c r="H1029" s="53">
        <f>SUM(IF(INSTOCK!$H$2:$H$2025=B1029,INSTOCK!$I$2:$I$2025))</f>
        <v>0</v>
      </c>
      <c r="I1029" s="53" t="str">
        <f>SUM(IF([1]!Table13[ID]=B1029,[1]!Table13[QTY]))</f>
        <v>#ERROR!</v>
      </c>
      <c r="J1029" s="53" t="str">
        <f>TABLEITEM!$H$3:$H$1138-TABLEITEM!$I$3:$I$1138</f>
        <v>#ERROR!</v>
      </c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8.0" hidden="1" customHeight="1">
      <c r="A1030" s="47"/>
      <c r="B1030" s="2" t="s">
        <v>2001</v>
      </c>
      <c r="C1030" s="2"/>
      <c r="D1030" s="2" t="s">
        <v>3993</v>
      </c>
      <c r="E1030" s="51" t="s">
        <v>3087</v>
      </c>
      <c r="F1030" s="47"/>
      <c r="G1030" s="52">
        <f t="array" ref="G1030">MAX(IF(INSTOCK!$H$2:$H$2025=B1030,INSTOCK!$K$2:$K$2025))</f>
        <v>113</v>
      </c>
      <c r="H1030" s="53">
        <f>SUM(IF(INSTOCK!$H$2:$H$2025=B1030,INSTOCK!$I$2:$I$2025))</f>
        <v>0</v>
      </c>
      <c r="I1030" s="53" t="str">
        <f>SUM(IF([1]!Table13[ID]=B1030,[1]!Table13[QTY]))</f>
        <v>#ERROR!</v>
      </c>
      <c r="J1030" s="53" t="str">
        <f>TABLEITEM!$H$3:$H$1138-TABLEITEM!$I$3:$I$1138</f>
        <v>#ERROR!</v>
      </c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8.0" hidden="1" customHeight="1">
      <c r="A1031" s="47"/>
      <c r="B1031" s="2" t="s">
        <v>2002</v>
      </c>
      <c r="C1031" s="2"/>
      <c r="D1031" s="2" t="s">
        <v>3994</v>
      </c>
      <c r="E1031" s="51" t="s">
        <v>3087</v>
      </c>
      <c r="F1031" s="47"/>
      <c r="G1031" s="52">
        <f t="array" ref="G1031">MAX(IF(INSTOCK!$H$2:$H$2025=B1031,INSTOCK!$K$2:$K$2025))</f>
        <v>180</v>
      </c>
      <c r="H1031" s="53">
        <f>SUM(IF(INSTOCK!$H$2:$H$2025=B1031,INSTOCK!$I$2:$I$2025))</f>
        <v>0</v>
      </c>
      <c r="I1031" s="53" t="str">
        <f>SUM(IF([1]!Table13[ID]=B1031,[1]!Table13[QTY]))</f>
        <v>#ERROR!</v>
      </c>
      <c r="J1031" s="53" t="str">
        <f>TABLEITEM!$H$3:$H$1138-TABLEITEM!$I$3:$I$1138</f>
        <v>#ERROR!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8.0" hidden="1" customHeight="1">
      <c r="A1032" s="47"/>
      <c r="B1032" s="2" t="s">
        <v>2005</v>
      </c>
      <c r="C1032" s="2"/>
      <c r="D1032" s="2" t="s">
        <v>3995</v>
      </c>
      <c r="E1032" s="51" t="s">
        <v>3087</v>
      </c>
      <c r="F1032" s="47"/>
      <c r="G1032" s="52">
        <f t="array" ref="G1032">MAX(IF(INSTOCK!$H$2:$H$2025=B1032,INSTOCK!$K$2:$K$2025))</f>
        <v>113</v>
      </c>
      <c r="H1032" s="53">
        <f>SUM(IF(INSTOCK!$H$2:$H$2025=B1032,INSTOCK!$I$2:$I$2025))</f>
        <v>0</v>
      </c>
      <c r="I1032" s="53" t="str">
        <f>SUM(IF([1]!Table13[ID]=B1032,[1]!Table13[QTY]))</f>
        <v>#ERROR!</v>
      </c>
      <c r="J1032" s="53" t="str">
        <f>TABLEITEM!$H$3:$H$1138-TABLEITEM!$I$3:$I$1138</f>
        <v>#ERROR!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8.0" hidden="1" customHeight="1">
      <c r="A1033" s="47"/>
      <c r="B1033" s="2" t="s">
        <v>2008</v>
      </c>
      <c r="C1033" s="2"/>
      <c r="D1033" s="2" t="s">
        <v>3996</v>
      </c>
      <c r="E1033" s="51" t="s">
        <v>3087</v>
      </c>
      <c r="F1033" s="47"/>
      <c r="G1033" s="52">
        <f t="array" ref="G1033">MAX(IF(INSTOCK!$H$2:$H$2025=B1033,INSTOCK!$K$2:$K$2025))</f>
        <v>45</v>
      </c>
      <c r="H1033" s="53">
        <f>SUM(IF(INSTOCK!$H$2:$H$2025=B1033,INSTOCK!$I$2:$I$2025))</f>
        <v>0</v>
      </c>
      <c r="I1033" s="53" t="str">
        <f>SUM(IF([1]!Table13[ID]=B1033,[1]!Table13[QTY]))</f>
        <v>#ERROR!</v>
      </c>
      <c r="J1033" s="53" t="str">
        <f>TABLEITEM!$H$3:$H$1138-TABLEITEM!$I$3:$I$1138</f>
        <v>#ERROR!</v>
      </c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8.0" hidden="1" customHeight="1">
      <c r="A1034" s="47"/>
      <c r="B1034" s="2" t="s">
        <v>2011</v>
      </c>
      <c r="C1034" s="2"/>
      <c r="D1034" s="2" t="s">
        <v>3997</v>
      </c>
      <c r="E1034" s="51" t="s">
        <v>3087</v>
      </c>
      <c r="F1034" s="47"/>
      <c r="G1034" s="52">
        <f t="array" ref="G1034">MAX(IF(INSTOCK!$H$2:$H$2025=B1034,INSTOCK!$K$2:$K$2025))</f>
        <v>180</v>
      </c>
      <c r="H1034" s="53">
        <f>SUM(IF(INSTOCK!$H$2:$H$2025=B1034,INSTOCK!$I$2:$I$2025))</f>
        <v>0</v>
      </c>
      <c r="I1034" s="53" t="str">
        <f>SUM(IF([1]!Table13[ID]=B1034,[1]!Table13[QTY]))</f>
        <v>#ERROR!</v>
      </c>
      <c r="J1034" s="53" t="str">
        <f>TABLEITEM!$H$3:$H$1138-TABLEITEM!$I$3:$I$1138</f>
        <v>#ERROR!</v>
      </c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8.0" hidden="1" customHeight="1">
      <c r="A1035" s="47"/>
      <c r="B1035" s="2" t="s">
        <v>2032</v>
      </c>
      <c r="C1035" s="2"/>
      <c r="D1035" s="2" t="s">
        <v>3998</v>
      </c>
      <c r="E1035" s="51" t="s">
        <v>3087</v>
      </c>
      <c r="F1035" s="47"/>
      <c r="G1035" s="52">
        <f t="array" ref="G1035">MAX(IF(INSTOCK!$H$2:$H$2025=B1035,INSTOCK!$K$2:$K$2025))</f>
        <v>210</v>
      </c>
      <c r="H1035" s="53">
        <f>SUM(IF(INSTOCK!$H$2:$H$2025=B1035,INSTOCK!$I$2:$I$2025))</f>
        <v>0</v>
      </c>
      <c r="I1035" s="53" t="str">
        <f>SUM(IF([1]!Table13[ID]=B1035,[1]!Table13[QTY]))</f>
        <v>#ERROR!</v>
      </c>
      <c r="J1035" s="53" t="str">
        <f>TABLEITEM!$H$3:$H$1138-TABLEITEM!$I$3:$I$1138</f>
        <v>#ERROR!</v>
      </c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8.0" hidden="1" customHeight="1">
      <c r="A1036" s="47"/>
      <c r="B1036" s="2" t="s">
        <v>2035</v>
      </c>
      <c r="C1036" s="2"/>
      <c r="D1036" s="2" t="s">
        <v>3999</v>
      </c>
      <c r="E1036" s="51" t="s">
        <v>3087</v>
      </c>
      <c r="F1036" s="47"/>
      <c r="G1036" s="52">
        <f t="array" ref="G1036">MAX(IF(INSTOCK!$H$2:$H$2025=B1036,INSTOCK!$K$2:$K$2025))</f>
        <v>45</v>
      </c>
      <c r="H1036" s="53">
        <f>SUM(IF(INSTOCK!$H$2:$H$2025=B1036,INSTOCK!$I$2:$I$2025))</f>
        <v>0</v>
      </c>
      <c r="I1036" s="53" t="str">
        <f>SUM(IF([1]!Table13[ID]=B1036,[1]!Table13[QTY]))</f>
        <v>#ERROR!</v>
      </c>
      <c r="J1036" s="53" t="str">
        <f>TABLEITEM!$H$3:$H$1138-TABLEITEM!$I$3:$I$1138</f>
        <v>#ERROR!</v>
      </c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8.0" hidden="1" customHeight="1">
      <c r="A1037" s="47"/>
      <c r="B1037" s="2" t="s">
        <v>2038</v>
      </c>
      <c r="C1037" s="2"/>
      <c r="D1037" s="2" t="s">
        <v>4000</v>
      </c>
      <c r="E1037" s="51" t="s">
        <v>3087</v>
      </c>
      <c r="F1037" s="47"/>
      <c r="G1037" s="52">
        <f t="array" ref="G1037">MAX(IF(INSTOCK!$H$2:$H$2025=B1037,INSTOCK!$K$2:$K$2025))</f>
        <v>105</v>
      </c>
      <c r="H1037" s="53">
        <f>SUM(IF(INSTOCK!$H$2:$H$2025=B1037,INSTOCK!$I$2:$I$2025))</f>
        <v>0</v>
      </c>
      <c r="I1037" s="53" t="str">
        <f>SUM(IF([1]!Table13[ID]=B1037,[1]!Table13[QTY]))</f>
        <v>#ERROR!</v>
      </c>
      <c r="J1037" s="53" t="str">
        <f>TABLEITEM!$H$3:$H$1138-TABLEITEM!$I$3:$I$1138</f>
        <v>#ERROR!</v>
      </c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8.0" hidden="1" customHeight="1">
      <c r="A1038" s="47"/>
      <c r="B1038" s="2" t="s">
        <v>2039</v>
      </c>
      <c r="C1038" s="2"/>
      <c r="D1038" s="2" t="s">
        <v>4001</v>
      </c>
      <c r="E1038" s="51" t="s">
        <v>3087</v>
      </c>
      <c r="F1038" s="47"/>
      <c r="G1038" s="52">
        <f t="array" ref="G1038">MAX(IF(INSTOCK!$H$2:$H$2025=B1038,INSTOCK!$K$2:$K$2025))</f>
        <v>150</v>
      </c>
      <c r="H1038" s="53">
        <f>SUM(IF(INSTOCK!$H$2:$H$2025=B1038,INSTOCK!$I$2:$I$2025))</f>
        <v>0</v>
      </c>
      <c r="I1038" s="53" t="str">
        <f>SUM(IF([1]!Table13[ID]=B1038,[1]!Table13[QTY]))</f>
        <v>#ERROR!</v>
      </c>
      <c r="J1038" s="53" t="str">
        <f>TABLEITEM!$H$3:$H$1138-TABLEITEM!$I$3:$I$1138</f>
        <v>#ERROR!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8.0" hidden="1" customHeight="1">
      <c r="A1039" s="47"/>
      <c r="B1039" s="2" t="s">
        <v>2042</v>
      </c>
      <c r="C1039" s="2"/>
      <c r="D1039" s="2" t="s">
        <v>4002</v>
      </c>
      <c r="E1039" s="51" t="s">
        <v>3087</v>
      </c>
      <c r="F1039" s="47"/>
      <c r="G1039" s="52">
        <f t="array" ref="G1039">MAX(IF(INSTOCK!$H$2:$H$2025=B1039,INSTOCK!$K$2:$K$2025))</f>
        <v>113</v>
      </c>
      <c r="H1039" s="53">
        <f>SUM(IF(INSTOCK!$H$2:$H$2025=B1039,INSTOCK!$I$2:$I$2025))</f>
        <v>0</v>
      </c>
      <c r="I1039" s="53" t="str">
        <f>SUM(IF([1]!Table13[ID]=B1039,[1]!Table13[QTY]))</f>
        <v>#ERROR!</v>
      </c>
      <c r="J1039" s="53" t="str">
        <f>TABLEITEM!$H$3:$H$1138-TABLEITEM!$I$3:$I$1138</f>
        <v>#ERROR!</v>
      </c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8.0" hidden="1" customHeight="1">
      <c r="A1040" s="47"/>
      <c r="B1040" s="2" t="s">
        <v>2045</v>
      </c>
      <c r="C1040" s="2"/>
      <c r="D1040" s="2" t="s">
        <v>4003</v>
      </c>
      <c r="E1040" s="51" t="s">
        <v>3087</v>
      </c>
      <c r="F1040" s="47"/>
      <c r="G1040" s="52">
        <f t="array" ref="G1040">MAX(IF(INSTOCK!$H$2:$H$2025=B1040,INSTOCK!$K$2:$K$2025))</f>
        <v>90</v>
      </c>
      <c r="H1040" s="53">
        <f>SUM(IF(INSTOCK!$H$2:$H$2025=B1040,INSTOCK!$I$2:$I$2025))</f>
        <v>0</v>
      </c>
      <c r="I1040" s="53" t="str">
        <f>SUM(IF([1]!Table13[ID]=B1040,[1]!Table13[QTY]))</f>
        <v>#ERROR!</v>
      </c>
      <c r="J1040" s="53" t="str">
        <f>TABLEITEM!$H$3:$H$1138-TABLEITEM!$I$3:$I$1138</f>
        <v>#ERROR!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8.0" hidden="1" customHeight="1">
      <c r="A1041" s="47"/>
      <c r="B1041" s="2" t="s">
        <v>2046</v>
      </c>
      <c r="C1041" s="2"/>
      <c r="D1041" s="2" t="s">
        <v>4004</v>
      </c>
      <c r="E1041" s="51" t="s">
        <v>3087</v>
      </c>
      <c r="F1041" s="47"/>
      <c r="G1041" s="52">
        <f t="array" ref="G1041">MAX(IF(INSTOCK!$H$2:$H$2025=B1041,INSTOCK!$K$2:$K$2025))</f>
        <v>180</v>
      </c>
      <c r="H1041" s="53">
        <f>SUM(IF(INSTOCK!$H$2:$H$2025=B1041,INSTOCK!$I$2:$I$2025))</f>
        <v>0</v>
      </c>
      <c r="I1041" s="53" t="str">
        <f>SUM(IF([1]!Table13[ID]=B1041,[1]!Table13[QTY]))</f>
        <v>#ERROR!</v>
      </c>
      <c r="J1041" s="53" t="str">
        <f>TABLEITEM!$H$3:$H$1138-TABLEITEM!$I$3:$I$1138</f>
        <v>#ERROR!</v>
      </c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8.0" hidden="1" customHeight="1">
      <c r="A1042" s="47"/>
      <c r="B1042" s="2" t="s">
        <v>2049</v>
      </c>
      <c r="C1042" s="2"/>
      <c r="D1042" s="2" t="s">
        <v>4005</v>
      </c>
      <c r="E1042" s="51" t="s">
        <v>3087</v>
      </c>
      <c r="F1042" s="47"/>
      <c r="G1042" s="52">
        <f t="array" ref="G1042">MAX(IF(INSTOCK!$H$2:$H$2025=B1042,INSTOCK!$K$2:$K$2025))</f>
        <v>75</v>
      </c>
      <c r="H1042" s="53">
        <f>SUM(IF(INSTOCK!$H$2:$H$2025=B1042,INSTOCK!$I$2:$I$2025))</f>
        <v>0</v>
      </c>
      <c r="I1042" s="53" t="str">
        <f>SUM(IF([1]!Table13[ID]=B1042,[1]!Table13[QTY]))</f>
        <v>#ERROR!</v>
      </c>
      <c r="J1042" s="53" t="str">
        <f>TABLEITEM!$H$3:$H$1138-TABLEITEM!$I$3:$I$1138</f>
        <v>#ERROR!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8.0" hidden="1" customHeight="1">
      <c r="A1043" s="47"/>
      <c r="B1043" s="2" t="s">
        <v>2053</v>
      </c>
      <c r="C1043" s="2"/>
      <c r="D1043" s="2" t="s">
        <v>4006</v>
      </c>
      <c r="E1043" s="51" t="s">
        <v>3610</v>
      </c>
      <c r="F1043" s="47"/>
      <c r="G1043" s="52">
        <f t="array" ref="G1043">MAX(IF(INSTOCK!$H$2:$H$2025=B1043,INSTOCK!$K$2:$K$2025))</f>
        <v>91.6667</v>
      </c>
      <c r="H1043" s="53">
        <f>SUM(IF(INSTOCK!$H$2:$H$2025=B1043,INSTOCK!$I$2:$I$2025))</f>
        <v>0</v>
      </c>
      <c r="I1043" s="53" t="str">
        <f>SUM(IF([1]!Table13[ID]=B1043,[1]!Table13[QTY]))</f>
        <v>#ERROR!</v>
      </c>
      <c r="J1043" s="53" t="str">
        <f>TABLEITEM!$H$3:$H$1138-TABLEITEM!$I$3:$I$1138</f>
        <v>#ERROR!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8.0" hidden="1" customHeight="1">
      <c r="A1044" s="47"/>
      <c r="B1044" s="2" t="s">
        <v>2076</v>
      </c>
      <c r="C1044" s="2"/>
      <c r="D1044" s="2" t="s">
        <v>4007</v>
      </c>
      <c r="E1044" s="51" t="s">
        <v>3087</v>
      </c>
      <c r="F1044" s="47"/>
      <c r="G1044" s="52">
        <f t="array" ref="G1044">MAX(IF(INSTOCK!$H$2:$H$2025=B1044,INSTOCK!$K$2:$K$2025))</f>
        <v>40</v>
      </c>
      <c r="H1044" s="53">
        <f>SUM(IF(INSTOCK!$H$2:$H$2025=B1044,INSTOCK!$I$2:$I$2025))</f>
        <v>0</v>
      </c>
      <c r="I1044" s="53" t="str">
        <f>SUM(IF([1]!Table13[ID]=B1044,[1]!Table13[QTY]))</f>
        <v>#ERROR!</v>
      </c>
      <c r="J1044" s="53" t="str">
        <f>TABLEITEM!$H$3:$H$1138-TABLEITEM!$I$3:$I$1138</f>
        <v>#ERROR!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8.0" hidden="1" customHeight="1">
      <c r="A1045" s="47"/>
      <c r="B1045" s="2" t="s">
        <v>2081</v>
      </c>
      <c r="C1045" s="2"/>
      <c r="D1045" s="2" t="s">
        <v>4008</v>
      </c>
      <c r="E1045" s="51" t="s">
        <v>3087</v>
      </c>
      <c r="F1045" s="47"/>
      <c r="G1045" s="52">
        <f t="array" ref="G1045">MAX(IF(INSTOCK!$H$2:$H$2025=B1045,INSTOCK!$K$2:$K$2025))</f>
        <v>25</v>
      </c>
      <c r="H1045" s="53">
        <f>SUM(IF(INSTOCK!$H$2:$H$2025=B1045,INSTOCK!$I$2:$I$2025))</f>
        <v>0</v>
      </c>
      <c r="I1045" s="53" t="str">
        <f>SUM(IF([1]!Table13[ID]=B1045,[1]!Table13[QTY]))</f>
        <v>#ERROR!</v>
      </c>
      <c r="J1045" s="53" t="str">
        <f>TABLEITEM!$H$3:$H$1138-TABLEITEM!$I$3:$I$1138</f>
        <v>#ERROR!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8.0" hidden="1" customHeight="1">
      <c r="A1046" s="47"/>
      <c r="B1046" s="2" t="s">
        <v>2035</v>
      </c>
      <c r="C1046" s="2"/>
      <c r="D1046" s="2" t="s">
        <v>4009</v>
      </c>
      <c r="E1046" s="51" t="s">
        <v>3087</v>
      </c>
      <c r="F1046" s="47"/>
      <c r="G1046" s="52">
        <f t="array" ref="G1046">MAX(IF(INSTOCK!$H$2:$H$2025=B1046,INSTOCK!$K$2:$K$2025))</f>
        <v>45</v>
      </c>
      <c r="H1046" s="53">
        <f>SUM(IF(INSTOCK!$H$2:$H$2025=B1046,INSTOCK!$I$2:$I$2025))</f>
        <v>0</v>
      </c>
      <c r="I1046" s="53" t="str">
        <f>SUM(IF([1]!Table13[ID]=B1046,[1]!Table13[QTY]))</f>
        <v>#ERROR!</v>
      </c>
      <c r="J1046" s="53" t="str">
        <f>TABLEITEM!$H$3:$H$1138-TABLEITEM!$I$3:$I$1138</f>
        <v>#ERROR!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8.0" hidden="1" customHeight="1">
      <c r="A1047" s="47"/>
      <c r="B1047" s="2" t="s">
        <v>2084</v>
      </c>
      <c r="C1047" s="2"/>
      <c r="D1047" s="2" t="s">
        <v>4010</v>
      </c>
      <c r="E1047" s="51" t="s">
        <v>3087</v>
      </c>
      <c r="F1047" s="47"/>
      <c r="G1047" s="52">
        <f t="array" ref="G1047">MAX(IF(INSTOCK!$H$2:$H$2025=B1047,INSTOCK!$K$2:$K$2025))</f>
        <v>113</v>
      </c>
      <c r="H1047" s="53">
        <f>SUM(IF(INSTOCK!$H$2:$H$2025=B1047,INSTOCK!$I$2:$I$2025))</f>
        <v>0</v>
      </c>
      <c r="I1047" s="53" t="str">
        <f>SUM(IF([1]!Table13[ID]=B1047,[1]!Table13[QTY]))</f>
        <v>#ERROR!</v>
      </c>
      <c r="J1047" s="53" t="str">
        <f>TABLEITEM!$H$3:$H$1138-TABLEITEM!$I$3:$I$1138</f>
        <v>#ERROR!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8.0" hidden="1" customHeight="1">
      <c r="A1048" s="47"/>
      <c r="B1048" s="2" t="s">
        <v>2086</v>
      </c>
      <c r="C1048" s="2"/>
      <c r="D1048" s="2" t="s">
        <v>4011</v>
      </c>
      <c r="E1048" s="51" t="s">
        <v>3087</v>
      </c>
      <c r="F1048" s="47"/>
      <c r="G1048" s="52">
        <f t="array" ref="G1048">MAX(IF(INSTOCK!$H$2:$H$2025=B1048,INSTOCK!$K$2:$K$2025))</f>
        <v>160</v>
      </c>
      <c r="H1048" s="53">
        <f>SUM(IF(INSTOCK!$H$2:$H$2025=B1048,INSTOCK!$I$2:$I$2025))</f>
        <v>0</v>
      </c>
      <c r="I1048" s="53" t="str">
        <f>SUM(IF([1]!Table13[ID]=B1048,[1]!Table13[QTY]))</f>
        <v>#ERROR!</v>
      </c>
      <c r="J1048" s="53" t="str">
        <f>TABLEITEM!$H$3:$H$1138-TABLEITEM!$I$3:$I$1138</f>
        <v>#ERROR!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8.0" hidden="1" customHeight="1">
      <c r="A1049" s="47"/>
      <c r="B1049" s="2" t="s">
        <v>1913</v>
      </c>
      <c r="C1049" s="2"/>
      <c r="D1049" s="2" t="s">
        <v>4012</v>
      </c>
      <c r="E1049" s="51" t="s">
        <v>3087</v>
      </c>
      <c r="F1049" s="47"/>
      <c r="G1049" s="52">
        <f t="array" ref="G1049">MAX(IF(INSTOCK!$H$2:$H$2025=B1049,INSTOCK!$K$2:$K$2025))</f>
        <v>68</v>
      </c>
      <c r="H1049" s="53">
        <f>SUM(IF(INSTOCK!$H$2:$H$2025=B1049,INSTOCK!$I$2:$I$2025))</f>
        <v>0</v>
      </c>
      <c r="I1049" s="53" t="str">
        <f>SUM(IF([1]!Table13[ID]=B1049,[1]!Table13[QTY]))</f>
        <v>#ERROR!</v>
      </c>
      <c r="J1049" s="53" t="str">
        <f>TABLEITEM!$H$3:$H$1138-TABLEITEM!$I$3:$I$1138</f>
        <v>#ERROR!</v>
      </c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8.0" hidden="1" customHeight="1">
      <c r="A1050" s="47"/>
      <c r="B1050" s="2" t="s">
        <v>2091</v>
      </c>
      <c r="C1050" s="2"/>
      <c r="D1050" s="2" t="s">
        <v>4013</v>
      </c>
      <c r="E1050" s="51" t="s">
        <v>3087</v>
      </c>
      <c r="F1050" s="47"/>
      <c r="G1050" s="52">
        <f t="array" ref="G1050">MAX(IF(INSTOCK!$H$2:$H$2025=B1050,INSTOCK!$K$2:$K$2025))</f>
        <v>120</v>
      </c>
      <c r="H1050" s="53">
        <f>SUM(IF(INSTOCK!$H$2:$H$2025=B1050,INSTOCK!$I$2:$I$2025))</f>
        <v>0</v>
      </c>
      <c r="I1050" s="53" t="str">
        <f>SUM(IF([1]!Table13[ID]=B1050,[1]!Table13[QTY]))</f>
        <v>#ERROR!</v>
      </c>
      <c r="J1050" s="53" t="str">
        <f>TABLEITEM!$H$3:$H$1138-TABLEITEM!$I$3:$I$1138</f>
        <v>#ERROR!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8.0" hidden="1" customHeight="1">
      <c r="A1051" s="47"/>
      <c r="B1051" s="2" t="s">
        <v>2120</v>
      </c>
      <c r="C1051" s="2"/>
      <c r="D1051" s="2" t="s">
        <v>4014</v>
      </c>
      <c r="E1051" s="51" t="s">
        <v>3610</v>
      </c>
      <c r="F1051" s="47"/>
      <c r="G1051" s="52">
        <f t="array" ref="G1051">MAX(IF(INSTOCK!$H$2:$H$2025=B1051,INSTOCK!$K$2:$K$2025))</f>
        <v>93.3334</v>
      </c>
      <c r="H1051" s="53">
        <f>SUM(IF(INSTOCK!$H$2:$H$2025=B1051,INSTOCK!$I$2:$I$2025))</f>
        <v>0</v>
      </c>
      <c r="I1051" s="53" t="str">
        <f>SUM(IF([1]!Table13[ID]=B1051,[1]!Table13[QTY]))</f>
        <v>#ERROR!</v>
      </c>
      <c r="J1051" s="53" t="str">
        <f>TABLEITEM!$H$3:$H$1138-TABLEITEM!$I$3:$I$1138</f>
        <v>#ERROR!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8.0" hidden="1" customHeight="1">
      <c r="A1052" s="47"/>
      <c r="B1052" s="2" t="s">
        <v>2145</v>
      </c>
      <c r="C1052" s="2"/>
      <c r="D1052" s="2" t="s">
        <v>4015</v>
      </c>
      <c r="E1052" s="51" t="s">
        <v>3087</v>
      </c>
      <c r="F1052" s="47"/>
      <c r="G1052" s="52">
        <f t="array" ref="G1052">MAX(IF(INSTOCK!$H$2:$H$2025=B1052,INSTOCK!$K$2:$K$2025))</f>
        <v>590.9091</v>
      </c>
      <c r="H1052" s="53">
        <f>SUM(IF(INSTOCK!$H$2:$H$2025=B1052,INSTOCK!$I$2:$I$2025))</f>
        <v>0</v>
      </c>
      <c r="I1052" s="53" t="str">
        <f>SUM(IF([1]!Table13[ID]=B1052,[1]!Table13[QTY]))</f>
        <v>#ERROR!</v>
      </c>
      <c r="J1052" s="53" t="str">
        <f>TABLEITEM!$H$3:$H$1138-TABLEITEM!$I$3:$I$1138</f>
        <v>#ERROR!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8.0" hidden="1" customHeight="1">
      <c r="A1053" s="47"/>
      <c r="B1053" s="2" t="s">
        <v>2151</v>
      </c>
      <c r="C1053" s="2"/>
      <c r="D1053" s="2" t="s">
        <v>4016</v>
      </c>
      <c r="E1053" s="51" t="s">
        <v>3087</v>
      </c>
      <c r="F1053" s="47"/>
      <c r="G1053" s="52">
        <f t="array" ref="G1053">MAX(IF(INSTOCK!$H$2:$H$2025=B1053,INSTOCK!$K$2:$K$2025))</f>
        <v>135</v>
      </c>
      <c r="H1053" s="53">
        <f>SUM(IF(INSTOCK!$H$2:$H$2025=B1053,INSTOCK!$I$2:$I$2025))</f>
        <v>0</v>
      </c>
      <c r="I1053" s="53" t="str">
        <f>SUM(IF([1]!Table13[ID]=B1053,[1]!Table13[QTY]))</f>
        <v>#ERROR!</v>
      </c>
      <c r="J1053" s="53" t="str">
        <f>TABLEITEM!$H$3:$H$1138-TABLEITEM!$I$3:$I$1138</f>
        <v>#ERROR!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8.0" hidden="1" customHeight="1">
      <c r="A1054" s="47"/>
      <c r="B1054" s="2" t="s">
        <v>2154</v>
      </c>
      <c r="C1054" s="2"/>
      <c r="D1054" s="2" t="s">
        <v>4017</v>
      </c>
      <c r="E1054" s="51" t="s">
        <v>3087</v>
      </c>
      <c r="F1054" s="47"/>
      <c r="G1054" s="52">
        <f t="array" ref="G1054">MAX(IF(INSTOCK!$H$2:$H$2025=B1054,INSTOCK!$K$2:$K$2025))</f>
        <v>115</v>
      </c>
      <c r="H1054" s="53">
        <f>SUM(IF(INSTOCK!$H$2:$H$2025=B1054,INSTOCK!$I$2:$I$2025))</f>
        <v>0</v>
      </c>
      <c r="I1054" s="53" t="str">
        <f>SUM(IF([1]!Table13[ID]=B1054,[1]!Table13[QTY]))</f>
        <v>#ERROR!</v>
      </c>
      <c r="J1054" s="53" t="str">
        <f>TABLEITEM!$H$3:$H$1138-TABLEITEM!$I$3:$I$1138</f>
        <v>#ERROR!</v>
      </c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8.0" hidden="1" customHeight="1">
      <c r="A1055" s="47"/>
      <c r="B1055" s="2" t="s">
        <v>2157</v>
      </c>
      <c r="C1055" s="2"/>
      <c r="D1055" s="2" t="s">
        <v>4018</v>
      </c>
      <c r="E1055" s="51" t="s">
        <v>3087</v>
      </c>
      <c r="F1055" s="47"/>
      <c r="G1055" s="52">
        <f t="array" ref="G1055">MAX(IF(INSTOCK!$H$2:$H$2025=B1055,INSTOCK!$K$2:$K$2025))</f>
        <v>150</v>
      </c>
      <c r="H1055" s="53">
        <f>SUM(IF(INSTOCK!$H$2:$H$2025=B1055,INSTOCK!$I$2:$I$2025))</f>
        <v>0</v>
      </c>
      <c r="I1055" s="53" t="str">
        <f>SUM(IF([1]!Table13[ID]=B1055,[1]!Table13[QTY]))</f>
        <v>#ERROR!</v>
      </c>
      <c r="J1055" s="53" t="str">
        <f>TABLEITEM!$H$3:$H$1138-TABLEITEM!$I$3:$I$1138</f>
        <v>#ERROR!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8.0" hidden="1" customHeight="1">
      <c r="A1056" s="47"/>
      <c r="B1056" s="2" t="s">
        <v>2159</v>
      </c>
      <c r="C1056" s="2"/>
      <c r="D1056" s="2" t="s">
        <v>4019</v>
      </c>
      <c r="E1056" s="51" t="s">
        <v>3087</v>
      </c>
      <c r="F1056" s="47"/>
      <c r="G1056" s="52">
        <f t="array" ref="G1056">MAX(IF(INSTOCK!$H$2:$H$2025=B1056,INSTOCK!$K$2:$K$2025))</f>
        <v>75</v>
      </c>
      <c r="H1056" s="53">
        <f>SUM(IF(INSTOCK!$H$2:$H$2025=B1056,INSTOCK!$I$2:$I$2025))</f>
        <v>0</v>
      </c>
      <c r="I1056" s="53" t="str">
        <f>SUM(IF([1]!Table13[ID]=B1056,[1]!Table13[QTY]))</f>
        <v>#ERROR!</v>
      </c>
      <c r="J1056" s="53" t="str">
        <f>TABLEITEM!$H$3:$H$1138-TABLEITEM!$I$3:$I$1138</f>
        <v>#ERROR!</v>
      </c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8.0" hidden="1" customHeight="1">
      <c r="A1057" s="47"/>
      <c r="B1057" s="2" t="s">
        <v>2176</v>
      </c>
      <c r="C1057" s="2"/>
      <c r="D1057" s="2" t="s">
        <v>4020</v>
      </c>
      <c r="E1057" s="51" t="s">
        <v>3087</v>
      </c>
      <c r="F1057" s="47"/>
      <c r="G1057" s="52">
        <f t="array" ref="G1057">MAX(IF(INSTOCK!$H$2:$H$2025=B1057,INSTOCK!$K$2:$K$2025))</f>
        <v>25</v>
      </c>
      <c r="H1057" s="53">
        <f>SUM(IF(INSTOCK!$H$2:$H$2025=B1057,INSTOCK!$I$2:$I$2025))</f>
        <v>0</v>
      </c>
      <c r="I1057" s="53" t="str">
        <f>SUM(IF([1]!Table13[ID]=B1057,[1]!Table13[QTY]))</f>
        <v>#ERROR!</v>
      </c>
      <c r="J1057" s="53" t="str">
        <f>TABLEITEM!$H$3:$H$1138-TABLEITEM!$I$3:$I$1138</f>
        <v>#ERROR!</v>
      </c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8.0" hidden="1" customHeight="1">
      <c r="A1058" s="47"/>
      <c r="B1058" s="2" t="s">
        <v>2179</v>
      </c>
      <c r="C1058" s="2"/>
      <c r="D1058" s="2" t="s">
        <v>4021</v>
      </c>
      <c r="E1058" s="51" t="s">
        <v>3087</v>
      </c>
      <c r="F1058" s="47"/>
      <c r="G1058" s="52">
        <f t="array" ref="G1058">MAX(IF(INSTOCK!$H$2:$H$2025=B1058,INSTOCK!$K$2:$K$2025))</f>
        <v>38</v>
      </c>
      <c r="H1058" s="53">
        <f>SUM(IF(INSTOCK!$H$2:$H$2025=B1058,INSTOCK!$I$2:$I$2025))</f>
        <v>0</v>
      </c>
      <c r="I1058" s="53" t="str">
        <f>SUM(IF([1]!Table13[ID]=B1058,[1]!Table13[QTY]))</f>
        <v>#ERROR!</v>
      </c>
      <c r="J1058" s="53" t="str">
        <f>TABLEITEM!$H$3:$H$1138-TABLEITEM!$I$3:$I$1138</f>
        <v>#ERROR!</v>
      </c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8.0" hidden="1" customHeight="1">
      <c r="A1059" s="47"/>
      <c r="B1059" s="2" t="s">
        <v>2183</v>
      </c>
      <c r="C1059" s="2"/>
      <c r="D1059" s="2" t="s">
        <v>4022</v>
      </c>
      <c r="E1059" s="51" t="s">
        <v>3087</v>
      </c>
      <c r="F1059" s="47"/>
      <c r="G1059" s="52">
        <f t="array" ref="G1059">MAX(IF(INSTOCK!$H$2:$H$2025=B1059,INSTOCK!$K$2:$K$2025))</f>
        <v>113</v>
      </c>
      <c r="H1059" s="53">
        <f>SUM(IF(INSTOCK!$H$2:$H$2025=B1059,INSTOCK!$I$2:$I$2025))</f>
        <v>0</v>
      </c>
      <c r="I1059" s="53" t="str">
        <f>SUM(IF([1]!Table13[ID]=B1059,[1]!Table13[QTY]))</f>
        <v>#ERROR!</v>
      </c>
      <c r="J1059" s="53" t="str">
        <f>TABLEITEM!$H$3:$H$1138-TABLEITEM!$I$3:$I$1138</f>
        <v>#ERROR!</v>
      </c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8.0" hidden="1" customHeight="1">
      <c r="A1060" s="47"/>
      <c r="B1060" s="2" t="s">
        <v>2186</v>
      </c>
      <c r="C1060" s="2"/>
      <c r="D1060" s="2" t="s">
        <v>4023</v>
      </c>
      <c r="E1060" s="51" t="s">
        <v>3087</v>
      </c>
      <c r="F1060" s="47"/>
      <c r="G1060" s="52">
        <f t="array" ref="G1060">MAX(IF(INSTOCK!$H$2:$H$2025=B1060,INSTOCK!$K$2:$K$2025))</f>
        <v>50</v>
      </c>
      <c r="H1060" s="53">
        <f>SUM(IF(INSTOCK!$H$2:$H$2025=B1060,INSTOCK!$I$2:$I$2025))</f>
        <v>0</v>
      </c>
      <c r="I1060" s="53" t="str">
        <f>SUM(IF([1]!Table13[ID]=B1060,[1]!Table13[QTY]))</f>
        <v>#ERROR!</v>
      </c>
      <c r="J1060" s="53" t="str">
        <f>TABLEITEM!$H$3:$H$1138-TABLEITEM!$I$3:$I$1138</f>
        <v>#ERROR!</v>
      </c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8.0" hidden="1" customHeight="1">
      <c r="A1061" s="47"/>
      <c r="B1061" s="2" t="s">
        <v>2189</v>
      </c>
      <c r="C1061" s="2"/>
      <c r="D1061" s="2" t="s">
        <v>4024</v>
      </c>
      <c r="E1061" s="51" t="s">
        <v>3087</v>
      </c>
      <c r="F1061" s="47"/>
      <c r="G1061" s="52">
        <f t="array" ref="G1061">MAX(IF(INSTOCK!$H$2:$H$2025=B1061,INSTOCK!$K$2:$K$2025))</f>
        <v>25</v>
      </c>
      <c r="H1061" s="53">
        <f>SUM(IF(INSTOCK!$H$2:$H$2025=B1061,INSTOCK!$I$2:$I$2025))</f>
        <v>0</v>
      </c>
      <c r="I1061" s="53" t="str">
        <f>SUM(IF([1]!Table13[ID]=B1061,[1]!Table13[QTY]))</f>
        <v>#ERROR!</v>
      </c>
      <c r="J1061" s="53" t="str">
        <f>TABLEITEM!$H$3:$H$1138-TABLEITEM!$I$3:$I$1138</f>
        <v>#ERROR!</v>
      </c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8.0" hidden="1" customHeight="1">
      <c r="A1062" s="47"/>
      <c r="B1062" s="2" t="s">
        <v>2190</v>
      </c>
      <c r="C1062" s="2"/>
      <c r="D1062" s="2" t="s">
        <v>4025</v>
      </c>
      <c r="E1062" s="51" t="s">
        <v>3087</v>
      </c>
      <c r="F1062" s="47"/>
      <c r="G1062" s="52">
        <f t="array" ref="G1062">MAX(IF(INSTOCK!$H$2:$H$2025=B1062,INSTOCK!$K$2:$K$2025))</f>
        <v>45</v>
      </c>
      <c r="H1062" s="53">
        <f>SUM(IF(INSTOCK!$H$2:$H$2025=B1062,INSTOCK!$I$2:$I$2025))</f>
        <v>0</v>
      </c>
      <c r="I1062" s="53" t="str">
        <f>SUM(IF([1]!Table13[ID]=B1062,[1]!Table13[QTY]))</f>
        <v>#ERROR!</v>
      </c>
      <c r="J1062" s="53" t="str">
        <f>TABLEITEM!$H$3:$H$1138-TABLEITEM!$I$3:$I$1138</f>
        <v>#ERROR!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8.0" hidden="1" customHeight="1">
      <c r="A1063" s="47"/>
      <c r="B1063" s="2" t="s">
        <v>2199</v>
      </c>
      <c r="C1063" s="2"/>
      <c r="D1063" s="2" t="s">
        <v>4026</v>
      </c>
      <c r="E1063" s="51" t="s">
        <v>3087</v>
      </c>
      <c r="F1063" s="47"/>
      <c r="G1063" s="52">
        <f t="array" ref="G1063">MAX(IF(INSTOCK!$H$2:$H$2025=B1063,INSTOCK!$K$2:$K$2025))</f>
        <v>35</v>
      </c>
      <c r="H1063" s="53">
        <f>SUM(IF(INSTOCK!$H$2:$H$2025=B1063,INSTOCK!$I$2:$I$2025))</f>
        <v>0</v>
      </c>
      <c r="I1063" s="53" t="str">
        <f>SUM(IF([1]!Table13[ID]=B1063,[1]!Table13[QTY]))</f>
        <v>#ERROR!</v>
      </c>
      <c r="J1063" s="53" t="str">
        <f>TABLEITEM!$H$3:$H$1138-TABLEITEM!$I$3:$I$1138</f>
        <v>#ERROR!</v>
      </c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8.0" hidden="1" customHeight="1">
      <c r="A1064" s="47"/>
      <c r="B1064" s="2" t="s">
        <v>2202</v>
      </c>
      <c r="C1064" s="2"/>
      <c r="D1064" s="2" t="s">
        <v>4027</v>
      </c>
      <c r="E1064" s="51" t="s">
        <v>3087</v>
      </c>
      <c r="F1064" s="47"/>
      <c r="G1064" s="52">
        <f t="array" ref="G1064">MAX(IF(INSTOCK!$H$2:$H$2025=B1064,INSTOCK!$K$2:$K$2025))</f>
        <v>56</v>
      </c>
      <c r="H1064" s="53">
        <f>SUM(IF(INSTOCK!$H$2:$H$2025=B1064,INSTOCK!$I$2:$I$2025))</f>
        <v>0</v>
      </c>
      <c r="I1064" s="53" t="str">
        <f>SUM(IF([1]!Table13[ID]=B1064,[1]!Table13[QTY]))</f>
        <v>#ERROR!</v>
      </c>
      <c r="J1064" s="53" t="str">
        <f>TABLEITEM!$H$3:$H$1138-TABLEITEM!$I$3:$I$1138</f>
        <v>#ERROR!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8.0" hidden="1" customHeight="1">
      <c r="A1065" s="47"/>
      <c r="B1065" s="2" t="s">
        <v>2205</v>
      </c>
      <c r="C1065" s="2"/>
      <c r="D1065" s="2" t="s">
        <v>4028</v>
      </c>
      <c r="E1065" s="51" t="s">
        <v>3087</v>
      </c>
      <c r="F1065" s="47"/>
      <c r="G1065" s="52">
        <f t="array" ref="G1065">MAX(IF(INSTOCK!$H$2:$H$2025=B1065,INSTOCK!$K$2:$K$2025))</f>
        <v>30</v>
      </c>
      <c r="H1065" s="53">
        <f>SUM(IF(INSTOCK!$H$2:$H$2025=B1065,INSTOCK!$I$2:$I$2025))</f>
        <v>0</v>
      </c>
      <c r="I1065" s="53" t="str">
        <f>SUM(IF([1]!Table13[ID]=B1065,[1]!Table13[QTY]))</f>
        <v>#ERROR!</v>
      </c>
      <c r="J1065" s="53" t="str">
        <f>TABLEITEM!$H$3:$H$1138-TABLEITEM!$I$3:$I$1138</f>
        <v>#ERROR!</v>
      </c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8.0" hidden="1" customHeight="1">
      <c r="A1066" s="47"/>
      <c r="B1066" s="2" t="s">
        <v>2207</v>
      </c>
      <c r="C1066" s="2"/>
      <c r="D1066" s="2" t="s">
        <v>4029</v>
      </c>
      <c r="E1066" s="51" t="s">
        <v>3087</v>
      </c>
      <c r="F1066" s="47"/>
      <c r="G1066" s="52">
        <f t="array" ref="G1066">MAX(IF(INSTOCK!$H$2:$H$2025=B1066,INSTOCK!$K$2:$K$2025))</f>
        <v>45</v>
      </c>
      <c r="H1066" s="53">
        <f>SUM(IF(INSTOCK!$H$2:$H$2025=B1066,INSTOCK!$I$2:$I$2025))</f>
        <v>0</v>
      </c>
      <c r="I1066" s="53" t="str">
        <f>SUM(IF([1]!Table13[ID]=B1066,[1]!Table13[QTY]))</f>
        <v>#ERROR!</v>
      </c>
      <c r="J1066" s="53" t="str">
        <f>TABLEITEM!$H$3:$H$1138-TABLEITEM!$I$3:$I$1138</f>
        <v>#ERROR!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8.0" hidden="1" customHeight="1">
      <c r="A1067" s="47"/>
      <c r="B1067" s="2" t="s">
        <v>2222</v>
      </c>
      <c r="C1067" s="2"/>
      <c r="D1067" s="2" t="s">
        <v>4030</v>
      </c>
      <c r="E1067" s="51" t="s">
        <v>3087</v>
      </c>
      <c r="F1067" s="47"/>
      <c r="G1067" s="52">
        <f t="array" ref="G1067">MAX(IF(INSTOCK!$H$2:$H$2025=B1067,INSTOCK!$K$2:$K$2025))</f>
        <v>150</v>
      </c>
      <c r="H1067" s="53">
        <f>SUM(IF(INSTOCK!$H$2:$H$2025=B1067,INSTOCK!$I$2:$I$2025))</f>
        <v>0</v>
      </c>
      <c r="I1067" s="53" t="str">
        <f>SUM(IF([1]!Table13[ID]=B1067,[1]!Table13[QTY]))</f>
        <v>#ERROR!</v>
      </c>
      <c r="J1067" s="53" t="str">
        <f>TABLEITEM!$H$3:$H$1138-TABLEITEM!$I$3:$I$1138</f>
        <v>#ERROR!</v>
      </c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8.0" hidden="1" customHeight="1">
      <c r="A1068" s="47"/>
      <c r="B1068" s="2" t="s">
        <v>2224</v>
      </c>
      <c r="C1068" s="2"/>
      <c r="D1068" s="2" t="s">
        <v>4031</v>
      </c>
      <c r="E1068" s="51" t="s">
        <v>3087</v>
      </c>
      <c r="F1068" s="47"/>
      <c r="G1068" s="52">
        <f t="array" ref="G1068">MAX(IF(INSTOCK!$H$2:$H$2025=B1068,INSTOCK!$K$2:$K$2025))</f>
        <v>75</v>
      </c>
      <c r="H1068" s="53">
        <f>SUM(IF(INSTOCK!$H$2:$H$2025=B1068,INSTOCK!$I$2:$I$2025))</f>
        <v>0</v>
      </c>
      <c r="I1068" s="53" t="str">
        <f>SUM(IF([1]!Table13[ID]=B1068,[1]!Table13[QTY]))</f>
        <v>#ERROR!</v>
      </c>
      <c r="J1068" s="53" t="str">
        <f>TABLEITEM!$H$3:$H$1138-TABLEITEM!$I$3:$I$1138</f>
        <v>#ERROR!</v>
      </c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8.0" hidden="1" customHeight="1">
      <c r="A1069" s="47"/>
      <c r="B1069" s="2" t="s">
        <v>2227</v>
      </c>
      <c r="C1069" s="2"/>
      <c r="D1069" s="2" t="s">
        <v>4032</v>
      </c>
      <c r="E1069" s="51" t="s">
        <v>3087</v>
      </c>
      <c r="F1069" s="47"/>
      <c r="G1069" s="52">
        <f t="array" ref="G1069">MAX(IF(INSTOCK!$H$2:$H$2025=B1069,INSTOCK!$K$2:$K$2025))</f>
        <v>35</v>
      </c>
      <c r="H1069" s="53">
        <f>SUM(IF(INSTOCK!$H$2:$H$2025=B1069,INSTOCK!$I$2:$I$2025))</f>
        <v>0</v>
      </c>
      <c r="I1069" s="53" t="str">
        <f>SUM(IF([1]!Table13[ID]=B1069,[1]!Table13[QTY]))</f>
        <v>#ERROR!</v>
      </c>
      <c r="J1069" s="53" t="str">
        <f>TABLEITEM!$H$3:$H$1138-TABLEITEM!$I$3:$I$1138</f>
        <v>#ERROR!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8.0" hidden="1" customHeight="1">
      <c r="A1070" s="47"/>
      <c r="B1070" s="2" t="s">
        <v>2229</v>
      </c>
      <c r="C1070" s="2"/>
      <c r="D1070" s="2" t="s">
        <v>4033</v>
      </c>
      <c r="E1070" s="51" t="s">
        <v>3087</v>
      </c>
      <c r="F1070" s="47"/>
      <c r="G1070" s="52">
        <f t="array" ref="G1070">MAX(IF(INSTOCK!$H$2:$H$2025=B1070,INSTOCK!$K$2:$K$2025))</f>
        <v>30</v>
      </c>
      <c r="H1070" s="53">
        <f>SUM(IF(INSTOCK!$H$2:$H$2025=B1070,INSTOCK!$I$2:$I$2025))</f>
        <v>0</v>
      </c>
      <c r="I1070" s="53" t="str">
        <f>SUM(IF([1]!Table13[ID]=B1070,[1]!Table13[QTY]))</f>
        <v>#ERROR!</v>
      </c>
      <c r="J1070" s="53" t="str">
        <f>TABLEITEM!$H$3:$H$1138-TABLEITEM!$I$3:$I$1138</f>
        <v>#ERROR!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8.0" hidden="1" customHeight="1">
      <c r="A1071" s="47"/>
      <c r="B1071" s="2" t="s">
        <v>2232</v>
      </c>
      <c r="C1071" s="2"/>
      <c r="D1071" s="2" t="s">
        <v>4034</v>
      </c>
      <c r="E1071" s="51" t="s">
        <v>3087</v>
      </c>
      <c r="F1071" s="47"/>
      <c r="G1071" s="52">
        <f t="array" ref="G1071">MAX(IF(INSTOCK!$H$2:$H$2025=B1071,INSTOCK!$K$2:$K$2025))</f>
        <v>180</v>
      </c>
      <c r="H1071" s="53">
        <f>SUM(IF(INSTOCK!$H$2:$H$2025=B1071,INSTOCK!$I$2:$I$2025))</f>
        <v>0</v>
      </c>
      <c r="I1071" s="53" t="str">
        <f>SUM(IF([1]!Table13[ID]=B1071,[1]!Table13[QTY]))</f>
        <v>#ERROR!</v>
      </c>
      <c r="J1071" s="53" t="str">
        <f>TABLEITEM!$H$3:$H$1138-TABLEITEM!$I$3:$I$1138</f>
        <v>#ERROR!</v>
      </c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8.0" hidden="1" customHeight="1">
      <c r="A1072" s="47"/>
      <c r="B1072" s="2" t="s">
        <v>2233</v>
      </c>
      <c r="C1072" s="2"/>
      <c r="D1072" s="2" t="s">
        <v>4035</v>
      </c>
      <c r="E1072" s="51" t="s">
        <v>3087</v>
      </c>
      <c r="F1072" s="47"/>
      <c r="G1072" s="52">
        <f t="array" ref="G1072">MAX(IF(INSTOCK!$H$2:$H$2025=B1072,INSTOCK!$K$2:$K$2025))</f>
        <v>90</v>
      </c>
      <c r="H1072" s="53">
        <f>SUM(IF(INSTOCK!$H$2:$H$2025=B1072,INSTOCK!$I$2:$I$2025))</f>
        <v>0</v>
      </c>
      <c r="I1072" s="53" t="str">
        <f>SUM(IF([1]!Table13[ID]=B1072,[1]!Table13[QTY]))</f>
        <v>#ERROR!</v>
      </c>
      <c r="J1072" s="53" t="str">
        <f>TABLEITEM!$H$3:$H$1138-TABLEITEM!$I$3:$I$1138</f>
        <v>#ERROR!</v>
      </c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8.0" hidden="1" customHeight="1">
      <c r="A1073" s="47"/>
      <c r="B1073" s="2" t="s">
        <v>4036</v>
      </c>
      <c r="C1073" s="2"/>
      <c r="D1073" s="2" t="s">
        <v>4037</v>
      </c>
      <c r="E1073" s="51" t="s">
        <v>4038</v>
      </c>
      <c r="F1073" s="47"/>
      <c r="G1073" s="52">
        <f t="array" ref="G1073">MAX(IF(INSTOCK!$H$2:$H$2025=B1073,INSTOCK!$K$2:$K$2025))</f>
        <v>0</v>
      </c>
      <c r="H1073" s="53">
        <f>SUM(IF(INSTOCK!$H$2:$H$2025=B1073,INSTOCK!$I$2:$I$2025))</f>
        <v>0</v>
      </c>
      <c r="I1073" s="53" t="str">
        <f>SUM(IF([1]!Table13[ID]=B1073,[1]!Table13[QTY]))</f>
        <v>#ERROR!</v>
      </c>
      <c r="J1073" s="53" t="str">
        <f>TABLEITEM!$H$3:$H$1138-TABLEITEM!$I$3:$I$1138</f>
        <v>#ERROR!</v>
      </c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8.0" hidden="1" customHeight="1">
      <c r="A1074" s="47"/>
      <c r="B1074" s="2" t="s">
        <v>2264</v>
      </c>
      <c r="C1074" s="2"/>
      <c r="D1074" s="2" t="s">
        <v>4039</v>
      </c>
      <c r="E1074" s="51" t="s">
        <v>3087</v>
      </c>
      <c r="F1074" s="47"/>
      <c r="G1074" s="52">
        <f t="array" ref="G1074">MAX(IF(INSTOCK!$H$2:$H$2025=B1074,INSTOCK!$K$2:$K$2025))</f>
        <v>150</v>
      </c>
      <c r="H1074" s="53">
        <f>SUM(IF(INSTOCK!$H$2:$H$2025=B1074,INSTOCK!$I$2:$I$2025))</f>
        <v>0</v>
      </c>
      <c r="I1074" s="53" t="str">
        <f>SUM(IF([1]!Table13[ID]=B1074,[1]!Table13[QTY]))</f>
        <v>#ERROR!</v>
      </c>
      <c r="J1074" s="53" t="str">
        <f>TABLEITEM!$H$3:$H$1138-TABLEITEM!$I$3:$I$1138</f>
        <v>#ERROR!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8.0" hidden="1" customHeight="1">
      <c r="A1075" s="47"/>
      <c r="B1075" s="2" t="s">
        <v>2267</v>
      </c>
      <c r="C1075" s="2"/>
      <c r="D1075" s="2" t="s">
        <v>4040</v>
      </c>
      <c r="E1075" s="51" t="s">
        <v>3087</v>
      </c>
      <c r="F1075" s="47"/>
      <c r="G1075" s="52">
        <f t="array" ref="G1075">MAX(IF(INSTOCK!$H$2:$H$2025=B1075,INSTOCK!$K$2:$K$2025))</f>
        <v>113</v>
      </c>
      <c r="H1075" s="53">
        <f>SUM(IF(INSTOCK!$H$2:$H$2025=B1075,INSTOCK!$I$2:$I$2025))</f>
        <v>0</v>
      </c>
      <c r="I1075" s="53" t="str">
        <f>SUM(IF([1]!Table13[ID]=B1075,[1]!Table13[QTY]))</f>
        <v>#ERROR!</v>
      </c>
      <c r="J1075" s="53" t="str">
        <f>TABLEITEM!$H$3:$H$1138-TABLEITEM!$I$3:$I$1138</f>
        <v>#ERROR!</v>
      </c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8.0" hidden="1" customHeight="1">
      <c r="A1076" s="47"/>
      <c r="B1076" s="2" t="s">
        <v>2270</v>
      </c>
      <c r="C1076" s="2"/>
      <c r="D1076" s="2" t="s">
        <v>4041</v>
      </c>
      <c r="E1076" s="51" t="s">
        <v>3087</v>
      </c>
      <c r="F1076" s="47"/>
      <c r="G1076" s="52">
        <f t="array" ref="G1076">MAX(IF(INSTOCK!$H$2:$H$2025=B1076,INSTOCK!$K$2:$K$2025))</f>
        <v>30</v>
      </c>
      <c r="H1076" s="53">
        <f>SUM(IF(INSTOCK!$H$2:$H$2025=B1076,INSTOCK!$I$2:$I$2025))</f>
        <v>0</v>
      </c>
      <c r="I1076" s="53" t="str">
        <f>SUM(IF([1]!Table13[ID]=B1076,[1]!Table13[QTY]))</f>
        <v>#ERROR!</v>
      </c>
      <c r="J1076" s="53" t="str">
        <f>TABLEITEM!$H$3:$H$1138-TABLEITEM!$I$3:$I$1138</f>
        <v>#ERROR!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8.0" hidden="1" customHeight="1">
      <c r="A1077" s="47"/>
      <c r="B1077" s="2" t="s">
        <v>2273</v>
      </c>
      <c r="C1077" s="2"/>
      <c r="D1077" s="2" t="s">
        <v>4042</v>
      </c>
      <c r="E1077" s="51" t="s">
        <v>3087</v>
      </c>
      <c r="F1077" s="47"/>
      <c r="G1077" s="52">
        <f t="array" ref="G1077">MAX(IF(INSTOCK!$H$2:$H$2025=B1077,INSTOCK!$K$2:$K$2025))</f>
        <v>90</v>
      </c>
      <c r="H1077" s="53">
        <f>SUM(IF(INSTOCK!$H$2:$H$2025=B1077,INSTOCK!$I$2:$I$2025))</f>
        <v>0</v>
      </c>
      <c r="I1077" s="53" t="str">
        <f>SUM(IF([1]!Table13[ID]=B1077,[1]!Table13[QTY]))</f>
        <v>#ERROR!</v>
      </c>
      <c r="J1077" s="53" t="str">
        <f>TABLEITEM!$H$3:$H$1138-TABLEITEM!$I$3:$I$1138</f>
        <v>#ERROR!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8.0" hidden="1" customHeight="1">
      <c r="A1078" s="47"/>
      <c r="B1078" s="2" t="s">
        <v>2276</v>
      </c>
      <c r="C1078" s="2"/>
      <c r="D1078" s="2" t="s">
        <v>4043</v>
      </c>
      <c r="E1078" s="51" t="s">
        <v>3087</v>
      </c>
      <c r="F1078" s="47"/>
      <c r="G1078" s="52">
        <f t="array" ref="G1078">MAX(IF(INSTOCK!$H$2:$H$2025=B1078,INSTOCK!$K$2:$K$2025))</f>
        <v>67</v>
      </c>
      <c r="H1078" s="53">
        <f>SUM(IF(INSTOCK!$H$2:$H$2025=B1078,INSTOCK!$I$2:$I$2025))</f>
        <v>0</v>
      </c>
      <c r="I1078" s="53" t="str">
        <f>SUM(IF([1]!Table13[ID]=B1078,[1]!Table13[QTY]))</f>
        <v>#ERROR!</v>
      </c>
      <c r="J1078" s="53" t="str">
        <f>TABLEITEM!$H$3:$H$1138-TABLEITEM!$I$3:$I$1138</f>
        <v>#ERROR!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8.0" hidden="1" customHeight="1">
      <c r="A1079" s="47"/>
      <c r="B1079" s="2" t="s">
        <v>2277</v>
      </c>
      <c r="C1079" s="2"/>
      <c r="D1079" s="2" t="s">
        <v>4044</v>
      </c>
      <c r="E1079" s="51" t="s">
        <v>3087</v>
      </c>
      <c r="F1079" s="47"/>
      <c r="G1079" s="52">
        <f t="array" ref="G1079">MAX(IF(INSTOCK!$H$2:$H$2025=B1079,INSTOCK!$K$2:$K$2025))</f>
        <v>135</v>
      </c>
      <c r="H1079" s="53">
        <f>SUM(IF(INSTOCK!$H$2:$H$2025=B1079,INSTOCK!$I$2:$I$2025))</f>
        <v>0</v>
      </c>
      <c r="I1079" s="53" t="str">
        <f>SUM(IF([1]!Table13[ID]=B1079,[1]!Table13[QTY]))</f>
        <v>#ERROR!</v>
      </c>
      <c r="J1079" s="53" t="str">
        <f>TABLEITEM!$H$3:$H$1138-TABLEITEM!$I$3:$I$1138</f>
        <v>#ERROR!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8.0" hidden="1" customHeight="1">
      <c r="A1080" s="47"/>
      <c r="B1080" s="2" t="s">
        <v>2281</v>
      </c>
      <c r="C1080" s="2"/>
      <c r="D1080" s="2" t="s">
        <v>4045</v>
      </c>
      <c r="E1080" s="51" t="s">
        <v>3610</v>
      </c>
      <c r="F1080" s="47"/>
      <c r="G1080" s="52">
        <f t="array" ref="G1080">MAX(IF(INSTOCK!$H$2:$H$2025=B1080,INSTOCK!$K$2:$K$2025))</f>
        <v>140</v>
      </c>
      <c r="H1080" s="53">
        <f>SUM(IF(INSTOCK!$H$2:$H$2025=B1080,INSTOCK!$I$2:$I$2025))</f>
        <v>0</v>
      </c>
      <c r="I1080" s="53" t="str">
        <f>SUM(IF([1]!Table13[ID]=B1080,[1]!Table13[QTY]))</f>
        <v>#ERROR!</v>
      </c>
      <c r="J1080" s="53" t="str">
        <f>TABLEITEM!$H$3:$H$1138-TABLEITEM!$I$3:$I$1138</f>
        <v>#ERROR!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8.0" hidden="1" customHeight="1">
      <c r="A1081" s="47"/>
      <c r="B1081" s="2" t="s">
        <v>2292</v>
      </c>
      <c r="C1081" s="2"/>
      <c r="D1081" s="2" t="s">
        <v>4046</v>
      </c>
      <c r="E1081" s="51" t="s">
        <v>3610</v>
      </c>
      <c r="F1081" s="47"/>
      <c r="G1081" s="52">
        <f t="array" ref="G1081">MAX(IF(INSTOCK!$H$2:$H$2025=B1081,INSTOCK!$K$2:$K$2025))</f>
        <v>150</v>
      </c>
      <c r="H1081" s="53">
        <f>SUM(IF(INSTOCK!$H$2:$H$2025=B1081,INSTOCK!$I$2:$I$2025))</f>
        <v>0</v>
      </c>
      <c r="I1081" s="53" t="str">
        <f>SUM(IF([1]!Table13[ID]=B1081,[1]!Table13[QTY]))</f>
        <v>#ERROR!</v>
      </c>
      <c r="J1081" s="53" t="str">
        <f>TABLEITEM!$H$3:$H$1138-TABLEITEM!$I$3:$I$1138</f>
        <v>#ERROR!</v>
      </c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8.0" hidden="1" customHeight="1">
      <c r="A1082" s="47"/>
      <c r="B1082" s="2" t="s">
        <v>2296</v>
      </c>
      <c r="C1082" s="2"/>
      <c r="D1082" s="2" t="s">
        <v>4047</v>
      </c>
      <c r="E1082" s="51" t="s">
        <v>3087</v>
      </c>
      <c r="F1082" s="47"/>
      <c r="G1082" s="52">
        <f t="array" ref="G1082">MAX(IF(INSTOCK!$H$2:$H$2025=B1082,INSTOCK!$K$2:$K$2025))</f>
        <v>38</v>
      </c>
      <c r="H1082" s="53">
        <f>SUM(IF(INSTOCK!$H$2:$H$2025=B1082,INSTOCK!$I$2:$I$2025))</f>
        <v>0</v>
      </c>
      <c r="I1082" s="53" t="str">
        <f>SUM(IF([1]!Table13[ID]=B1082,[1]!Table13[QTY]))</f>
        <v>#ERROR!</v>
      </c>
      <c r="J1082" s="53" t="str">
        <f>TABLEITEM!$H$3:$H$1138-TABLEITEM!$I$3:$I$1138</f>
        <v>#ERROR!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8.0" hidden="1" customHeight="1">
      <c r="A1083" s="47"/>
      <c r="B1083" s="2" t="s">
        <v>2301</v>
      </c>
      <c r="C1083" s="2"/>
      <c r="D1083" s="2" t="s">
        <v>4048</v>
      </c>
      <c r="E1083" s="51" t="s">
        <v>3087</v>
      </c>
      <c r="F1083" s="47"/>
      <c r="G1083" s="52">
        <f t="array" ref="G1083">MAX(IF(INSTOCK!$H$2:$H$2025=B1083,INSTOCK!$K$2:$K$2025))</f>
        <v>35</v>
      </c>
      <c r="H1083" s="53">
        <f>SUM(IF(INSTOCK!$H$2:$H$2025=B1083,INSTOCK!$I$2:$I$2025))</f>
        <v>0</v>
      </c>
      <c r="I1083" s="53" t="str">
        <f>SUM(IF([1]!Table13[ID]=B1083,[1]!Table13[QTY]))</f>
        <v>#ERROR!</v>
      </c>
      <c r="J1083" s="53" t="str">
        <f>TABLEITEM!$H$3:$H$1138-TABLEITEM!$I$3:$I$1138</f>
        <v>#ERROR!</v>
      </c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8.0" hidden="1" customHeight="1">
      <c r="A1084" s="47"/>
      <c r="B1084" s="2" t="s">
        <v>2304</v>
      </c>
      <c r="C1084" s="2"/>
      <c r="D1084" s="2" t="s">
        <v>4049</v>
      </c>
      <c r="E1084" s="51" t="s">
        <v>3087</v>
      </c>
      <c r="F1084" s="47"/>
      <c r="G1084" s="52">
        <f t="array" ref="G1084">MAX(IF(INSTOCK!$H$2:$H$2025=B1084,INSTOCK!$K$2:$K$2025))</f>
        <v>67</v>
      </c>
      <c r="H1084" s="53">
        <f>SUM(IF(INSTOCK!$H$2:$H$2025=B1084,INSTOCK!$I$2:$I$2025))</f>
        <v>0</v>
      </c>
      <c r="I1084" s="53" t="str">
        <f>SUM(IF([1]!Table13[ID]=B1084,[1]!Table13[QTY]))</f>
        <v>#ERROR!</v>
      </c>
      <c r="J1084" s="53" t="str">
        <f>TABLEITEM!$H$3:$H$1138-TABLEITEM!$I$3:$I$1138</f>
        <v>#ERROR!</v>
      </c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8.0" hidden="1" customHeight="1">
      <c r="A1085" s="47"/>
      <c r="B1085" s="2" t="s">
        <v>2305</v>
      </c>
      <c r="C1085" s="2"/>
      <c r="D1085" s="2" t="s">
        <v>4050</v>
      </c>
      <c r="E1085" s="51" t="s">
        <v>3087</v>
      </c>
      <c r="F1085" s="47"/>
      <c r="G1085" s="52">
        <f t="array" ref="G1085">MAX(IF(INSTOCK!$H$2:$H$2025=B1085,INSTOCK!$K$2:$K$2025))</f>
        <v>60</v>
      </c>
      <c r="H1085" s="53">
        <f>SUM(IF(INSTOCK!$H$2:$H$2025=B1085,INSTOCK!$I$2:$I$2025))</f>
        <v>0</v>
      </c>
      <c r="I1085" s="53" t="str">
        <f>SUM(IF([1]!Table13[ID]=B1085,[1]!Table13[QTY]))</f>
        <v>#ERROR!</v>
      </c>
      <c r="J1085" s="53" t="str">
        <f>TABLEITEM!$H$3:$H$1138-TABLEITEM!$I$3:$I$1138</f>
        <v>#ERROR!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8.0" hidden="1" customHeight="1">
      <c r="A1086" s="47"/>
      <c r="B1086" s="2" t="s">
        <v>2306</v>
      </c>
      <c r="C1086" s="2"/>
      <c r="D1086" s="2" t="s">
        <v>4051</v>
      </c>
      <c r="E1086" s="51" t="s">
        <v>3087</v>
      </c>
      <c r="F1086" s="47"/>
      <c r="G1086" s="52">
        <f t="array" ref="G1086">MAX(IF(INSTOCK!$H$2:$H$2025=B1086,INSTOCK!$K$2:$K$2025))</f>
        <v>90</v>
      </c>
      <c r="H1086" s="53">
        <f>SUM(IF(INSTOCK!$H$2:$H$2025=B1086,INSTOCK!$I$2:$I$2025))</f>
        <v>0</v>
      </c>
      <c r="I1086" s="53" t="str">
        <f>SUM(IF([1]!Table13[ID]=B1086,[1]!Table13[QTY]))</f>
        <v>#ERROR!</v>
      </c>
      <c r="J1086" s="53" t="str">
        <f>TABLEITEM!$H$3:$H$1138-TABLEITEM!$I$3:$I$1138</f>
        <v>#ERROR!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8.0" hidden="1" customHeight="1">
      <c r="A1087" s="47"/>
      <c r="B1087" s="2" t="s">
        <v>2317</v>
      </c>
      <c r="C1087" s="2"/>
      <c r="D1087" s="2" t="s">
        <v>4052</v>
      </c>
      <c r="E1087" s="51" t="s">
        <v>3087</v>
      </c>
      <c r="F1087" s="47"/>
      <c r="G1087" s="52">
        <f t="array" ref="G1087">MAX(IF(INSTOCK!$H$2:$H$2025=B1087,INSTOCK!$K$2:$K$2025))</f>
        <v>350</v>
      </c>
      <c r="H1087" s="53">
        <f>SUM(IF(INSTOCK!$H$2:$H$2025=B1087,INSTOCK!$I$2:$I$2025))</f>
        <v>0</v>
      </c>
      <c r="I1087" s="53" t="str">
        <f>SUM(IF([1]!Table13[ID]=B1087,[1]!Table13[QTY]))</f>
        <v>#ERROR!</v>
      </c>
      <c r="J1087" s="53" t="str">
        <f>TABLEITEM!$H$3:$H$1138-TABLEITEM!$I$3:$I$1138</f>
        <v>#ERROR!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8.0" hidden="1" customHeight="1">
      <c r="A1088" s="47"/>
      <c r="B1088" s="2" t="s">
        <v>2318</v>
      </c>
      <c r="C1088" s="2"/>
      <c r="D1088" s="2" t="s">
        <v>4053</v>
      </c>
      <c r="E1088" s="51" t="s">
        <v>3087</v>
      </c>
      <c r="F1088" s="47"/>
      <c r="G1088" s="52">
        <f t="array" ref="G1088">MAX(IF(INSTOCK!$H$2:$H$2025=B1088,INSTOCK!$K$2:$K$2025))</f>
        <v>800</v>
      </c>
      <c r="H1088" s="53">
        <f>SUM(IF(INSTOCK!$H$2:$H$2025=B1088,INSTOCK!$I$2:$I$2025))</f>
        <v>0</v>
      </c>
      <c r="I1088" s="53" t="str">
        <f>SUM(IF([1]!Table13[ID]=B1088,[1]!Table13[QTY]))</f>
        <v>#ERROR!</v>
      </c>
      <c r="J1088" s="53" t="str">
        <f>TABLEITEM!$H$3:$H$1138-TABLEITEM!$I$3:$I$1138</f>
        <v>#ERROR!</v>
      </c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8.0" hidden="1" customHeight="1">
      <c r="A1089" s="47"/>
      <c r="B1089" s="2" t="s">
        <v>2324</v>
      </c>
      <c r="C1089" s="2"/>
      <c r="D1089" s="2" t="s">
        <v>4054</v>
      </c>
      <c r="E1089" s="51" t="s">
        <v>3087</v>
      </c>
      <c r="F1089" s="47"/>
      <c r="G1089" s="52">
        <f t="array" ref="G1089">MAX(IF(INSTOCK!$H$2:$H$2025=B1089,INSTOCK!$K$2:$K$2025))</f>
        <v>25</v>
      </c>
      <c r="H1089" s="53">
        <f>SUM(IF(INSTOCK!$H$2:$H$2025=B1089,INSTOCK!$I$2:$I$2025))</f>
        <v>0</v>
      </c>
      <c r="I1089" s="53" t="str">
        <f>SUM(IF([1]!Table13[ID]=B1089,[1]!Table13[QTY]))</f>
        <v>#ERROR!</v>
      </c>
      <c r="J1089" s="53" t="str">
        <f>TABLEITEM!$H$3:$H$1138-TABLEITEM!$I$3:$I$1138</f>
        <v>#ERROR!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8.0" hidden="1" customHeight="1">
      <c r="A1090" s="47"/>
      <c r="B1090" s="2" t="s">
        <v>2327</v>
      </c>
      <c r="C1090" s="2"/>
      <c r="D1090" s="2" t="s">
        <v>4055</v>
      </c>
      <c r="E1090" s="51" t="s">
        <v>3087</v>
      </c>
      <c r="F1090" s="47"/>
      <c r="G1090" s="52">
        <f t="array" ref="G1090">MAX(IF(INSTOCK!$H$2:$H$2025=B1090,INSTOCK!$K$2:$K$2025))</f>
        <v>25</v>
      </c>
      <c r="H1090" s="53">
        <f>SUM(IF(INSTOCK!$H$2:$H$2025=B1090,INSTOCK!$I$2:$I$2025))</f>
        <v>0</v>
      </c>
      <c r="I1090" s="53" t="str">
        <f>SUM(IF([1]!Table13[ID]=B1090,[1]!Table13[QTY]))</f>
        <v>#ERROR!</v>
      </c>
      <c r="J1090" s="53" t="str">
        <f>TABLEITEM!$H$3:$H$1138-TABLEITEM!$I$3:$I$1138</f>
        <v>#ERROR!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8.0" hidden="1" customHeight="1">
      <c r="A1091" s="47"/>
      <c r="B1091" s="2" t="s">
        <v>2330</v>
      </c>
      <c r="C1091" s="2"/>
      <c r="D1091" s="2" t="s">
        <v>4056</v>
      </c>
      <c r="E1091" s="51" t="s">
        <v>3087</v>
      </c>
      <c r="F1091" s="47"/>
      <c r="G1091" s="52">
        <f t="array" ref="G1091">MAX(IF(INSTOCK!$H$2:$H$2025=B1091,INSTOCK!$K$2:$K$2025))</f>
        <v>25</v>
      </c>
      <c r="H1091" s="53">
        <f>SUM(IF(INSTOCK!$H$2:$H$2025=B1091,INSTOCK!$I$2:$I$2025))</f>
        <v>0</v>
      </c>
      <c r="I1091" s="53" t="str">
        <f>SUM(IF([1]!Table13[ID]=B1091,[1]!Table13[QTY]))</f>
        <v>#ERROR!</v>
      </c>
      <c r="J1091" s="53" t="str">
        <f>TABLEITEM!$H$3:$H$1138-TABLEITEM!$I$3:$I$1138</f>
        <v>#ERROR!</v>
      </c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8.0" hidden="1" customHeight="1">
      <c r="A1092" s="47"/>
      <c r="B1092" s="2" t="s">
        <v>2333</v>
      </c>
      <c r="C1092" s="2"/>
      <c r="D1092" s="2" t="s">
        <v>4057</v>
      </c>
      <c r="E1092" s="51" t="s">
        <v>3087</v>
      </c>
      <c r="F1092" s="47"/>
      <c r="G1092" s="52">
        <f t="array" ref="G1092">MAX(IF(INSTOCK!$H$2:$H$2025=B1092,INSTOCK!$K$2:$K$2025))</f>
        <v>90</v>
      </c>
      <c r="H1092" s="53">
        <f>SUM(IF(INSTOCK!$H$2:$H$2025=B1092,INSTOCK!$I$2:$I$2025))</f>
        <v>0</v>
      </c>
      <c r="I1092" s="53" t="str">
        <f>SUM(IF([1]!Table13[ID]=B1092,[1]!Table13[QTY]))</f>
        <v>#ERROR!</v>
      </c>
      <c r="J1092" s="53" t="str">
        <f>TABLEITEM!$H$3:$H$1138-TABLEITEM!$I$3:$I$1138</f>
        <v>#ERROR!</v>
      </c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8.0" hidden="1" customHeight="1">
      <c r="A1093" s="47"/>
      <c r="B1093" s="2" t="s">
        <v>2336</v>
      </c>
      <c r="C1093" s="2"/>
      <c r="D1093" s="2" t="s">
        <v>4058</v>
      </c>
      <c r="E1093" s="51" t="s">
        <v>3087</v>
      </c>
      <c r="F1093" s="47"/>
      <c r="G1093" s="52">
        <f t="array" ref="G1093">MAX(IF(INSTOCK!$H$2:$H$2025=B1093,INSTOCK!$K$2:$K$2025))</f>
        <v>120</v>
      </c>
      <c r="H1093" s="53">
        <f>SUM(IF(INSTOCK!$H$2:$H$2025=B1093,INSTOCK!$I$2:$I$2025))</f>
        <v>0</v>
      </c>
      <c r="I1093" s="53" t="str">
        <f>SUM(IF([1]!Table13[ID]=B1093,[1]!Table13[QTY]))</f>
        <v>#ERROR!</v>
      </c>
      <c r="J1093" s="53" t="str">
        <f>TABLEITEM!$H$3:$H$1138-TABLEITEM!$I$3:$I$1138</f>
        <v>#ERROR!</v>
      </c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8.0" hidden="1" customHeight="1">
      <c r="A1094" s="47"/>
      <c r="B1094" s="2" t="s">
        <v>2339</v>
      </c>
      <c r="C1094" s="2"/>
      <c r="D1094" s="2" t="s">
        <v>4059</v>
      </c>
      <c r="E1094" s="51" t="s">
        <v>3087</v>
      </c>
      <c r="F1094" s="47"/>
      <c r="G1094" s="52">
        <f t="array" ref="G1094">MAX(IF(INSTOCK!$H$2:$H$2025=B1094,INSTOCK!$K$2:$K$2025))</f>
        <v>150</v>
      </c>
      <c r="H1094" s="53">
        <f>SUM(IF(INSTOCK!$H$2:$H$2025=B1094,INSTOCK!$I$2:$I$2025))</f>
        <v>0</v>
      </c>
      <c r="I1094" s="53" t="str">
        <f>SUM(IF([1]!Table13[ID]=B1094,[1]!Table13[QTY]))</f>
        <v>#ERROR!</v>
      </c>
      <c r="J1094" s="53" t="str">
        <f>TABLEITEM!$H$3:$H$1138-TABLEITEM!$I$3:$I$1138</f>
        <v>#ERROR!</v>
      </c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8.0" hidden="1" customHeight="1">
      <c r="A1095" s="47"/>
      <c r="B1095" s="2" t="s">
        <v>2342</v>
      </c>
      <c r="C1095" s="2"/>
      <c r="D1095" s="2" t="s">
        <v>4060</v>
      </c>
      <c r="E1095" s="51" t="s">
        <v>3087</v>
      </c>
      <c r="F1095" s="47"/>
      <c r="G1095" s="52">
        <f t="array" ref="G1095">MAX(IF(INSTOCK!$H$2:$H$2025=B1095,INSTOCK!$K$2:$K$2025))</f>
        <v>60</v>
      </c>
      <c r="H1095" s="53">
        <f>SUM(IF(INSTOCK!$H$2:$H$2025=B1095,INSTOCK!$I$2:$I$2025))</f>
        <v>0</v>
      </c>
      <c r="I1095" s="53" t="str">
        <f>SUM(IF([1]!Table13[ID]=B1095,[1]!Table13[QTY]))</f>
        <v>#ERROR!</v>
      </c>
      <c r="J1095" s="53" t="str">
        <f>TABLEITEM!$H$3:$H$1138-TABLEITEM!$I$3:$I$1138</f>
        <v>#ERROR!</v>
      </c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8.0" hidden="1" customHeight="1">
      <c r="A1096" s="47"/>
      <c r="B1096" s="2" t="s">
        <v>2355</v>
      </c>
      <c r="C1096" s="2"/>
      <c r="D1096" s="2" t="s">
        <v>4061</v>
      </c>
      <c r="E1096" s="51" t="s">
        <v>3087</v>
      </c>
      <c r="F1096" s="47"/>
      <c r="G1096" s="52">
        <f t="array" ref="G1096">MAX(IF(INSTOCK!$H$2:$H$2025=B1096,INSTOCK!$K$2:$K$2025))</f>
        <v>30</v>
      </c>
      <c r="H1096" s="53">
        <f>SUM(IF(INSTOCK!$H$2:$H$2025=B1096,INSTOCK!$I$2:$I$2025))</f>
        <v>0</v>
      </c>
      <c r="I1096" s="53" t="str">
        <f>SUM(IF([1]!Table13[ID]=B1096,[1]!Table13[QTY]))</f>
        <v>#ERROR!</v>
      </c>
      <c r="J1096" s="53" t="str">
        <f>TABLEITEM!$H$3:$H$1138-TABLEITEM!$I$3:$I$1138</f>
        <v>#ERROR!</v>
      </c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8.0" hidden="1" customHeight="1">
      <c r="A1097" s="47"/>
      <c r="B1097" s="2" t="s">
        <v>2356</v>
      </c>
      <c r="C1097" s="2"/>
      <c r="D1097" s="2" t="s">
        <v>4062</v>
      </c>
      <c r="E1097" s="51" t="s">
        <v>3087</v>
      </c>
      <c r="F1097" s="47"/>
      <c r="G1097" s="52">
        <f t="array" ref="G1097">MAX(IF(INSTOCK!$H$2:$H$2025=B1097,INSTOCK!$K$2:$K$2025))</f>
        <v>30</v>
      </c>
      <c r="H1097" s="53">
        <f>SUM(IF(INSTOCK!$H$2:$H$2025=B1097,INSTOCK!$I$2:$I$2025))</f>
        <v>0</v>
      </c>
      <c r="I1097" s="53" t="str">
        <f>SUM(IF([1]!Table13[ID]=B1097,[1]!Table13[QTY]))</f>
        <v>#ERROR!</v>
      </c>
      <c r="J1097" s="53" t="str">
        <f>TABLEITEM!$H$3:$H$1138-TABLEITEM!$I$3:$I$1138</f>
        <v>#ERROR!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8.0" hidden="1" customHeight="1">
      <c r="A1098" s="47"/>
      <c r="B1098" s="2" t="s">
        <v>2357</v>
      </c>
      <c r="C1098" s="2"/>
      <c r="D1098" s="2" t="s">
        <v>4063</v>
      </c>
      <c r="E1098" s="51" t="s">
        <v>3087</v>
      </c>
      <c r="F1098" s="47"/>
      <c r="G1098" s="52">
        <f t="array" ref="G1098">MAX(IF(INSTOCK!$H$2:$H$2025=B1098,INSTOCK!$K$2:$K$2025))</f>
        <v>40</v>
      </c>
      <c r="H1098" s="53">
        <f>SUM(IF(INSTOCK!$H$2:$H$2025=B1098,INSTOCK!$I$2:$I$2025))</f>
        <v>0</v>
      </c>
      <c r="I1098" s="53" t="str">
        <f>SUM(IF([1]!Table13[ID]=B1098,[1]!Table13[QTY]))</f>
        <v>#ERROR!</v>
      </c>
      <c r="J1098" s="53" t="str">
        <f>TABLEITEM!$H$3:$H$1138-TABLEITEM!$I$3:$I$1138</f>
        <v>#ERROR!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8.0" hidden="1" customHeight="1">
      <c r="A1099" s="47"/>
      <c r="B1099" s="2" t="s">
        <v>2363</v>
      </c>
      <c r="C1099" s="2"/>
      <c r="D1099" s="2" t="s">
        <v>4064</v>
      </c>
      <c r="E1099" s="51" t="s">
        <v>3087</v>
      </c>
      <c r="F1099" s="47"/>
      <c r="G1099" s="52">
        <f t="array" ref="G1099">MAX(IF(INSTOCK!$H$2:$H$2025=B1099,INSTOCK!$K$2:$K$2025))</f>
        <v>90</v>
      </c>
      <c r="H1099" s="53">
        <f>SUM(IF(INSTOCK!$H$2:$H$2025=B1099,INSTOCK!$I$2:$I$2025))</f>
        <v>0</v>
      </c>
      <c r="I1099" s="53" t="str">
        <f>SUM(IF([1]!Table13[ID]=B1099,[1]!Table13[QTY]))</f>
        <v>#ERROR!</v>
      </c>
      <c r="J1099" s="53" t="str">
        <f>TABLEITEM!$H$3:$H$1138-TABLEITEM!$I$3:$I$1138</f>
        <v>#ERROR!</v>
      </c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8.0" hidden="1" customHeight="1">
      <c r="A1100" s="47"/>
      <c r="B1100" s="2" t="s">
        <v>2366</v>
      </c>
      <c r="C1100" s="2"/>
      <c r="D1100" s="2" t="s">
        <v>4065</v>
      </c>
      <c r="E1100" s="51" t="s">
        <v>3087</v>
      </c>
      <c r="F1100" s="47"/>
      <c r="G1100" s="52">
        <f t="array" ref="G1100">MAX(IF(INSTOCK!$H$2:$H$2025=B1100,INSTOCK!$K$2:$K$2025))</f>
        <v>180</v>
      </c>
      <c r="H1100" s="53">
        <f>SUM(IF(INSTOCK!$H$2:$H$2025=B1100,INSTOCK!$I$2:$I$2025))</f>
        <v>0</v>
      </c>
      <c r="I1100" s="53" t="str">
        <f>SUM(IF([1]!Table13[ID]=B1100,[1]!Table13[QTY]))</f>
        <v>#ERROR!</v>
      </c>
      <c r="J1100" s="53" t="str">
        <f>TABLEITEM!$H$3:$H$1138-TABLEITEM!$I$3:$I$1138</f>
        <v>#ERROR!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8.0" hidden="1" customHeight="1">
      <c r="A1101" s="47"/>
      <c r="B1101" s="2" t="s">
        <v>2369</v>
      </c>
      <c r="C1101" s="2"/>
      <c r="D1101" s="2" t="s">
        <v>4066</v>
      </c>
      <c r="E1101" s="51" t="s">
        <v>3087</v>
      </c>
      <c r="F1101" s="47"/>
      <c r="G1101" s="52">
        <f t="array" ref="G1101">MAX(IF(INSTOCK!$H$2:$H$2025=B1101,INSTOCK!$K$2:$K$2025))</f>
        <v>180</v>
      </c>
      <c r="H1101" s="53">
        <f>SUM(IF(INSTOCK!$H$2:$H$2025=B1101,INSTOCK!$I$2:$I$2025))</f>
        <v>0</v>
      </c>
      <c r="I1101" s="53" t="str">
        <f>SUM(IF([1]!Table13[ID]=B1101,[1]!Table13[QTY]))</f>
        <v>#ERROR!</v>
      </c>
      <c r="J1101" s="53" t="str">
        <f>TABLEITEM!$H$3:$H$1138-TABLEITEM!$I$3:$I$1138</f>
        <v>#ERROR!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8.0" hidden="1" customHeight="1">
      <c r="A1102" s="47"/>
      <c r="B1102" s="2" t="s">
        <v>2376</v>
      </c>
      <c r="C1102" s="2"/>
      <c r="D1102" s="2" t="s">
        <v>4067</v>
      </c>
      <c r="E1102" s="51" t="s">
        <v>3087</v>
      </c>
      <c r="F1102" s="47"/>
      <c r="G1102" s="52">
        <f t="array" ref="G1102">MAX(IF(INSTOCK!$H$2:$H$2025=B1102,INSTOCK!$K$2:$K$2025))</f>
        <v>38</v>
      </c>
      <c r="H1102" s="53">
        <f>SUM(IF(INSTOCK!$H$2:$H$2025=B1102,INSTOCK!$I$2:$I$2025))</f>
        <v>0</v>
      </c>
      <c r="I1102" s="53" t="str">
        <f>SUM(IF([1]!Table13[ID]=B1102,[1]!Table13[QTY]))</f>
        <v>#ERROR!</v>
      </c>
      <c r="J1102" s="53" t="str">
        <f>TABLEITEM!$H$3:$H$1138-TABLEITEM!$I$3:$I$1138</f>
        <v>#ERROR!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8.0" hidden="1" customHeight="1">
      <c r="A1103" s="47"/>
      <c r="B1103" s="2" t="s">
        <v>2377</v>
      </c>
      <c r="C1103" s="2"/>
      <c r="D1103" s="2" t="s">
        <v>4068</v>
      </c>
      <c r="E1103" s="51" t="s">
        <v>3087</v>
      </c>
      <c r="F1103" s="47"/>
      <c r="G1103" s="52">
        <f t="array" ref="G1103">MAX(IF(INSTOCK!$H$2:$H$2025=B1103,INSTOCK!$K$2:$K$2025))</f>
        <v>25</v>
      </c>
      <c r="H1103" s="53">
        <f>SUM(IF(INSTOCK!$H$2:$H$2025=B1103,INSTOCK!$I$2:$I$2025))</f>
        <v>0</v>
      </c>
      <c r="I1103" s="53" t="str">
        <f>SUM(IF([1]!Table13[ID]=B1103,[1]!Table13[QTY]))</f>
        <v>#ERROR!</v>
      </c>
      <c r="J1103" s="53" t="str">
        <f>TABLEITEM!$H$3:$H$1138-TABLEITEM!$I$3:$I$1138</f>
        <v>#ERROR!</v>
      </c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8.0" customHeight="1">
      <c r="A1104" s="47"/>
      <c r="B1104" s="2" t="s">
        <v>2386</v>
      </c>
      <c r="C1104" s="2"/>
      <c r="D1104" s="2" t="s">
        <v>4069</v>
      </c>
      <c r="E1104" s="51" t="s">
        <v>4038</v>
      </c>
      <c r="F1104" s="47"/>
      <c r="G1104" s="52">
        <f t="array" ref="G1104">MAX(IF(INSTOCK!$H$2:$H$2025=B1104,INSTOCK!$K$2:$K$2025))</f>
        <v>650</v>
      </c>
      <c r="H1104" s="53">
        <f>SUM(IF(INSTOCK!$H$2:$H$2025=B1104,INSTOCK!$I$2:$I$2025))</f>
        <v>0</v>
      </c>
      <c r="I1104" s="53" t="str">
        <f>SUM(IF([1]!Table13[ID]=B1104,[1]!Table13[QTY]))</f>
        <v>#ERROR!</v>
      </c>
      <c r="J1104" s="53" t="str">
        <f>TABLEITEM!$H$3:$H$1138-TABLEITEM!$I$3:$I$1138</f>
        <v>#ERROR!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8.0" customHeight="1">
      <c r="A1105" s="47"/>
      <c r="B1105" s="2" t="s">
        <v>2390</v>
      </c>
      <c r="C1105" s="2"/>
      <c r="D1105" s="2" t="s">
        <v>4070</v>
      </c>
      <c r="E1105" s="51" t="s">
        <v>4038</v>
      </c>
      <c r="F1105" s="47"/>
      <c r="G1105" s="52">
        <f t="array" ref="G1105">MAX(IF(INSTOCK!$H$2:$H$2025=B1105,INSTOCK!$K$2:$K$2025))</f>
        <v>1700</v>
      </c>
      <c r="H1105" s="53">
        <f>SUM(IF(INSTOCK!$H$2:$H$2025=B1105,INSTOCK!$I$2:$I$2025))</f>
        <v>0</v>
      </c>
      <c r="I1105" s="53" t="str">
        <f>SUM(IF([1]!Table13[ID]=B1105,[1]!Table13[QTY]))</f>
        <v>#ERROR!</v>
      </c>
      <c r="J1105" s="53" t="str">
        <f>TABLEITEM!$H$3:$H$1138-TABLEITEM!$I$3:$I$1138</f>
        <v>#ERROR!</v>
      </c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8.0" hidden="1" customHeight="1">
      <c r="A1106" s="47"/>
      <c r="B1106" s="2" t="s">
        <v>2393</v>
      </c>
      <c r="C1106" s="2"/>
      <c r="D1106" s="2" t="s">
        <v>4071</v>
      </c>
      <c r="E1106" s="51" t="s">
        <v>3610</v>
      </c>
      <c r="F1106" s="47"/>
      <c r="G1106" s="52">
        <f t="array" ref="G1106">MAX(IF(INSTOCK!$H$2:$H$2025=B1106,INSTOCK!$K$2:$K$2025))</f>
        <v>520</v>
      </c>
      <c r="H1106" s="53">
        <f>SUM(IF(INSTOCK!$H$2:$H$2025=B1106,INSTOCK!$I$2:$I$2025))</f>
        <v>0</v>
      </c>
      <c r="I1106" s="53" t="str">
        <f>SUM(IF([1]!Table13[ID]=B1106,[1]!Table13[QTY]))</f>
        <v>#ERROR!</v>
      </c>
      <c r="J1106" s="53" t="str">
        <f>TABLEITEM!$H$3:$H$1138-TABLEITEM!$I$3:$I$1138</f>
        <v>#ERROR!</v>
      </c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8.0" hidden="1" customHeight="1">
      <c r="A1107" s="47"/>
      <c r="B1107" s="2" t="s">
        <v>2401</v>
      </c>
      <c r="C1107" s="2"/>
      <c r="D1107" s="2" t="s">
        <v>4072</v>
      </c>
      <c r="E1107" s="51" t="s">
        <v>3087</v>
      </c>
      <c r="F1107" s="47"/>
      <c r="G1107" s="52">
        <f t="array" ref="G1107">MAX(IF(INSTOCK!$H$2:$H$2025=B1107,INSTOCK!$K$2:$K$2025))</f>
        <v>70</v>
      </c>
      <c r="H1107" s="53">
        <f>SUM(IF(INSTOCK!$H$2:$H$2025=B1107,INSTOCK!$I$2:$I$2025))</f>
        <v>0</v>
      </c>
      <c r="I1107" s="53" t="str">
        <f>SUM(IF([1]!Table13[ID]=B1107,[1]!Table13[QTY]))</f>
        <v>#ERROR!</v>
      </c>
      <c r="J1107" s="53" t="str">
        <f>TABLEITEM!$H$3:$H$1138-TABLEITEM!$I$3:$I$1138</f>
        <v>#ERROR!</v>
      </c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8.0" hidden="1" customHeight="1">
      <c r="A1108" s="47"/>
      <c r="B1108" s="2" t="s">
        <v>2402</v>
      </c>
      <c r="C1108" s="2"/>
      <c r="D1108" s="2" t="s">
        <v>4073</v>
      </c>
      <c r="E1108" s="51" t="s">
        <v>3087</v>
      </c>
      <c r="F1108" s="47"/>
      <c r="G1108" s="52">
        <f t="array" ref="G1108">MAX(IF(INSTOCK!$H$2:$H$2025=B1108,INSTOCK!$K$2:$K$2025))</f>
        <v>140</v>
      </c>
      <c r="H1108" s="53">
        <f>SUM(IF(INSTOCK!$H$2:$H$2025=B1108,INSTOCK!$I$2:$I$2025))</f>
        <v>0</v>
      </c>
      <c r="I1108" s="53" t="str">
        <f>SUM(IF([1]!Table13[ID]=B1108,[1]!Table13[QTY]))</f>
        <v>#ERROR!</v>
      </c>
      <c r="J1108" s="53" t="str">
        <f>TABLEITEM!$H$3:$H$1138-TABLEITEM!$I$3:$I$1138</f>
        <v>#ERROR!</v>
      </c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8.0" hidden="1" customHeight="1">
      <c r="A1109" s="47"/>
      <c r="B1109" s="2" t="s">
        <v>2405</v>
      </c>
      <c r="C1109" s="2"/>
      <c r="D1109" s="2" t="s">
        <v>4074</v>
      </c>
      <c r="E1109" s="51" t="s">
        <v>3087</v>
      </c>
      <c r="F1109" s="47"/>
      <c r="G1109" s="52">
        <f t="array" ref="G1109">MAX(IF(INSTOCK!$H$2:$H$2025=B1109,INSTOCK!$K$2:$K$2025))</f>
        <v>40</v>
      </c>
      <c r="H1109" s="53">
        <f>SUM(IF(INSTOCK!$H$2:$H$2025=B1109,INSTOCK!$I$2:$I$2025))</f>
        <v>0</v>
      </c>
      <c r="I1109" s="53" t="str">
        <f>SUM(IF([1]!Table13[ID]=B1109,[1]!Table13[QTY]))</f>
        <v>#ERROR!</v>
      </c>
      <c r="J1109" s="53" t="str">
        <f>TABLEITEM!$H$3:$H$1138-TABLEITEM!$I$3:$I$1138</f>
        <v>#ERROR!</v>
      </c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8.0" hidden="1" customHeight="1">
      <c r="A1110" s="47"/>
      <c r="B1110" s="2" t="s">
        <v>2406</v>
      </c>
      <c r="C1110" s="2"/>
      <c r="D1110" s="2" t="s">
        <v>4075</v>
      </c>
      <c r="E1110" s="51" t="s">
        <v>3087</v>
      </c>
      <c r="F1110" s="47"/>
      <c r="G1110" s="52">
        <f t="array" ref="G1110">MAX(IF(INSTOCK!$H$2:$H$2025=B1110,INSTOCK!$K$2:$K$2025))</f>
        <v>45</v>
      </c>
      <c r="H1110" s="53">
        <f>SUM(IF(INSTOCK!$H$2:$H$2025=B1110,INSTOCK!$I$2:$I$2025))</f>
        <v>0</v>
      </c>
      <c r="I1110" s="53" t="str">
        <f>SUM(IF([1]!Table13[ID]=B1110,[1]!Table13[QTY]))</f>
        <v>#ERROR!</v>
      </c>
      <c r="J1110" s="53" t="str">
        <f>TABLEITEM!$H$3:$H$1138-TABLEITEM!$I$3:$I$1138</f>
        <v>#ERROR!</v>
      </c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8.0" hidden="1" customHeight="1">
      <c r="A1111" s="47"/>
      <c r="B1111" s="2" t="s">
        <v>2411</v>
      </c>
      <c r="C1111" s="2"/>
      <c r="D1111" s="2" t="s">
        <v>4076</v>
      </c>
      <c r="E1111" s="51" t="s">
        <v>3087</v>
      </c>
      <c r="F1111" s="47"/>
      <c r="G1111" s="52">
        <f t="array" ref="G1111">MAX(IF(INSTOCK!$H$2:$H$2025=B1111,INSTOCK!$K$2:$K$2025))</f>
        <v>38</v>
      </c>
      <c r="H1111" s="53">
        <f>SUM(IF(INSTOCK!$H$2:$H$2025=B1111,INSTOCK!$I$2:$I$2025))</f>
        <v>0</v>
      </c>
      <c r="I1111" s="53" t="str">
        <f>SUM(IF([1]!Table13[ID]=B1111,[1]!Table13[QTY]))</f>
        <v>#ERROR!</v>
      </c>
      <c r="J1111" s="53" t="str">
        <f>TABLEITEM!$H$3:$H$1138-TABLEITEM!$I$3:$I$1138</f>
        <v>#ERROR!</v>
      </c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8.0" hidden="1" customHeight="1">
      <c r="A1112" s="47"/>
      <c r="B1112" s="2" t="s">
        <v>2419</v>
      </c>
      <c r="C1112" s="2"/>
      <c r="D1112" s="2" t="s">
        <v>4077</v>
      </c>
      <c r="E1112" s="51" t="s">
        <v>3087</v>
      </c>
      <c r="F1112" s="47"/>
      <c r="G1112" s="52">
        <f t="array" ref="G1112">MAX(IF(INSTOCK!$H$2:$H$2025=B1112,INSTOCK!$K$2:$K$2025))</f>
        <v>38</v>
      </c>
      <c r="H1112" s="53">
        <f>SUM(IF(INSTOCK!$H$2:$H$2025=B1112,INSTOCK!$I$2:$I$2025))</f>
        <v>0</v>
      </c>
      <c r="I1112" s="53" t="str">
        <f>SUM(IF([1]!Table13[ID]=B1112,[1]!Table13[QTY]))</f>
        <v>#ERROR!</v>
      </c>
      <c r="J1112" s="53" t="str">
        <f>TABLEITEM!$H$3:$H$1138-TABLEITEM!$I$3:$I$1138</f>
        <v>#ERROR!</v>
      </c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8.0" hidden="1" customHeight="1">
      <c r="A1113" s="47"/>
      <c r="B1113" s="2" t="s">
        <v>2414</v>
      </c>
      <c r="C1113" s="2"/>
      <c r="D1113" s="2" t="s">
        <v>4078</v>
      </c>
      <c r="E1113" s="51" t="s">
        <v>3087</v>
      </c>
      <c r="F1113" s="47"/>
      <c r="G1113" s="52">
        <f t="array" ref="G1113">MAX(IF(INSTOCK!$H$2:$H$2025=B1113,INSTOCK!$K$2:$K$2025))</f>
        <v>38</v>
      </c>
      <c r="H1113" s="53">
        <f>SUM(IF(INSTOCK!$H$2:$H$2025=B1113,INSTOCK!$I$2:$I$2025))</f>
        <v>0</v>
      </c>
      <c r="I1113" s="53" t="str">
        <f>SUM(IF([1]!Table13[ID]=B1113,[1]!Table13[QTY]))</f>
        <v>#ERROR!</v>
      </c>
      <c r="J1113" s="53" t="str">
        <f>TABLEITEM!$H$3:$H$1138-TABLEITEM!$I$3:$I$1138</f>
        <v>#ERROR!</v>
      </c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8.0" hidden="1" customHeight="1">
      <c r="A1114" s="47"/>
      <c r="B1114" s="2" t="s">
        <v>2460</v>
      </c>
      <c r="C1114" s="2"/>
      <c r="D1114" s="2" t="s">
        <v>4079</v>
      </c>
      <c r="E1114" s="51" t="s">
        <v>3087</v>
      </c>
      <c r="F1114" s="47"/>
      <c r="G1114" s="52">
        <f t="array" ref="G1114">MAX(IF(INSTOCK!$H$2:$H$2025=B1114,INSTOCK!$K$2:$K$2025))</f>
        <v>55</v>
      </c>
      <c r="H1114" s="53">
        <f>SUM(IF(INSTOCK!$H$2:$H$2025=B1114,INSTOCK!$I$2:$I$2025))</f>
        <v>0</v>
      </c>
      <c r="I1114" s="53" t="str">
        <f>SUM(IF([1]!Table13[ID]=B1114,[1]!Table13[QTY]))</f>
        <v>#ERROR!</v>
      </c>
      <c r="J1114" s="53" t="str">
        <f>TABLEITEM!$H$3:$H$1138-TABLEITEM!$I$3:$I$1138</f>
        <v>#ERROR!</v>
      </c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8.0" hidden="1" customHeight="1">
      <c r="A1115" s="47"/>
      <c r="B1115" s="2" t="s">
        <v>2464</v>
      </c>
      <c r="C1115" s="2"/>
      <c r="D1115" s="2" t="s">
        <v>4080</v>
      </c>
      <c r="E1115" s="51" t="s">
        <v>3087</v>
      </c>
      <c r="F1115" s="47"/>
      <c r="G1115" s="52">
        <f t="array" ref="G1115">MAX(IF(INSTOCK!$H$2:$H$2025=B1115,INSTOCK!$K$2:$K$2025))</f>
        <v>180</v>
      </c>
      <c r="H1115" s="53">
        <f>SUM(IF(INSTOCK!$H$2:$H$2025=B1115,INSTOCK!$I$2:$I$2025))</f>
        <v>0</v>
      </c>
      <c r="I1115" s="53" t="str">
        <f>SUM(IF([1]!Table13[ID]=B1115,[1]!Table13[QTY]))</f>
        <v>#ERROR!</v>
      </c>
      <c r="J1115" s="53" t="str">
        <f>TABLEITEM!$H$3:$H$1138-TABLEITEM!$I$3:$I$1138</f>
        <v>#ERROR!</v>
      </c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8.0" hidden="1" customHeight="1">
      <c r="A1116" s="47"/>
      <c r="B1116" s="2" t="s">
        <v>2465</v>
      </c>
      <c r="C1116" s="2"/>
      <c r="D1116" s="2" t="s">
        <v>4081</v>
      </c>
      <c r="E1116" s="51" t="s">
        <v>3087</v>
      </c>
      <c r="F1116" s="47"/>
      <c r="G1116" s="52">
        <f t="array" ref="G1116">MAX(IF(INSTOCK!$H$2:$H$2025=B1116,INSTOCK!$K$2:$K$2025))</f>
        <v>240</v>
      </c>
      <c r="H1116" s="53">
        <f>SUM(IF(INSTOCK!$H$2:$H$2025=B1116,INSTOCK!$I$2:$I$2025))</f>
        <v>0</v>
      </c>
      <c r="I1116" s="53" t="str">
        <f>SUM(IF([1]!Table13[ID]=B1116,[1]!Table13[QTY]))</f>
        <v>#ERROR!</v>
      </c>
      <c r="J1116" s="53" t="str">
        <f>TABLEITEM!$H$3:$H$1138-TABLEITEM!$I$3:$I$1138</f>
        <v>#ERROR!</v>
      </c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8.0" hidden="1" customHeight="1">
      <c r="A1117" s="47"/>
      <c r="B1117" s="2" t="s">
        <v>2468</v>
      </c>
      <c r="C1117" s="2"/>
      <c r="D1117" s="2" t="s">
        <v>4082</v>
      </c>
      <c r="E1117" s="51" t="s">
        <v>3087</v>
      </c>
      <c r="F1117" s="47"/>
      <c r="G1117" s="52">
        <f t="array" ref="G1117">MAX(IF(INSTOCK!$H$2:$H$2025=B1117,INSTOCK!$K$2:$K$2025))</f>
        <v>113</v>
      </c>
      <c r="H1117" s="53">
        <f>SUM(IF(INSTOCK!$H$2:$H$2025=B1117,INSTOCK!$I$2:$I$2025))</f>
        <v>0</v>
      </c>
      <c r="I1117" s="53" t="str">
        <f>SUM(IF([1]!Table13[ID]=B1117,[1]!Table13[QTY]))</f>
        <v>#ERROR!</v>
      </c>
      <c r="J1117" s="53" t="str">
        <f>TABLEITEM!$H$3:$H$1138-TABLEITEM!$I$3:$I$1138</f>
        <v>#ERROR!</v>
      </c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8.0" hidden="1" customHeight="1">
      <c r="A1118" s="47"/>
      <c r="B1118" s="2" t="s">
        <v>2476</v>
      </c>
      <c r="C1118" s="2"/>
      <c r="D1118" s="2" t="s">
        <v>4083</v>
      </c>
      <c r="E1118" s="51" t="s">
        <v>3087</v>
      </c>
      <c r="F1118" s="47"/>
      <c r="G1118" s="52">
        <f t="array" ref="G1118">MAX(IF(INSTOCK!$H$2:$H$2025=B1118,INSTOCK!$K$2:$K$2025))</f>
        <v>25</v>
      </c>
      <c r="H1118" s="53">
        <f>SUM(IF(INSTOCK!$H$2:$H$2025=B1118,INSTOCK!$I$2:$I$2025))</f>
        <v>0</v>
      </c>
      <c r="I1118" s="53" t="str">
        <f>SUM(IF([1]!Table13[ID]=B1118,[1]!Table13[QTY]))</f>
        <v>#ERROR!</v>
      </c>
      <c r="J1118" s="53" t="str">
        <f>TABLEITEM!$H$3:$H$1138-TABLEITEM!$I$3:$I$1138</f>
        <v>#ERROR!</v>
      </c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8.0" hidden="1" customHeight="1">
      <c r="A1119" s="47"/>
      <c r="B1119" s="2" t="s">
        <v>2479</v>
      </c>
      <c r="C1119" s="2"/>
      <c r="D1119" s="2" t="s">
        <v>4084</v>
      </c>
      <c r="E1119" s="51" t="s">
        <v>3087</v>
      </c>
      <c r="F1119" s="47"/>
      <c r="G1119" s="52">
        <f t="array" ref="G1119">MAX(IF(INSTOCK!$H$2:$H$2025=B1119,INSTOCK!$K$2:$K$2025))</f>
        <v>60</v>
      </c>
      <c r="H1119" s="53">
        <f>SUM(IF(INSTOCK!$H$2:$H$2025=B1119,INSTOCK!$I$2:$I$2025))</f>
        <v>0</v>
      </c>
      <c r="I1119" s="53" t="str">
        <f>SUM(IF([1]!Table13[ID]=B1119,[1]!Table13[QTY]))</f>
        <v>#ERROR!</v>
      </c>
      <c r="J1119" s="53" t="str">
        <f>TABLEITEM!$H$3:$H$1138-TABLEITEM!$I$3:$I$1138</f>
        <v>#ERROR!</v>
      </c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8.0" hidden="1" customHeight="1">
      <c r="A1120" s="47"/>
      <c r="B1120" s="2" t="s">
        <v>2480</v>
      </c>
      <c r="C1120" s="2"/>
      <c r="D1120" s="2" t="s">
        <v>4085</v>
      </c>
      <c r="E1120" s="51" t="s">
        <v>3087</v>
      </c>
      <c r="F1120" s="47"/>
      <c r="G1120" s="52">
        <f t="array" ref="G1120">MAX(IF(INSTOCK!$H$2:$H$2025=B1120,INSTOCK!$K$2:$K$2025))</f>
        <v>60</v>
      </c>
      <c r="H1120" s="53">
        <f>SUM(IF(INSTOCK!$H$2:$H$2025=B1120,INSTOCK!$I$2:$I$2025))</f>
        <v>0</v>
      </c>
      <c r="I1120" s="53" t="str">
        <f>SUM(IF([1]!Table13[ID]=B1120,[1]!Table13[QTY]))</f>
        <v>#ERROR!</v>
      </c>
      <c r="J1120" s="53" t="str">
        <f>TABLEITEM!$H$3:$H$1138-TABLEITEM!$I$3:$I$1138</f>
        <v>#ERROR!</v>
      </c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8.0" hidden="1" customHeight="1">
      <c r="A1121" s="47"/>
      <c r="B1121" s="2" t="s">
        <v>2485</v>
      </c>
      <c r="C1121" s="2"/>
      <c r="D1121" s="2" t="s">
        <v>4086</v>
      </c>
      <c r="E1121" s="51" t="s">
        <v>3087</v>
      </c>
      <c r="F1121" s="47"/>
      <c r="G1121" s="52">
        <f t="array" ref="G1121">MAX(IF(INSTOCK!$H$2:$H$2025=B1121,INSTOCK!$K$2:$K$2025))</f>
        <v>60</v>
      </c>
      <c r="H1121" s="53">
        <f>SUM(IF(INSTOCK!$H$2:$H$2025=B1121,INSTOCK!$I$2:$I$2025))</f>
        <v>0</v>
      </c>
      <c r="I1121" s="53" t="str">
        <f>SUM(IF([1]!Table13[ID]=B1121,[1]!Table13[QTY]))</f>
        <v>#ERROR!</v>
      </c>
      <c r="J1121" s="53" t="str">
        <f>TABLEITEM!$H$3:$H$1138-TABLEITEM!$I$3:$I$1138</f>
        <v>#ERROR!</v>
      </c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8.0" hidden="1" customHeight="1">
      <c r="A1122" s="47"/>
      <c r="B1122" s="2" t="s">
        <v>2488</v>
      </c>
      <c r="C1122" s="2"/>
      <c r="D1122" s="2" t="s">
        <v>4087</v>
      </c>
      <c r="E1122" s="51" t="s">
        <v>3087</v>
      </c>
      <c r="F1122" s="47"/>
      <c r="G1122" s="52">
        <f t="array" ref="G1122">MAX(IF(INSTOCK!$H$2:$H$2025=B1122,INSTOCK!$K$2:$K$2025))</f>
        <v>90</v>
      </c>
      <c r="H1122" s="53">
        <f>SUM(IF(INSTOCK!$H$2:$H$2025=B1122,INSTOCK!$I$2:$I$2025))</f>
        <v>0</v>
      </c>
      <c r="I1122" s="53" t="str">
        <f>SUM(IF([1]!Table13[ID]=B1122,[1]!Table13[QTY]))</f>
        <v>#ERROR!</v>
      </c>
      <c r="J1122" s="53" t="str">
        <f>TABLEITEM!$H$3:$H$1138-TABLEITEM!$I$3:$I$1138</f>
        <v>#ERROR!</v>
      </c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8.0" hidden="1" customHeight="1">
      <c r="A1123" s="47"/>
      <c r="B1123" s="2" t="s">
        <v>2508</v>
      </c>
      <c r="C1123" s="2"/>
      <c r="D1123" s="2" t="s">
        <v>4088</v>
      </c>
      <c r="E1123" s="51" t="s">
        <v>3087</v>
      </c>
      <c r="F1123" s="47"/>
      <c r="G1123" s="52">
        <f t="array" ref="G1123">MAX(IF(INSTOCK!$H$2:$H$2025=B1123,INSTOCK!$K$2:$K$2025))</f>
        <v>75</v>
      </c>
      <c r="H1123" s="53">
        <f>SUM(IF(INSTOCK!$H$2:$H$2025=B1123,INSTOCK!$I$2:$I$2025))</f>
        <v>0</v>
      </c>
      <c r="I1123" s="53" t="str">
        <f>SUM(IF([1]!Table13[ID]=B1123,[1]!Table13[QTY]))</f>
        <v>#ERROR!</v>
      </c>
      <c r="J1123" s="53" t="str">
        <f>TABLEITEM!$H$3:$H$1138-TABLEITEM!$I$3:$I$1138</f>
        <v>#ERROR!</v>
      </c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8.0" hidden="1" customHeight="1">
      <c r="A1124" s="47"/>
      <c r="B1124" s="2" t="s">
        <v>2511</v>
      </c>
      <c r="C1124" s="2"/>
      <c r="D1124" s="2" t="s">
        <v>4089</v>
      </c>
      <c r="E1124" s="51" t="s">
        <v>3087</v>
      </c>
      <c r="F1124" s="47"/>
      <c r="G1124" s="52">
        <f t="array" ref="G1124">MAX(IF(INSTOCK!$H$2:$H$2025=B1124,INSTOCK!$K$2:$K$2025))</f>
        <v>38</v>
      </c>
      <c r="H1124" s="53">
        <f>SUM(IF(INSTOCK!$H$2:$H$2025=B1124,INSTOCK!$I$2:$I$2025))</f>
        <v>0</v>
      </c>
      <c r="I1124" s="53" t="str">
        <f>SUM(IF([1]!Table13[ID]=B1124,[1]!Table13[QTY]))</f>
        <v>#ERROR!</v>
      </c>
      <c r="J1124" s="53" t="str">
        <f>TABLEITEM!$H$3:$H$1138-TABLEITEM!$I$3:$I$1138</f>
        <v>#ERROR!</v>
      </c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8.0" hidden="1" customHeight="1">
      <c r="A1125" s="47"/>
      <c r="B1125" s="2" t="s">
        <v>2513</v>
      </c>
      <c r="C1125" s="2"/>
      <c r="D1125" s="2" t="s">
        <v>4090</v>
      </c>
      <c r="E1125" s="51" t="s">
        <v>3087</v>
      </c>
      <c r="F1125" s="47"/>
      <c r="G1125" s="52">
        <f t="array" ref="G1125">MAX(IF(INSTOCK!$H$2:$H$2025=B1125,INSTOCK!$K$2:$K$2025))</f>
        <v>25</v>
      </c>
      <c r="H1125" s="53">
        <f>SUM(IF(INSTOCK!$H$2:$H$2025=B1125,INSTOCK!$I$2:$I$2025))</f>
        <v>0</v>
      </c>
      <c r="I1125" s="53" t="str">
        <f>SUM(IF([1]!Table13[ID]=B1125,[1]!Table13[QTY]))</f>
        <v>#ERROR!</v>
      </c>
      <c r="J1125" s="53" t="str">
        <f>TABLEITEM!$H$3:$H$1138-TABLEITEM!$I$3:$I$1138</f>
        <v>#ERROR!</v>
      </c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8.0" hidden="1" customHeight="1">
      <c r="A1126" s="47"/>
      <c r="B1126" s="2" t="s">
        <v>2516</v>
      </c>
      <c r="C1126" s="2"/>
      <c r="D1126" s="2" t="s">
        <v>4091</v>
      </c>
      <c r="E1126" s="51" t="s">
        <v>3087</v>
      </c>
      <c r="F1126" s="47"/>
      <c r="G1126" s="52">
        <f t="array" ref="G1126">MAX(IF(INSTOCK!$H$2:$H$2025=B1126,INSTOCK!$K$2:$K$2025))</f>
        <v>150</v>
      </c>
      <c r="H1126" s="53">
        <f>SUM(IF(INSTOCK!$H$2:$H$2025=B1126,INSTOCK!$I$2:$I$2025))</f>
        <v>0</v>
      </c>
      <c r="I1126" s="53" t="str">
        <f>SUM(IF([1]!Table13[ID]=B1126,[1]!Table13[QTY]))</f>
        <v>#ERROR!</v>
      </c>
      <c r="J1126" s="53" t="str">
        <f>TABLEITEM!$H$3:$H$1138-TABLEITEM!$I$3:$I$1138</f>
        <v>#ERROR!</v>
      </c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8.0" hidden="1" customHeight="1">
      <c r="A1127" s="47"/>
      <c r="B1127" s="2" t="s">
        <v>2518</v>
      </c>
      <c r="C1127" s="2"/>
      <c r="D1127" s="2" t="s">
        <v>4092</v>
      </c>
      <c r="E1127" s="51" t="s">
        <v>3087</v>
      </c>
      <c r="F1127" s="47"/>
      <c r="G1127" s="52">
        <f t="array" ref="G1127">MAX(IF(INSTOCK!$H$2:$H$2025=B1127,INSTOCK!$K$2:$K$2025))</f>
        <v>263</v>
      </c>
      <c r="H1127" s="53">
        <f>SUM(IF(INSTOCK!$H$2:$H$2025=B1127,INSTOCK!$I$2:$I$2025))</f>
        <v>0</v>
      </c>
      <c r="I1127" s="53" t="str">
        <f>SUM(IF([1]!Table13[ID]=B1127,[1]!Table13[QTY]))</f>
        <v>#ERROR!</v>
      </c>
      <c r="J1127" s="53" t="str">
        <f>TABLEITEM!$H$3:$H$1138-TABLEITEM!$I$3:$I$1138</f>
        <v>#ERROR!</v>
      </c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8.0" hidden="1" customHeight="1">
      <c r="A1128" s="47"/>
      <c r="B1128" s="2" t="s">
        <v>2521</v>
      </c>
      <c r="C1128" s="2"/>
      <c r="D1128" s="2" t="s">
        <v>4093</v>
      </c>
      <c r="E1128" s="51" t="s">
        <v>3087</v>
      </c>
      <c r="F1128" s="47"/>
      <c r="G1128" s="52">
        <f t="array" ref="G1128">MAX(IF(INSTOCK!$H$2:$H$2025=B1128,INSTOCK!$K$2:$K$2025))</f>
        <v>210</v>
      </c>
      <c r="H1128" s="53">
        <f>SUM(IF(INSTOCK!$H$2:$H$2025=B1128,INSTOCK!$I$2:$I$2025))</f>
        <v>0</v>
      </c>
      <c r="I1128" s="53" t="str">
        <f>SUM(IF([1]!Table13[ID]=B1128,[1]!Table13[QTY]))</f>
        <v>#ERROR!</v>
      </c>
      <c r="J1128" s="53" t="str">
        <f>TABLEITEM!$H$3:$H$1138-TABLEITEM!$I$3:$I$1138</f>
        <v>#ERROR!</v>
      </c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8.0" hidden="1" customHeight="1">
      <c r="A1129" s="47"/>
      <c r="B1129" s="2" t="s">
        <v>2524</v>
      </c>
      <c r="C1129" s="2"/>
      <c r="D1129" s="2" t="s">
        <v>4094</v>
      </c>
      <c r="E1129" s="51" t="s">
        <v>3087</v>
      </c>
      <c r="F1129" s="47"/>
      <c r="G1129" s="52">
        <f t="array" ref="G1129">MAX(IF(INSTOCK!$H$2:$H$2025=B1129,INSTOCK!$K$2:$K$2025))</f>
        <v>240</v>
      </c>
      <c r="H1129" s="53">
        <f>SUM(IF(INSTOCK!$H$2:$H$2025=B1129,INSTOCK!$I$2:$I$2025))</f>
        <v>0</v>
      </c>
      <c r="I1129" s="53" t="str">
        <f>SUM(IF([1]!Table13[ID]=B1129,[1]!Table13[QTY]))</f>
        <v>#ERROR!</v>
      </c>
      <c r="J1129" s="53" t="str">
        <f>TABLEITEM!$H$3:$H$1138-TABLEITEM!$I$3:$I$1138</f>
        <v>#ERROR!</v>
      </c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8.0" hidden="1" customHeight="1">
      <c r="A1130" s="47"/>
      <c r="B1130" s="2" t="s">
        <v>2534</v>
      </c>
      <c r="C1130" s="2"/>
      <c r="D1130" s="2" t="s">
        <v>4095</v>
      </c>
      <c r="E1130" s="51" t="s">
        <v>4038</v>
      </c>
      <c r="F1130" s="47"/>
      <c r="G1130" s="52">
        <f t="array" ref="G1130">MAX(IF(INSTOCK!$H$2:$H$2025=B1130,INSTOCK!$K$2:$K$2025))</f>
        <v>0</v>
      </c>
      <c r="H1130" s="53">
        <f>SUM(IF(INSTOCK!$H$2:$H$2025=B1130,INSTOCK!$I$2:$I$2025))</f>
        <v>0</v>
      </c>
      <c r="I1130" s="53" t="str">
        <f>SUM(IF([1]!Table13[ID]=B1130,[1]!Table13[QTY]))</f>
        <v>#ERROR!</v>
      </c>
      <c r="J1130" s="53" t="str">
        <f>TABLEITEM!$H$3:$H$1138-TABLEITEM!$I$3:$I$1138</f>
        <v>#ERROR!</v>
      </c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8.0" hidden="1" customHeight="1">
      <c r="A1131" s="47"/>
      <c r="B1131" s="2" t="s">
        <v>2532</v>
      </c>
      <c r="C1131" s="2"/>
      <c r="D1131" s="2" t="s">
        <v>4096</v>
      </c>
      <c r="E1131" s="51" t="s">
        <v>4038</v>
      </c>
      <c r="F1131" s="47"/>
      <c r="G1131" s="52">
        <f t="array" ref="G1131">MAX(IF(INSTOCK!$H$2:$H$2025=B1131,INSTOCK!$K$2:$K$2025))</f>
        <v>0</v>
      </c>
      <c r="H1131" s="53">
        <f>SUM(IF(INSTOCK!$H$2:$H$2025=B1131,INSTOCK!$I$2:$I$2025))</f>
        <v>0</v>
      </c>
      <c r="I1131" s="53" t="str">
        <f>SUM(IF([1]!Table13[ID]=B1131,[1]!Table13[QTY]))</f>
        <v>#ERROR!</v>
      </c>
      <c r="J1131" s="53" t="str">
        <f>TABLEITEM!$H$3:$H$1138-TABLEITEM!$I$3:$I$1138</f>
        <v>#ERROR!</v>
      </c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8.0" hidden="1" customHeight="1">
      <c r="A1132" s="47"/>
      <c r="B1132" s="2" t="s">
        <v>2553</v>
      </c>
      <c r="C1132" s="2"/>
      <c r="D1132" s="2" t="s">
        <v>4097</v>
      </c>
      <c r="E1132" s="51" t="s">
        <v>3087</v>
      </c>
      <c r="F1132" s="47"/>
      <c r="G1132" s="52">
        <f t="array" ref="G1132">MAX(IF(INSTOCK!$H$2:$H$2025=B1132,INSTOCK!$K$2:$K$2025))</f>
        <v>30</v>
      </c>
      <c r="H1132" s="53">
        <f>SUM(IF(INSTOCK!$H$2:$H$2025=B1132,INSTOCK!$I$2:$I$2025))</f>
        <v>0</v>
      </c>
      <c r="I1132" s="53" t="str">
        <f>SUM(IF([1]!Table13[ID]=B1132,[1]!Table13[QTY]))</f>
        <v>#ERROR!</v>
      </c>
      <c r="J1132" s="53" t="str">
        <f>TABLEITEM!$H$3:$H$1138-TABLEITEM!$I$3:$I$1138</f>
        <v>#ERROR!</v>
      </c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8.0" hidden="1" customHeight="1">
      <c r="A1133" s="47"/>
      <c r="B1133" s="2" t="s">
        <v>2556</v>
      </c>
      <c r="C1133" s="2"/>
      <c r="D1133" s="2" t="s">
        <v>4098</v>
      </c>
      <c r="E1133" s="51" t="s">
        <v>3087</v>
      </c>
      <c r="F1133" s="47"/>
      <c r="G1133" s="52">
        <f t="array" ref="G1133">MAX(IF(INSTOCK!$H$2:$H$2025=B1133,INSTOCK!$K$2:$K$2025))</f>
        <v>90</v>
      </c>
      <c r="H1133" s="53">
        <f>SUM(IF(INSTOCK!$H$2:$H$2025=B1133,INSTOCK!$I$2:$I$2025))</f>
        <v>0</v>
      </c>
      <c r="I1133" s="53" t="str">
        <f>SUM(IF([1]!Table13[ID]=B1133,[1]!Table13[QTY]))</f>
        <v>#ERROR!</v>
      </c>
      <c r="J1133" s="53" t="str">
        <f>TABLEITEM!$H$3:$H$1138-TABLEITEM!$I$3:$I$1138</f>
        <v>#ERROR!</v>
      </c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8.0" hidden="1" customHeight="1">
      <c r="A1134" s="47"/>
      <c r="B1134" s="2" t="s">
        <v>2561</v>
      </c>
      <c r="C1134" s="2"/>
      <c r="D1134" s="2" t="s">
        <v>4099</v>
      </c>
      <c r="E1134" s="51" t="s">
        <v>3087</v>
      </c>
      <c r="F1134" s="47"/>
      <c r="G1134" s="52">
        <f t="array" ref="G1134">MAX(IF(INSTOCK!$H$2:$H$2025=B1134,INSTOCK!$K$2:$K$2025))</f>
        <v>25</v>
      </c>
      <c r="H1134" s="53">
        <f>SUM(IF(INSTOCK!$H$2:$H$2025=B1134,INSTOCK!$I$2:$I$2025))</f>
        <v>0</v>
      </c>
      <c r="I1134" s="53" t="str">
        <f>SUM(IF([1]!Table13[ID]=B1134,[1]!Table13[QTY]))</f>
        <v>#ERROR!</v>
      </c>
      <c r="J1134" s="53" t="str">
        <f>TABLEITEM!$H$3:$H$1138-TABLEITEM!$I$3:$I$1138</f>
        <v>#ERROR!</v>
      </c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8.0" hidden="1" customHeight="1">
      <c r="A1135" s="47"/>
      <c r="B1135" s="2" t="s">
        <v>2577</v>
      </c>
      <c r="C1135" s="2"/>
      <c r="D1135" s="2" t="s">
        <v>4100</v>
      </c>
      <c r="E1135" s="51" t="s">
        <v>3087</v>
      </c>
      <c r="F1135" s="47"/>
      <c r="G1135" s="52">
        <f t="array" ref="G1135">MAX(IF(INSTOCK!$H$2:$H$2025=B1135,INSTOCK!$K$2:$K$2025))</f>
        <v>4100</v>
      </c>
      <c r="H1135" s="53">
        <f>SUM(IF(INSTOCK!$H$2:$H$2025=B1135,INSTOCK!$I$2:$I$2025))</f>
        <v>0</v>
      </c>
      <c r="I1135" s="53" t="str">
        <f>SUM(IF([1]!Table13[ID]=B1135,[1]!Table13[QTY]))</f>
        <v>#ERROR!</v>
      </c>
      <c r="J1135" s="53" t="str">
        <f>TABLEITEM!$H$3:$H$1138-TABLEITEM!$I$3:$I$1138</f>
        <v>#ERROR!</v>
      </c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8.0" hidden="1" customHeight="1">
      <c r="A1136" s="47"/>
      <c r="B1136" s="2" t="s">
        <v>2578</v>
      </c>
      <c r="C1136" s="2"/>
      <c r="D1136" s="2" t="s">
        <v>4101</v>
      </c>
      <c r="E1136" s="51" t="s">
        <v>3610</v>
      </c>
      <c r="F1136" s="47"/>
      <c r="G1136" s="52">
        <f t="array" ref="G1136">MAX(IF(INSTOCK!$H$2:$H$2025=B1136,INSTOCK!$K$2:$K$2025))</f>
        <v>91.6667</v>
      </c>
      <c r="H1136" s="53">
        <f>SUM(IF(INSTOCK!$H$2:$H$2025=B1136,INSTOCK!$I$2:$I$2025))</f>
        <v>0</v>
      </c>
      <c r="I1136" s="53" t="str">
        <f>SUM(IF([1]!Table13[ID]=B1136,[1]!Table13[QTY]))</f>
        <v>#ERROR!</v>
      </c>
      <c r="J1136" s="53" t="str">
        <f>TABLEITEM!$H$3:$H$1138-TABLEITEM!$I$3:$I$1138</f>
        <v>#ERROR!</v>
      </c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8.0" hidden="1" customHeight="1">
      <c r="A1137" s="47"/>
      <c r="B1137" s="2" t="s">
        <v>2579</v>
      </c>
      <c r="C1137" s="2"/>
      <c r="D1137" s="2" t="s">
        <v>4102</v>
      </c>
      <c r="E1137" s="51" t="s">
        <v>3610</v>
      </c>
      <c r="F1137" s="47"/>
      <c r="G1137" s="52">
        <f t="array" ref="G1137">MAX(IF(INSTOCK!$H$2:$H$2025=B1137,INSTOCK!$K$2:$K$2025))</f>
        <v>1183.3334</v>
      </c>
      <c r="H1137" s="53">
        <f>SUM(IF(INSTOCK!$H$2:$H$2025=B1137,INSTOCK!$I$2:$I$2025))</f>
        <v>0</v>
      </c>
      <c r="I1137" s="53" t="str">
        <f>SUM(IF([1]!Table13[ID]=B1137,[1]!Table13[QTY]))</f>
        <v>#ERROR!</v>
      </c>
      <c r="J1137" s="53" t="str">
        <f>TABLEITEM!$H$3:$H$1138-TABLEITEM!$I$3:$I$1138</f>
        <v>#ERROR!</v>
      </c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8.0" hidden="1" customHeight="1">
      <c r="A1138" s="47"/>
      <c r="B1138" s="2" t="s">
        <v>2581</v>
      </c>
      <c r="C1138" s="2"/>
      <c r="D1138" s="2" t="s">
        <v>4103</v>
      </c>
      <c r="E1138" s="51" t="s">
        <v>3610</v>
      </c>
      <c r="F1138" s="47"/>
      <c r="G1138" s="52">
        <f t="array" ref="G1138">MAX(IF(INSTOCK!$H$2:$H$2025=B1138,INSTOCK!$K$2:$K$2025))</f>
        <v>1233.3334</v>
      </c>
      <c r="H1138" s="53">
        <f>SUM(IF(INSTOCK!$H$2:$H$2025=B1138,INSTOCK!$I$2:$I$2025))</f>
        <v>0</v>
      </c>
      <c r="I1138" s="53" t="str">
        <f>SUM(IF([1]!Table13[ID]=B1138,[1]!Table13[QTY]))</f>
        <v>#ERROR!</v>
      </c>
      <c r="J1138" s="53" t="str">
        <f>TABLEITEM!$H$3:$H$1138-TABLEITEM!$I$3:$I$1138</f>
        <v>#ERROR!</v>
      </c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</sheetData>
  <dataValidations>
    <dataValidation type="list" allowBlank="1" showErrorMessage="1" sqref="C3:C966 C969:C976 C984:C991">
      <formula1>$L$3:$L$6</formula1>
    </dataValidation>
  </dataValidations>
  <hyperlinks>
    <hyperlink display="INSTOCK" location="INSTOCK!A1" ref="A1"/>
  </hyperlinks>
  <printOptions/>
  <pageMargins bottom="0.75" footer="0.0" header="0.0" left="0.7" right="0.7" top="0.75"/>
  <pageSetup paperSize="9"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1.22" defaultRowHeight="15.0"/>
  <cols>
    <col customWidth="1" min="1" max="1" width="14.22"/>
    <col customWidth="1" min="2" max="2" width="24.67"/>
    <col customWidth="1" min="3" max="3" width="22.0"/>
    <col customWidth="1" min="4" max="4" width="11.56"/>
    <col customWidth="1" min="5" max="5" width="12.56"/>
    <col customWidth="1" min="6" max="6" width="11.67"/>
    <col customWidth="1" min="7" max="7" width="5.67"/>
    <col customWidth="1" min="8" max="8" width="12.33"/>
    <col customWidth="1" min="9" max="9" width="22.22"/>
    <col customWidth="1" min="10" max="10" width="20.78"/>
    <col customWidth="1" min="11" max="11" width="13.0"/>
    <col customWidth="1" min="12" max="12" width="11.56"/>
    <col customWidth="1" min="13" max="13" width="12.56"/>
    <col customWidth="1" min="14" max="26" width="11.0"/>
  </cols>
  <sheetData>
    <row r="1">
      <c r="A1" s="65" t="s">
        <v>1</v>
      </c>
      <c r="B1" s="66">
        <v>43652.0</v>
      </c>
      <c r="C1" s="67"/>
      <c r="D1" s="67"/>
      <c r="E1" s="67"/>
      <c r="I1" s="65" t="s">
        <v>6</v>
      </c>
      <c r="J1" s="68" t="s">
        <v>352</v>
      </c>
    </row>
    <row r="2">
      <c r="A2" s="65" t="s">
        <v>5</v>
      </c>
      <c r="B2" s="68" t="s">
        <v>4104</v>
      </c>
      <c r="C2" s="67"/>
      <c r="D2" s="67"/>
      <c r="E2" s="67"/>
      <c r="I2" s="65" t="s">
        <v>11</v>
      </c>
      <c r="J2" s="68" t="s">
        <v>4104</v>
      </c>
    </row>
    <row r="3">
      <c r="A3" s="65" t="s">
        <v>2</v>
      </c>
      <c r="B3" s="68" t="s">
        <v>4104</v>
      </c>
      <c r="C3" s="67"/>
      <c r="D3" s="67"/>
      <c r="E3" s="67"/>
    </row>
    <row r="4">
      <c r="A4" s="65" t="s">
        <v>3</v>
      </c>
      <c r="B4" s="68" t="s">
        <v>4104</v>
      </c>
      <c r="C4" s="67"/>
      <c r="D4" s="67"/>
      <c r="E4" s="67"/>
      <c r="L4" s="65" t="s">
        <v>4105</v>
      </c>
    </row>
    <row r="5">
      <c r="A5" s="65" t="s">
        <v>4</v>
      </c>
      <c r="B5" s="68" t="s">
        <v>4104</v>
      </c>
      <c r="C5" s="67"/>
      <c r="D5" s="67"/>
      <c r="E5" s="67"/>
      <c r="I5" s="65" t="s">
        <v>5</v>
      </c>
      <c r="J5" s="65" t="s">
        <v>2</v>
      </c>
      <c r="K5" s="65" t="s">
        <v>9</v>
      </c>
      <c r="L5" s="68" t="s">
        <v>4106</v>
      </c>
      <c r="M5" s="68" t="s">
        <v>4107</v>
      </c>
    </row>
    <row r="6">
      <c r="C6" s="67"/>
      <c r="D6" s="67"/>
      <c r="E6" s="67"/>
      <c r="I6" s="68" t="s">
        <v>171</v>
      </c>
      <c r="J6" s="68" t="s">
        <v>351</v>
      </c>
      <c r="K6" s="68">
        <v>1988.6</v>
      </c>
      <c r="L6" s="65">
        <v>50.0</v>
      </c>
      <c r="M6" s="65">
        <v>99430.0</v>
      </c>
    </row>
    <row r="7">
      <c r="C7" s="65" t="s">
        <v>4105</v>
      </c>
      <c r="J7" s="68" t="s">
        <v>4108</v>
      </c>
      <c r="L7" s="65">
        <v>50.0</v>
      </c>
      <c r="M7" s="65">
        <v>99430.0</v>
      </c>
    </row>
    <row r="8">
      <c r="A8" s="65" t="s">
        <v>6</v>
      </c>
      <c r="B8" s="65" t="s">
        <v>11</v>
      </c>
      <c r="C8" s="68" t="s">
        <v>4109</v>
      </c>
      <c r="D8" s="68" t="s">
        <v>4106</v>
      </c>
      <c r="E8" s="68" t="s">
        <v>4107</v>
      </c>
      <c r="I8" s="68" t="s">
        <v>4110</v>
      </c>
      <c r="L8" s="65">
        <v>50.0</v>
      </c>
      <c r="M8" s="65">
        <v>99430.0</v>
      </c>
    </row>
    <row r="9">
      <c r="A9" s="68" t="s">
        <v>459</v>
      </c>
      <c r="B9" s="68" t="s">
        <v>2987</v>
      </c>
      <c r="C9" s="65"/>
      <c r="D9" s="65">
        <v>14.0</v>
      </c>
      <c r="E9" s="65">
        <v>0.0</v>
      </c>
    </row>
    <row r="10">
      <c r="A10" s="68" t="s">
        <v>472</v>
      </c>
      <c r="B10" s="68" t="s">
        <v>2986</v>
      </c>
      <c r="C10" s="65"/>
      <c r="D10" s="65">
        <v>18.0</v>
      </c>
      <c r="E10" s="65">
        <v>0.0</v>
      </c>
    </row>
    <row r="11">
      <c r="A11" s="68" t="s">
        <v>484</v>
      </c>
      <c r="B11" s="68" t="s">
        <v>2989</v>
      </c>
      <c r="C11" s="65"/>
      <c r="D11" s="65">
        <v>240.0</v>
      </c>
      <c r="E11" s="65">
        <v>0.0</v>
      </c>
    </row>
    <row r="12">
      <c r="A12" s="68" t="s">
        <v>547</v>
      </c>
      <c r="B12" s="68" t="s">
        <v>2979</v>
      </c>
      <c r="C12" s="65"/>
      <c r="D12" s="65">
        <v>69.0</v>
      </c>
      <c r="E12" s="65">
        <v>0.0</v>
      </c>
    </row>
    <row r="13">
      <c r="A13" s="68" t="s">
        <v>548</v>
      </c>
      <c r="B13" s="68" t="s">
        <v>3003</v>
      </c>
      <c r="C13" s="65"/>
      <c r="D13" s="65">
        <v>25.0</v>
      </c>
      <c r="E13" s="65">
        <v>0.0</v>
      </c>
    </row>
    <row r="14">
      <c r="A14" s="68" t="s">
        <v>550</v>
      </c>
      <c r="B14" s="68" t="s">
        <v>2630</v>
      </c>
      <c r="C14" s="65"/>
      <c r="D14" s="65">
        <v>294.0</v>
      </c>
      <c r="E14" s="65">
        <v>0.0</v>
      </c>
    </row>
    <row r="15">
      <c r="A15" s="68" t="s">
        <v>603</v>
      </c>
      <c r="B15" s="68" t="s">
        <v>2978</v>
      </c>
      <c r="C15" s="65"/>
      <c r="D15" s="65">
        <v>9.0</v>
      </c>
      <c r="E15" s="65">
        <v>0.0</v>
      </c>
    </row>
    <row r="16">
      <c r="A16" s="68" t="s">
        <v>605</v>
      </c>
      <c r="B16" s="68" t="s">
        <v>2999</v>
      </c>
      <c r="C16" s="65"/>
      <c r="D16" s="65">
        <v>18.0</v>
      </c>
      <c r="E16" s="65">
        <v>0.0</v>
      </c>
    </row>
    <row r="17">
      <c r="A17" s="68" t="s">
        <v>620</v>
      </c>
      <c r="B17" s="68" t="s">
        <v>2988</v>
      </c>
      <c r="C17" s="65"/>
      <c r="D17" s="65">
        <v>16.0</v>
      </c>
      <c r="E17" s="65">
        <v>0.0</v>
      </c>
    </row>
    <row r="18">
      <c r="A18" s="68" t="s">
        <v>621</v>
      </c>
      <c r="B18" s="68" t="s">
        <v>3004</v>
      </c>
      <c r="C18" s="65"/>
      <c r="D18" s="65">
        <v>8.0</v>
      </c>
      <c r="E18" s="65">
        <v>0.0</v>
      </c>
    </row>
    <row r="19">
      <c r="A19" s="68" t="s">
        <v>623</v>
      </c>
      <c r="B19" s="68" t="s">
        <v>2993</v>
      </c>
      <c r="C19" s="65"/>
      <c r="D19" s="65">
        <v>1.0</v>
      </c>
      <c r="E19" s="65">
        <v>0.0</v>
      </c>
    </row>
    <row r="20">
      <c r="A20" s="68" t="s">
        <v>624</v>
      </c>
      <c r="B20" s="68" t="s">
        <v>3007</v>
      </c>
      <c r="C20" s="65"/>
      <c r="D20" s="65">
        <v>2.0</v>
      </c>
      <c r="E20" s="65">
        <v>0.0</v>
      </c>
    </row>
    <row r="21" ht="15.75" customHeight="1">
      <c r="A21" s="68" t="s">
        <v>967</v>
      </c>
      <c r="B21" s="68" t="s">
        <v>3097</v>
      </c>
      <c r="C21" s="65">
        <v>450.0</v>
      </c>
      <c r="D21" s="65">
        <v>10.0</v>
      </c>
      <c r="E21" s="65">
        <v>4500.0</v>
      </c>
    </row>
    <row r="22" ht="15.75" customHeight="1">
      <c r="A22" s="68" t="s">
        <v>1761</v>
      </c>
      <c r="B22" s="68" t="s">
        <v>2672</v>
      </c>
      <c r="C22" s="65"/>
      <c r="D22" s="65">
        <v>5.0</v>
      </c>
      <c r="E22" s="65">
        <v>0.0</v>
      </c>
    </row>
    <row r="23" ht="15.75" customHeight="1">
      <c r="A23" s="68" t="s">
        <v>4110</v>
      </c>
      <c r="C23" s="65">
        <v>450.0</v>
      </c>
      <c r="D23" s="65">
        <v>729.0</v>
      </c>
      <c r="E23" s="65">
        <v>4500.0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>
      <c r="C224" s="67"/>
      <c r="D224" s="67"/>
      <c r="E224" s="67"/>
    </row>
    <row r="225" ht="15.75" customHeight="1">
      <c r="C225" s="67"/>
      <c r="D225" s="67"/>
      <c r="E225" s="67"/>
    </row>
    <row r="226" ht="15.75" customHeight="1">
      <c r="C226" s="67"/>
      <c r="D226" s="67"/>
      <c r="E226" s="67"/>
    </row>
    <row r="227" ht="15.75" customHeight="1">
      <c r="C227" s="67"/>
      <c r="D227" s="67"/>
      <c r="E227" s="67"/>
    </row>
    <row r="228" ht="15.75" customHeight="1">
      <c r="C228" s="67"/>
      <c r="D228" s="67"/>
      <c r="E228" s="67"/>
    </row>
    <row r="229" ht="15.75" customHeight="1">
      <c r="C229" s="67"/>
      <c r="D229" s="67"/>
      <c r="E229" s="67"/>
    </row>
    <row r="230" ht="15.75" customHeight="1">
      <c r="C230" s="67"/>
      <c r="D230" s="67"/>
      <c r="E230" s="67"/>
    </row>
    <row r="231" ht="15.75" customHeight="1">
      <c r="C231" s="67"/>
      <c r="D231" s="67"/>
      <c r="E231" s="67"/>
    </row>
    <row r="232" ht="15.75" customHeight="1">
      <c r="C232" s="67"/>
      <c r="D232" s="67"/>
      <c r="E232" s="67"/>
    </row>
    <row r="233" ht="15.75" customHeight="1">
      <c r="C233" s="67"/>
      <c r="D233" s="67"/>
      <c r="E233" s="67"/>
    </row>
    <row r="234" ht="15.75" customHeight="1">
      <c r="C234" s="67"/>
      <c r="D234" s="67"/>
      <c r="E234" s="67"/>
    </row>
    <row r="235" ht="15.75" customHeight="1">
      <c r="C235" s="67"/>
      <c r="D235" s="67"/>
      <c r="E235" s="67"/>
    </row>
    <row r="236" ht="15.75" customHeight="1">
      <c r="C236" s="67"/>
      <c r="D236" s="67"/>
      <c r="E236" s="67"/>
    </row>
    <row r="237" ht="15.75" customHeight="1">
      <c r="C237" s="67"/>
      <c r="D237" s="67"/>
      <c r="E237" s="67"/>
    </row>
    <row r="238" ht="15.75" customHeight="1">
      <c r="C238" s="67"/>
      <c r="D238" s="67"/>
      <c r="E238" s="67"/>
    </row>
    <row r="239" ht="15.75" customHeight="1">
      <c r="C239" s="67"/>
      <c r="D239" s="67"/>
      <c r="E239" s="67"/>
    </row>
    <row r="240" ht="15.75" customHeight="1">
      <c r="C240" s="67"/>
      <c r="D240" s="67"/>
      <c r="E240" s="67"/>
    </row>
    <row r="241" ht="15.75" customHeight="1">
      <c r="C241" s="67"/>
      <c r="D241" s="67"/>
      <c r="E241" s="67"/>
    </row>
    <row r="242" ht="15.75" customHeight="1">
      <c r="C242" s="67"/>
      <c r="D242" s="67"/>
      <c r="E242" s="67"/>
    </row>
    <row r="243" ht="15.75" customHeight="1">
      <c r="C243" s="67"/>
      <c r="D243" s="67"/>
      <c r="E243" s="67"/>
    </row>
    <row r="244" ht="15.75" customHeight="1">
      <c r="C244" s="67"/>
      <c r="D244" s="67"/>
      <c r="E244" s="67"/>
    </row>
    <row r="245" ht="15.75" customHeight="1">
      <c r="C245" s="67"/>
      <c r="D245" s="67"/>
      <c r="E245" s="67"/>
    </row>
    <row r="246" ht="15.75" customHeight="1">
      <c r="C246" s="67"/>
      <c r="D246" s="67"/>
      <c r="E246" s="67"/>
    </row>
    <row r="247" ht="15.75" customHeight="1">
      <c r="C247" s="67"/>
      <c r="D247" s="67"/>
      <c r="E247" s="67"/>
    </row>
    <row r="248" ht="15.75" customHeight="1">
      <c r="C248" s="67"/>
      <c r="D248" s="67"/>
      <c r="E248" s="67"/>
    </row>
    <row r="249" ht="15.75" customHeight="1">
      <c r="C249" s="67"/>
      <c r="D249" s="67"/>
      <c r="E249" s="67"/>
    </row>
    <row r="250" ht="15.75" customHeight="1">
      <c r="C250" s="67"/>
      <c r="D250" s="67"/>
      <c r="E250" s="67"/>
    </row>
    <row r="251" ht="15.75" customHeight="1">
      <c r="C251" s="67"/>
      <c r="D251" s="67"/>
      <c r="E251" s="67"/>
    </row>
    <row r="252" ht="15.75" customHeight="1">
      <c r="C252" s="67"/>
      <c r="D252" s="67"/>
      <c r="E252" s="67"/>
    </row>
    <row r="253" ht="15.75" customHeight="1">
      <c r="C253" s="67"/>
      <c r="D253" s="67"/>
      <c r="E253" s="67"/>
    </row>
    <row r="254" ht="15.75" customHeight="1">
      <c r="C254" s="67"/>
      <c r="D254" s="67"/>
      <c r="E254" s="67"/>
    </row>
    <row r="255" ht="15.75" customHeight="1">
      <c r="C255" s="67"/>
      <c r="D255" s="67"/>
      <c r="E255" s="67"/>
    </row>
    <row r="256" ht="15.75" customHeight="1">
      <c r="C256" s="67"/>
      <c r="D256" s="67"/>
      <c r="E256" s="67"/>
    </row>
    <row r="257" ht="15.75" customHeight="1">
      <c r="C257" s="67"/>
      <c r="D257" s="67"/>
      <c r="E257" s="67"/>
    </row>
    <row r="258" ht="15.75" customHeight="1">
      <c r="C258" s="67"/>
      <c r="D258" s="67"/>
      <c r="E258" s="67"/>
    </row>
    <row r="259" ht="15.75" customHeight="1">
      <c r="C259" s="67"/>
      <c r="D259" s="67"/>
      <c r="E259" s="67"/>
    </row>
    <row r="260" ht="15.75" customHeight="1">
      <c r="C260" s="67"/>
      <c r="D260" s="67"/>
      <c r="E260" s="67"/>
    </row>
    <row r="261" ht="15.75" customHeight="1">
      <c r="C261" s="67"/>
      <c r="D261" s="67"/>
      <c r="E261" s="67"/>
    </row>
    <row r="262" ht="15.75" customHeight="1">
      <c r="C262" s="67"/>
      <c r="D262" s="67"/>
      <c r="E262" s="67"/>
    </row>
    <row r="263" ht="15.75" customHeight="1">
      <c r="C263" s="67"/>
      <c r="D263" s="67"/>
      <c r="E263" s="67"/>
    </row>
    <row r="264" ht="15.75" customHeight="1">
      <c r="C264" s="67"/>
      <c r="D264" s="67"/>
      <c r="E264" s="67"/>
    </row>
    <row r="265" ht="15.75" customHeight="1">
      <c r="C265" s="67"/>
      <c r="D265" s="67"/>
      <c r="E265" s="67"/>
    </row>
    <row r="266" ht="15.75" customHeight="1">
      <c r="C266" s="67"/>
      <c r="D266" s="67"/>
      <c r="E266" s="67"/>
    </row>
    <row r="267" ht="15.75" customHeight="1">
      <c r="C267" s="67"/>
      <c r="D267" s="67"/>
      <c r="E267" s="67"/>
    </row>
    <row r="268" ht="15.75" customHeight="1">
      <c r="C268" s="67"/>
      <c r="D268" s="67"/>
      <c r="E268" s="67"/>
    </row>
    <row r="269" ht="15.75" customHeight="1">
      <c r="C269" s="67"/>
      <c r="D269" s="67"/>
      <c r="E269" s="67"/>
    </row>
    <row r="270" ht="15.75" customHeight="1">
      <c r="C270" s="67"/>
      <c r="D270" s="67"/>
      <c r="E270" s="67"/>
    </row>
    <row r="271" ht="15.75" customHeight="1">
      <c r="C271" s="67"/>
      <c r="D271" s="67"/>
      <c r="E271" s="67"/>
    </row>
    <row r="272" ht="15.75" customHeight="1">
      <c r="C272" s="67"/>
      <c r="D272" s="67"/>
      <c r="E272" s="67"/>
    </row>
    <row r="273" ht="15.75" customHeight="1">
      <c r="C273" s="67"/>
      <c r="D273" s="67"/>
      <c r="E273" s="67"/>
    </row>
    <row r="274" ht="15.75" customHeight="1">
      <c r="C274" s="67"/>
      <c r="D274" s="67"/>
      <c r="E274" s="67"/>
    </row>
    <row r="275" ht="15.75" customHeight="1">
      <c r="C275" s="67"/>
      <c r="D275" s="67"/>
      <c r="E275" s="67"/>
    </row>
    <row r="276" ht="15.75" customHeight="1">
      <c r="C276" s="67"/>
      <c r="D276" s="67"/>
      <c r="E276" s="67"/>
    </row>
    <row r="277" ht="15.75" customHeight="1">
      <c r="C277" s="67"/>
      <c r="D277" s="67"/>
      <c r="E277" s="67"/>
    </row>
    <row r="278" ht="15.75" customHeight="1">
      <c r="C278" s="67"/>
      <c r="D278" s="67"/>
      <c r="E278" s="67"/>
    </row>
    <row r="279" ht="15.75" customHeight="1">
      <c r="C279" s="67"/>
      <c r="D279" s="67"/>
      <c r="E279" s="67"/>
    </row>
    <row r="280" ht="15.75" customHeight="1">
      <c r="C280" s="67"/>
      <c r="D280" s="67"/>
      <c r="E280" s="67"/>
    </row>
    <row r="281" ht="15.75" customHeight="1">
      <c r="C281" s="67"/>
      <c r="D281" s="67"/>
      <c r="E281" s="67"/>
    </row>
    <row r="282" ht="15.75" customHeight="1">
      <c r="C282" s="67"/>
      <c r="D282" s="67"/>
      <c r="E282" s="67"/>
    </row>
    <row r="283" ht="15.75" customHeight="1">
      <c r="C283" s="67"/>
      <c r="D283" s="67"/>
      <c r="E283" s="67"/>
    </row>
    <row r="284" ht="15.75" customHeight="1">
      <c r="C284" s="67"/>
      <c r="D284" s="67"/>
      <c r="E284" s="67"/>
    </row>
    <row r="285" ht="15.75" customHeight="1">
      <c r="C285" s="67"/>
      <c r="D285" s="67"/>
      <c r="E285" s="67"/>
    </row>
    <row r="286" ht="15.75" customHeight="1">
      <c r="C286" s="67"/>
      <c r="D286" s="67"/>
      <c r="E286" s="67"/>
    </row>
    <row r="287" ht="15.75" customHeight="1">
      <c r="C287" s="67"/>
      <c r="D287" s="67"/>
      <c r="E287" s="67"/>
    </row>
    <row r="288" ht="15.75" customHeight="1">
      <c r="C288" s="67"/>
      <c r="D288" s="67"/>
      <c r="E288" s="67"/>
    </row>
    <row r="289" ht="15.75" customHeight="1">
      <c r="C289" s="67"/>
      <c r="D289" s="67"/>
      <c r="E289" s="67"/>
    </row>
    <row r="290" ht="15.75" customHeight="1">
      <c r="C290" s="67"/>
      <c r="D290" s="67"/>
      <c r="E290" s="67"/>
    </row>
    <row r="291" ht="15.75" customHeight="1">
      <c r="C291" s="67"/>
      <c r="D291" s="67"/>
      <c r="E291" s="67"/>
    </row>
    <row r="292" ht="15.75" customHeight="1">
      <c r="C292" s="67"/>
      <c r="D292" s="67"/>
      <c r="E292" s="67"/>
    </row>
    <row r="293" ht="15.75" customHeight="1">
      <c r="C293" s="67"/>
      <c r="D293" s="67"/>
      <c r="E293" s="67"/>
    </row>
    <row r="294" ht="15.75" customHeight="1">
      <c r="C294" s="67"/>
      <c r="D294" s="67"/>
      <c r="E294" s="67"/>
    </row>
    <row r="295" ht="15.75" customHeight="1">
      <c r="C295" s="67"/>
      <c r="D295" s="67"/>
      <c r="E295" s="67"/>
    </row>
    <row r="296" ht="15.75" customHeight="1">
      <c r="C296" s="67"/>
      <c r="D296" s="67"/>
      <c r="E296" s="67"/>
    </row>
    <row r="297" ht="15.75" customHeight="1">
      <c r="C297" s="67"/>
      <c r="D297" s="67"/>
      <c r="E297" s="67"/>
    </row>
    <row r="298" ht="15.75" customHeight="1">
      <c r="C298" s="67"/>
      <c r="D298" s="67"/>
      <c r="E298" s="67"/>
    </row>
    <row r="299" ht="15.75" customHeight="1">
      <c r="C299" s="67"/>
      <c r="D299" s="67"/>
      <c r="E299" s="67"/>
    </row>
    <row r="300" ht="15.75" customHeight="1">
      <c r="C300" s="67"/>
      <c r="D300" s="67"/>
      <c r="E300" s="67"/>
    </row>
    <row r="301" ht="15.75" customHeight="1">
      <c r="C301" s="67"/>
      <c r="D301" s="67"/>
      <c r="E301" s="67"/>
    </row>
    <row r="302" ht="15.75" customHeight="1">
      <c r="C302" s="67"/>
      <c r="D302" s="67"/>
      <c r="E302" s="67"/>
    </row>
    <row r="303" ht="15.75" customHeight="1">
      <c r="C303" s="67"/>
      <c r="D303" s="67"/>
      <c r="E303" s="67"/>
    </row>
    <row r="304" ht="15.75" customHeight="1">
      <c r="C304" s="67"/>
      <c r="D304" s="67"/>
      <c r="E304" s="67"/>
    </row>
    <row r="305" ht="15.75" customHeight="1">
      <c r="C305" s="67"/>
      <c r="D305" s="67"/>
      <c r="E305" s="67"/>
    </row>
    <row r="306" ht="15.75" customHeight="1">
      <c r="C306" s="67"/>
      <c r="D306" s="67"/>
      <c r="E306" s="67"/>
    </row>
    <row r="307" ht="15.75" customHeight="1">
      <c r="C307" s="67"/>
      <c r="D307" s="67"/>
      <c r="E307" s="67"/>
    </row>
    <row r="308" ht="15.75" customHeight="1">
      <c r="C308" s="67"/>
      <c r="D308" s="67"/>
      <c r="E308" s="67"/>
    </row>
    <row r="309" ht="15.75" customHeight="1">
      <c r="C309" s="67"/>
      <c r="D309" s="67"/>
      <c r="E309" s="67"/>
    </row>
    <row r="310" ht="15.75" customHeight="1">
      <c r="C310" s="67"/>
      <c r="D310" s="67"/>
      <c r="E310" s="67"/>
    </row>
    <row r="311" ht="15.75" customHeight="1">
      <c r="C311" s="67"/>
      <c r="D311" s="67"/>
      <c r="E311" s="67"/>
    </row>
    <row r="312" ht="15.75" customHeight="1">
      <c r="C312" s="67"/>
      <c r="D312" s="67"/>
      <c r="E312" s="67"/>
    </row>
    <row r="313" ht="15.75" customHeight="1">
      <c r="C313" s="67"/>
      <c r="D313" s="67"/>
      <c r="E313" s="67"/>
    </row>
    <row r="314" ht="15.75" customHeight="1">
      <c r="C314" s="67"/>
      <c r="D314" s="67"/>
      <c r="E314" s="67"/>
    </row>
    <row r="315" ht="15.75" customHeight="1">
      <c r="C315" s="67"/>
      <c r="D315" s="67"/>
      <c r="E315" s="67"/>
    </row>
    <row r="316" ht="15.75" customHeight="1">
      <c r="C316" s="67"/>
      <c r="D316" s="67"/>
      <c r="E316" s="67"/>
    </row>
    <row r="317" ht="15.75" customHeight="1">
      <c r="C317" s="67"/>
      <c r="D317" s="67"/>
      <c r="E317" s="67"/>
    </row>
    <row r="318" ht="15.75" customHeight="1">
      <c r="C318" s="67"/>
      <c r="D318" s="67"/>
      <c r="E318" s="67"/>
    </row>
    <row r="319" ht="15.75" customHeight="1">
      <c r="C319" s="67"/>
      <c r="D319" s="67"/>
      <c r="E319" s="67"/>
    </row>
    <row r="320" ht="15.75" customHeight="1">
      <c r="C320" s="67"/>
      <c r="D320" s="67"/>
      <c r="E320" s="67"/>
    </row>
    <row r="321" ht="15.75" customHeight="1">
      <c r="C321" s="67"/>
      <c r="D321" s="67"/>
      <c r="E321" s="67"/>
    </row>
    <row r="322" ht="15.75" customHeight="1">
      <c r="C322" s="67"/>
      <c r="D322" s="67"/>
      <c r="E322" s="67"/>
    </row>
    <row r="323" ht="15.75" customHeight="1">
      <c r="C323" s="67"/>
      <c r="D323" s="67"/>
      <c r="E323" s="67"/>
    </row>
    <row r="324" ht="15.75" customHeight="1">
      <c r="C324" s="67"/>
      <c r="D324" s="67"/>
      <c r="E324" s="67"/>
    </row>
    <row r="325" ht="15.75" customHeight="1">
      <c r="C325" s="67"/>
      <c r="D325" s="67"/>
      <c r="E325" s="67"/>
    </row>
    <row r="326" ht="15.75" customHeight="1">
      <c r="C326" s="67"/>
      <c r="D326" s="67"/>
      <c r="E326" s="67"/>
    </row>
    <row r="327" ht="15.75" customHeight="1">
      <c r="C327" s="67"/>
      <c r="D327" s="67"/>
      <c r="E327" s="67"/>
    </row>
    <row r="328" ht="15.75" customHeight="1">
      <c r="C328" s="67"/>
      <c r="D328" s="67"/>
      <c r="E328" s="67"/>
    </row>
    <row r="329" ht="15.75" customHeight="1">
      <c r="C329" s="67"/>
      <c r="D329" s="67"/>
      <c r="E329" s="67"/>
    </row>
    <row r="330" ht="15.75" customHeight="1">
      <c r="C330" s="67"/>
      <c r="D330" s="67"/>
      <c r="E330" s="67"/>
    </row>
    <row r="331" ht="15.75" customHeight="1">
      <c r="C331" s="67"/>
      <c r="D331" s="67"/>
      <c r="E331" s="67"/>
    </row>
    <row r="332" ht="15.75" customHeight="1">
      <c r="C332" s="67"/>
      <c r="D332" s="67"/>
      <c r="E332" s="67"/>
    </row>
    <row r="333" ht="15.75" customHeight="1">
      <c r="C333" s="67"/>
      <c r="D333" s="67"/>
      <c r="E333" s="67"/>
    </row>
    <row r="334" ht="15.75" customHeight="1">
      <c r="C334" s="67"/>
      <c r="D334" s="67"/>
      <c r="E334" s="67"/>
    </row>
    <row r="335" ht="15.75" customHeight="1">
      <c r="C335" s="67"/>
      <c r="D335" s="67"/>
      <c r="E335" s="67"/>
    </row>
    <row r="336" ht="15.75" customHeight="1">
      <c r="C336" s="67"/>
      <c r="D336" s="67"/>
      <c r="E336" s="67"/>
    </row>
    <row r="337" ht="15.75" customHeight="1">
      <c r="C337" s="67"/>
      <c r="D337" s="67"/>
      <c r="E337" s="67"/>
    </row>
    <row r="338" ht="15.75" customHeight="1">
      <c r="C338" s="67"/>
      <c r="D338" s="67"/>
      <c r="E338" s="67"/>
    </row>
    <row r="339" ht="15.75" customHeight="1">
      <c r="C339" s="67"/>
      <c r="D339" s="67"/>
      <c r="E339" s="67"/>
    </row>
    <row r="340" ht="15.75" customHeight="1">
      <c r="C340" s="67"/>
      <c r="D340" s="67"/>
      <c r="E340" s="67"/>
    </row>
    <row r="341" ht="15.75" customHeight="1">
      <c r="C341" s="67"/>
      <c r="D341" s="67"/>
      <c r="E341" s="67"/>
    </row>
    <row r="342" ht="15.75" customHeight="1">
      <c r="C342" s="67"/>
      <c r="D342" s="67"/>
      <c r="E342" s="67"/>
    </row>
    <row r="343" ht="15.75" customHeight="1">
      <c r="C343" s="67"/>
      <c r="D343" s="67"/>
      <c r="E343" s="67"/>
    </row>
    <row r="344" ht="15.75" customHeight="1">
      <c r="C344" s="67"/>
      <c r="D344" s="67"/>
      <c r="E344" s="67"/>
    </row>
    <row r="345" ht="15.75" customHeight="1">
      <c r="C345" s="67"/>
      <c r="D345" s="67"/>
      <c r="E345" s="67"/>
    </row>
    <row r="346" ht="15.75" customHeight="1">
      <c r="C346" s="67"/>
      <c r="D346" s="67"/>
      <c r="E346" s="67"/>
    </row>
    <row r="347" ht="15.75" customHeight="1">
      <c r="C347" s="67"/>
      <c r="D347" s="67"/>
      <c r="E347" s="67"/>
    </row>
    <row r="348" ht="15.75" customHeight="1">
      <c r="C348" s="67"/>
      <c r="D348" s="67"/>
      <c r="E348" s="67"/>
    </row>
    <row r="349" ht="15.75" customHeight="1">
      <c r="C349" s="67"/>
      <c r="D349" s="67"/>
      <c r="E349" s="67"/>
    </row>
    <row r="350" ht="15.75" customHeight="1">
      <c r="C350" s="67"/>
      <c r="D350" s="67"/>
      <c r="E350" s="67"/>
    </row>
    <row r="351" ht="15.75" customHeight="1">
      <c r="C351" s="67"/>
      <c r="D351" s="67"/>
      <c r="E351" s="67"/>
    </row>
    <row r="352" ht="15.75" customHeight="1">
      <c r="C352" s="67"/>
      <c r="D352" s="67"/>
      <c r="E352" s="67"/>
    </row>
    <row r="353" ht="15.75" customHeight="1">
      <c r="C353" s="67"/>
      <c r="D353" s="67"/>
      <c r="E353" s="67"/>
    </row>
    <row r="354" ht="15.75" customHeight="1">
      <c r="C354" s="67"/>
      <c r="D354" s="67"/>
      <c r="E354" s="67"/>
    </row>
    <row r="355" ht="15.75" customHeight="1">
      <c r="C355" s="67"/>
      <c r="D355" s="67"/>
      <c r="E355" s="67"/>
    </row>
    <row r="356" ht="15.75" customHeight="1">
      <c r="C356" s="67"/>
      <c r="D356" s="67"/>
      <c r="E356" s="67"/>
    </row>
    <row r="357" ht="15.75" customHeight="1">
      <c r="C357" s="67"/>
      <c r="D357" s="67"/>
      <c r="E357" s="67"/>
    </row>
    <row r="358" ht="15.75" customHeight="1">
      <c r="C358" s="67"/>
      <c r="D358" s="67"/>
      <c r="E358" s="67"/>
    </row>
    <row r="359" ht="15.75" customHeight="1">
      <c r="C359" s="67"/>
      <c r="D359" s="67"/>
      <c r="E359" s="67"/>
    </row>
    <row r="360" ht="15.75" customHeight="1">
      <c r="C360" s="67"/>
      <c r="D360" s="67"/>
      <c r="E360" s="67"/>
    </row>
    <row r="361" ht="15.75" customHeight="1">
      <c r="C361" s="67"/>
      <c r="D361" s="67"/>
      <c r="E361" s="67"/>
    </row>
    <row r="362" ht="15.75" customHeight="1">
      <c r="C362" s="67"/>
      <c r="D362" s="67"/>
      <c r="E362" s="67"/>
    </row>
    <row r="363" ht="15.75" customHeight="1">
      <c r="C363" s="67"/>
      <c r="D363" s="67"/>
      <c r="E363" s="67"/>
    </row>
    <row r="364" ht="15.75" customHeight="1">
      <c r="C364" s="67"/>
      <c r="D364" s="67"/>
      <c r="E364" s="67"/>
    </row>
    <row r="365" ht="15.75" customHeight="1">
      <c r="C365" s="67"/>
      <c r="D365" s="67"/>
      <c r="E365" s="67"/>
    </row>
    <row r="366" ht="15.75" customHeight="1">
      <c r="C366" s="67"/>
      <c r="D366" s="67"/>
      <c r="E366" s="67"/>
    </row>
    <row r="367" ht="15.75" customHeight="1">
      <c r="C367" s="67"/>
      <c r="D367" s="67"/>
      <c r="E367" s="67"/>
    </row>
    <row r="368" ht="15.75" customHeight="1">
      <c r="C368" s="67"/>
      <c r="D368" s="67"/>
      <c r="E368" s="67"/>
    </row>
    <row r="369" ht="15.75" customHeight="1">
      <c r="C369" s="67"/>
      <c r="D369" s="67"/>
      <c r="E369" s="67"/>
    </row>
    <row r="370" ht="15.75" customHeight="1">
      <c r="C370" s="67"/>
      <c r="D370" s="67"/>
      <c r="E370" s="67"/>
    </row>
    <row r="371" ht="15.75" customHeight="1">
      <c r="C371" s="67"/>
      <c r="D371" s="67"/>
      <c r="E371" s="67"/>
    </row>
    <row r="372" ht="15.75" customHeight="1">
      <c r="C372" s="67"/>
      <c r="D372" s="67"/>
      <c r="E372" s="67"/>
    </row>
    <row r="373" ht="15.75" customHeight="1">
      <c r="C373" s="67"/>
      <c r="D373" s="67"/>
      <c r="E373" s="67"/>
    </row>
    <row r="374" ht="15.75" customHeight="1">
      <c r="C374" s="67"/>
      <c r="D374" s="67"/>
      <c r="E374" s="67"/>
    </row>
    <row r="375" ht="15.75" customHeight="1">
      <c r="C375" s="67"/>
      <c r="D375" s="67"/>
      <c r="E375" s="67"/>
    </row>
    <row r="376" ht="15.75" customHeight="1">
      <c r="C376" s="67"/>
      <c r="D376" s="67"/>
      <c r="E376" s="67"/>
    </row>
    <row r="377" ht="15.75" customHeight="1">
      <c r="C377" s="67"/>
      <c r="D377" s="67"/>
      <c r="E377" s="67"/>
    </row>
    <row r="378" ht="15.75" customHeight="1">
      <c r="C378" s="67"/>
      <c r="D378" s="67"/>
      <c r="E378" s="67"/>
    </row>
    <row r="379" ht="15.75" customHeight="1">
      <c r="C379" s="67"/>
      <c r="D379" s="67"/>
      <c r="E379" s="67"/>
    </row>
    <row r="380" ht="15.75" customHeight="1">
      <c r="C380" s="67"/>
      <c r="D380" s="67"/>
      <c r="E380" s="67"/>
    </row>
    <row r="381" ht="15.75" customHeight="1">
      <c r="C381" s="67"/>
      <c r="D381" s="67"/>
      <c r="E381" s="67"/>
    </row>
    <row r="382" ht="15.75" customHeight="1">
      <c r="C382" s="67"/>
      <c r="D382" s="67"/>
      <c r="E382" s="67"/>
    </row>
    <row r="383" ht="15.75" customHeight="1">
      <c r="C383" s="67"/>
      <c r="D383" s="67"/>
      <c r="E383" s="67"/>
    </row>
    <row r="384" ht="15.75" customHeight="1">
      <c r="C384" s="67"/>
      <c r="D384" s="67"/>
      <c r="E384" s="67"/>
    </row>
    <row r="385" ht="15.75" customHeight="1">
      <c r="C385" s="67"/>
      <c r="D385" s="67"/>
      <c r="E385" s="67"/>
    </row>
    <row r="386" ht="15.75" customHeight="1">
      <c r="C386" s="67"/>
      <c r="D386" s="67"/>
      <c r="E386" s="67"/>
    </row>
    <row r="387" ht="15.75" customHeight="1">
      <c r="C387" s="67"/>
      <c r="D387" s="67"/>
      <c r="E387" s="67"/>
    </row>
    <row r="388" ht="15.75" customHeight="1">
      <c r="C388" s="67"/>
      <c r="D388" s="67"/>
      <c r="E388" s="67"/>
    </row>
    <row r="389" ht="15.75" customHeight="1">
      <c r="C389" s="67"/>
      <c r="D389" s="67"/>
      <c r="E389" s="67"/>
    </row>
    <row r="390" ht="15.75" customHeight="1">
      <c r="C390" s="67"/>
      <c r="D390" s="67"/>
      <c r="E390" s="67"/>
    </row>
    <row r="391" ht="15.75" customHeight="1">
      <c r="C391" s="67"/>
      <c r="D391" s="67"/>
      <c r="E391" s="67"/>
    </row>
    <row r="392" ht="15.75" customHeight="1">
      <c r="C392" s="67"/>
      <c r="D392" s="67"/>
      <c r="E392" s="67"/>
    </row>
    <row r="393" ht="15.75" customHeight="1">
      <c r="C393" s="67"/>
      <c r="D393" s="67"/>
      <c r="E393" s="67"/>
    </row>
    <row r="394" ht="15.75" customHeight="1">
      <c r="C394" s="67"/>
      <c r="D394" s="67"/>
      <c r="E394" s="67"/>
    </row>
    <row r="395" ht="15.75" customHeight="1">
      <c r="C395" s="67"/>
      <c r="D395" s="67"/>
      <c r="E395" s="67"/>
    </row>
    <row r="396" ht="15.75" customHeight="1">
      <c r="C396" s="67"/>
      <c r="D396" s="67"/>
      <c r="E396" s="67"/>
    </row>
    <row r="397" ht="15.75" customHeight="1">
      <c r="C397" s="67"/>
      <c r="D397" s="67"/>
      <c r="E397" s="67"/>
    </row>
    <row r="398" ht="15.75" customHeight="1">
      <c r="C398" s="67"/>
      <c r="D398" s="67"/>
      <c r="E398" s="67"/>
    </row>
    <row r="399" ht="15.75" customHeight="1">
      <c r="C399" s="67"/>
      <c r="D399" s="67"/>
      <c r="E399" s="67"/>
    </row>
    <row r="400" ht="15.75" customHeight="1">
      <c r="C400" s="67"/>
      <c r="D400" s="67"/>
      <c r="E400" s="67"/>
    </row>
    <row r="401" ht="15.75" customHeight="1">
      <c r="C401" s="67"/>
      <c r="D401" s="67"/>
      <c r="E401" s="67"/>
    </row>
    <row r="402" ht="15.75" customHeight="1">
      <c r="C402" s="67"/>
      <c r="D402" s="67"/>
      <c r="E402" s="67"/>
    </row>
    <row r="403" ht="15.75" customHeight="1">
      <c r="C403" s="67"/>
      <c r="D403" s="67"/>
      <c r="E403" s="67"/>
    </row>
    <row r="404" ht="15.75" customHeight="1">
      <c r="C404" s="67"/>
      <c r="D404" s="67"/>
      <c r="E404" s="67"/>
    </row>
    <row r="405" ht="15.75" customHeight="1">
      <c r="C405" s="67"/>
      <c r="D405" s="67"/>
      <c r="E405" s="67"/>
    </row>
    <row r="406" ht="15.75" customHeight="1">
      <c r="C406" s="67"/>
      <c r="D406" s="67"/>
      <c r="E406" s="67"/>
    </row>
    <row r="407" ht="15.75" customHeight="1">
      <c r="C407" s="67"/>
      <c r="D407" s="67"/>
      <c r="E407" s="67"/>
    </row>
    <row r="408" ht="15.75" customHeight="1">
      <c r="C408" s="67"/>
      <c r="D408" s="67"/>
      <c r="E408" s="67"/>
    </row>
    <row r="409" ht="15.75" customHeight="1">
      <c r="C409" s="67"/>
      <c r="D409" s="67"/>
      <c r="E409" s="67"/>
    </row>
    <row r="410" ht="15.75" customHeight="1">
      <c r="C410" s="67"/>
      <c r="D410" s="67"/>
      <c r="E410" s="67"/>
    </row>
    <row r="411" ht="15.75" customHeight="1">
      <c r="C411" s="67"/>
      <c r="D411" s="67"/>
      <c r="E411" s="67"/>
    </row>
    <row r="412" ht="15.75" customHeight="1">
      <c r="C412" s="67"/>
      <c r="D412" s="67"/>
      <c r="E412" s="67"/>
    </row>
    <row r="413" ht="15.75" customHeight="1">
      <c r="C413" s="67"/>
      <c r="D413" s="67"/>
      <c r="E413" s="67"/>
    </row>
    <row r="414" ht="15.75" customHeight="1">
      <c r="C414" s="67"/>
      <c r="D414" s="67"/>
      <c r="E414" s="67"/>
    </row>
    <row r="415" ht="15.75" customHeight="1">
      <c r="C415" s="67"/>
      <c r="D415" s="67"/>
      <c r="E415" s="67"/>
    </row>
    <row r="416" ht="15.75" customHeight="1">
      <c r="C416" s="67"/>
      <c r="D416" s="67"/>
      <c r="E416" s="67"/>
    </row>
    <row r="417" ht="15.75" customHeight="1">
      <c r="C417" s="67"/>
      <c r="D417" s="67"/>
      <c r="E417" s="67"/>
    </row>
    <row r="418" ht="15.75" customHeight="1">
      <c r="C418" s="67"/>
      <c r="D418" s="67"/>
      <c r="E418" s="67"/>
    </row>
    <row r="419" ht="15.75" customHeight="1">
      <c r="C419" s="67"/>
      <c r="D419" s="67"/>
      <c r="E419" s="67"/>
    </row>
    <row r="420" ht="15.75" customHeight="1">
      <c r="C420" s="67"/>
      <c r="D420" s="67"/>
      <c r="E420" s="67"/>
    </row>
    <row r="421" ht="15.75" customHeight="1">
      <c r="C421" s="67"/>
      <c r="D421" s="67"/>
      <c r="E421" s="67"/>
    </row>
    <row r="422" ht="15.75" customHeight="1">
      <c r="C422" s="67"/>
      <c r="D422" s="67"/>
      <c r="E422" s="67"/>
    </row>
    <row r="423" ht="15.75" customHeight="1">
      <c r="C423" s="67"/>
      <c r="D423" s="67"/>
      <c r="E423" s="67"/>
    </row>
    <row r="424" ht="15.75" customHeight="1">
      <c r="C424" s="67"/>
      <c r="D424" s="67"/>
      <c r="E424" s="67"/>
    </row>
    <row r="425" ht="15.75" customHeight="1">
      <c r="C425" s="67"/>
      <c r="D425" s="67"/>
      <c r="E425" s="67"/>
    </row>
    <row r="426" ht="15.75" customHeight="1">
      <c r="C426" s="67"/>
      <c r="D426" s="67"/>
      <c r="E426" s="67"/>
    </row>
    <row r="427" ht="15.75" customHeight="1">
      <c r="C427" s="67"/>
      <c r="D427" s="67"/>
      <c r="E427" s="67"/>
    </row>
    <row r="428" ht="15.75" customHeight="1">
      <c r="C428" s="67"/>
      <c r="D428" s="67"/>
      <c r="E428" s="67"/>
    </row>
    <row r="429" ht="15.75" customHeight="1">
      <c r="C429" s="67"/>
      <c r="D429" s="67"/>
      <c r="E429" s="67"/>
    </row>
    <row r="430" ht="15.75" customHeight="1">
      <c r="C430" s="67"/>
      <c r="D430" s="67"/>
      <c r="E430" s="67"/>
    </row>
    <row r="431" ht="15.75" customHeight="1">
      <c r="C431" s="67"/>
      <c r="D431" s="67"/>
      <c r="E431" s="67"/>
    </row>
    <row r="432" ht="15.75" customHeight="1">
      <c r="C432" s="67"/>
      <c r="D432" s="67"/>
      <c r="E432" s="67"/>
    </row>
    <row r="433" ht="15.75" customHeight="1">
      <c r="C433" s="67"/>
      <c r="D433" s="67"/>
      <c r="E433" s="67"/>
    </row>
    <row r="434" ht="15.75" customHeight="1">
      <c r="C434" s="67"/>
      <c r="D434" s="67"/>
      <c r="E434" s="67"/>
    </row>
    <row r="435" ht="15.75" customHeight="1">
      <c r="C435" s="67"/>
      <c r="D435" s="67"/>
      <c r="E435" s="67"/>
    </row>
    <row r="436" ht="15.75" customHeight="1">
      <c r="C436" s="67"/>
      <c r="D436" s="67"/>
      <c r="E436" s="67"/>
    </row>
    <row r="437" ht="15.75" customHeight="1">
      <c r="C437" s="67"/>
      <c r="D437" s="67"/>
      <c r="E437" s="67"/>
    </row>
    <row r="438" ht="15.75" customHeight="1">
      <c r="C438" s="67"/>
      <c r="D438" s="67"/>
      <c r="E438" s="67"/>
    </row>
    <row r="439" ht="15.75" customHeight="1">
      <c r="C439" s="67"/>
      <c r="D439" s="67"/>
      <c r="E439" s="67"/>
    </row>
    <row r="440" ht="15.75" customHeight="1">
      <c r="C440" s="67"/>
      <c r="D440" s="67"/>
      <c r="E440" s="67"/>
    </row>
    <row r="441" ht="15.75" customHeight="1">
      <c r="C441" s="67"/>
      <c r="D441" s="67"/>
      <c r="E441" s="67"/>
    </row>
    <row r="442" ht="15.75" customHeight="1">
      <c r="C442" s="67"/>
      <c r="D442" s="67"/>
      <c r="E442" s="67"/>
    </row>
    <row r="443" ht="15.75" customHeight="1">
      <c r="C443" s="67"/>
      <c r="D443" s="67"/>
      <c r="E443" s="67"/>
    </row>
    <row r="444" ht="15.75" customHeight="1">
      <c r="C444" s="67"/>
      <c r="D444" s="67"/>
      <c r="E444" s="67"/>
    </row>
    <row r="445" ht="15.75" customHeight="1">
      <c r="C445" s="67"/>
      <c r="D445" s="67"/>
      <c r="E445" s="67"/>
    </row>
    <row r="446" ht="15.75" customHeight="1">
      <c r="C446" s="67"/>
      <c r="D446" s="67"/>
      <c r="E446" s="67"/>
    </row>
    <row r="447" ht="15.75" customHeight="1">
      <c r="C447" s="67"/>
      <c r="D447" s="67"/>
      <c r="E447" s="67"/>
    </row>
    <row r="448" ht="15.75" customHeight="1">
      <c r="C448" s="67"/>
      <c r="D448" s="67"/>
      <c r="E448" s="67"/>
    </row>
    <row r="449" ht="15.75" customHeight="1">
      <c r="C449" s="67"/>
      <c r="D449" s="67"/>
      <c r="E449" s="67"/>
    </row>
    <row r="450" ht="15.75" customHeight="1">
      <c r="C450" s="67"/>
      <c r="D450" s="67"/>
      <c r="E450" s="67"/>
    </row>
    <row r="451" ht="15.75" customHeight="1">
      <c r="C451" s="67"/>
      <c r="D451" s="67"/>
      <c r="E451" s="67"/>
    </row>
    <row r="452" ht="15.75" customHeight="1">
      <c r="C452" s="67"/>
      <c r="D452" s="67"/>
      <c r="E452" s="67"/>
    </row>
    <row r="453" ht="15.75" customHeight="1">
      <c r="C453" s="67"/>
      <c r="D453" s="67"/>
      <c r="E453" s="67"/>
    </row>
    <row r="454" ht="15.75" customHeight="1">
      <c r="C454" s="67"/>
      <c r="D454" s="67"/>
      <c r="E454" s="67"/>
    </row>
    <row r="455" ht="15.75" customHeight="1">
      <c r="C455" s="67"/>
      <c r="D455" s="67"/>
      <c r="E455" s="67"/>
    </row>
    <row r="456" ht="15.75" customHeight="1">
      <c r="C456" s="67"/>
      <c r="D456" s="67"/>
      <c r="E456" s="67"/>
    </row>
    <row r="457" ht="15.75" customHeight="1">
      <c r="C457" s="67"/>
      <c r="D457" s="67"/>
      <c r="E457" s="67"/>
    </row>
    <row r="458" ht="15.75" customHeight="1">
      <c r="C458" s="67"/>
      <c r="D458" s="67"/>
      <c r="E458" s="67"/>
    </row>
    <row r="459" ht="15.75" customHeight="1">
      <c r="C459" s="67"/>
      <c r="D459" s="67"/>
      <c r="E459" s="67"/>
    </row>
    <row r="460" ht="15.75" customHeight="1">
      <c r="C460" s="67"/>
      <c r="D460" s="67"/>
      <c r="E460" s="67"/>
    </row>
    <row r="461" ht="15.75" customHeight="1">
      <c r="C461" s="67"/>
      <c r="D461" s="67"/>
      <c r="E461" s="67"/>
    </row>
    <row r="462" ht="15.75" customHeight="1">
      <c r="C462" s="67"/>
      <c r="D462" s="67"/>
      <c r="E462" s="67"/>
    </row>
    <row r="463" ht="15.75" customHeight="1">
      <c r="C463" s="67"/>
      <c r="D463" s="67"/>
      <c r="E463" s="67"/>
    </row>
    <row r="464" ht="15.75" customHeight="1">
      <c r="C464" s="67"/>
      <c r="D464" s="67"/>
      <c r="E464" s="67"/>
    </row>
    <row r="465" ht="15.75" customHeight="1">
      <c r="C465" s="67"/>
      <c r="D465" s="67"/>
      <c r="E465" s="67"/>
    </row>
    <row r="466" ht="15.75" customHeight="1">
      <c r="C466" s="67"/>
      <c r="D466" s="67"/>
      <c r="E466" s="67"/>
    </row>
    <row r="467" ht="15.75" customHeight="1">
      <c r="C467" s="67"/>
      <c r="D467" s="67"/>
      <c r="E467" s="67"/>
    </row>
    <row r="468" ht="15.75" customHeight="1">
      <c r="C468" s="67"/>
      <c r="D468" s="67"/>
      <c r="E468" s="67"/>
    </row>
    <row r="469" ht="15.75" customHeight="1">
      <c r="C469" s="67"/>
      <c r="D469" s="67"/>
      <c r="E469" s="67"/>
    </row>
    <row r="470" ht="15.75" customHeight="1">
      <c r="C470" s="67"/>
      <c r="D470" s="67"/>
      <c r="E470" s="67"/>
    </row>
    <row r="471" ht="15.75" customHeight="1">
      <c r="C471" s="67"/>
      <c r="D471" s="67"/>
      <c r="E471" s="67"/>
    </row>
    <row r="472" ht="15.75" customHeight="1">
      <c r="C472" s="67"/>
      <c r="D472" s="67"/>
      <c r="E472" s="67"/>
    </row>
    <row r="473" ht="15.75" customHeight="1">
      <c r="C473" s="67"/>
      <c r="D473" s="67"/>
      <c r="E473" s="67"/>
    </row>
    <row r="474" ht="15.75" customHeight="1">
      <c r="C474" s="67"/>
      <c r="D474" s="67"/>
      <c r="E474" s="67"/>
    </row>
    <row r="475" ht="15.75" customHeight="1">
      <c r="C475" s="67"/>
      <c r="D475" s="67"/>
      <c r="E475" s="67"/>
    </row>
    <row r="476" ht="15.75" customHeight="1">
      <c r="C476" s="67"/>
      <c r="D476" s="67"/>
      <c r="E476" s="67"/>
    </row>
    <row r="477" ht="15.75" customHeight="1">
      <c r="C477" s="67"/>
      <c r="D477" s="67"/>
      <c r="E477" s="67"/>
    </row>
    <row r="478" ht="15.75" customHeight="1">
      <c r="C478" s="67"/>
      <c r="D478" s="67"/>
      <c r="E478" s="67"/>
    </row>
    <row r="479" ht="15.75" customHeight="1">
      <c r="C479" s="67"/>
      <c r="D479" s="67"/>
      <c r="E479" s="67"/>
    </row>
    <row r="480" ht="15.75" customHeight="1">
      <c r="C480" s="67"/>
      <c r="D480" s="67"/>
      <c r="E480" s="67"/>
    </row>
    <row r="481" ht="15.75" customHeight="1">
      <c r="C481" s="67"/>
      <c r="D481" s="67"/>
      <c r="E481" s="67"/>
    </row>
    <row r="482" ht="15.75" customHeight="1">
      <c r="C482" s="67"/>
      <c r="D482" s="67"/>
      <c r="E482" s="67"/>
    </row>
    <row r="483" ht="15.75" customHeight="1">
      <c r="C483" s="67"/>
      <c r="D483" s="67"/>
      <c r="E483" s="67"/>
    </row>
    <row r="484" ht="15.75" customHeight="1">
      <c r="C484" s="67"/>
      <c r="D484" s="67"/>
      <c r="E484" s="67"/>
    </row>
    <row r="485" ht="15.75" customHeight="1">
      <c r="C485" s="67"/>
      <c r="D485" s="67"/>
      <c r="E485" s="67"/>
    </row>
    <row r="486" ht="15.75" customHeight="1">
      <c r="C486" s="67"/>
      <c r="D486" s="67"/>
      <c r="E486" s="67"/>
    </row>
    <row r="487" ht="15.75" customHeight="1">
      <c r="C487" s="67"/>
      <c r="D487" s="67"/>
      <c r="E487" s="67"/>
    </row>
    <row r="488" ht="15.75" customHeight="1">
      <c r="C488" s="67"/>
      <c r="D488" s="67"/>
      <c r="E488" s="67"/>
    </row>
    <row r="489" ht="15.75" customHeight="1">
      <c r="C489" s="67"/>
      <c r="D489" s="67"/>
      <c r="E489" s="67"/>
    </row>
    <row r="490" ht="15.75" customHeight="1">
      <c r="C490" s="67"/>
      <c r="D490" s="67"/>
      <c r="E490" s="67"/>
    </row>
    <row r="491" ht="15.75" customHeight="1">
      <c r="C491" s="67"/>
      <c r="D491" s="67"/>
      <c r="E491" s="67"/>
    </row>
    <row r="492" ht="15.75" customHeight="1">
      <c r="C492" s="67"/>
      <c r="D492" s="67"/>
      <c r="E492" s="67"/>
    </row>
    <row r="493" ht="15.75" customHeight="1">
      <c r="C493" s="67"/>
      <c r="D493" s="67"/>
      <c r="E493" s="67"/>
    </row>
    <row r="494" ht="15.75" customHeight="1">
      <c r="C494" s="67"/>
      <c r="D494" s="67"/>
      <c r="E494" s="67"/>
    </row>
    <row r="495" ht="15.75" customHeight="1">
      <c r="C495" s="67"/>
      <c r="D495" s="67"/>
      <c r="E495" s="67"/>
    </row>
    <row r="496" ht="15.75" customHeight="1">
      <c r="C496" s="67"/>
      <c r="D496" s="67"/>
      <c r="E496" s="67"/>
    </row>
    <row r="497" ht="15.75" customHeight="1">
      <c r="C497" s="67"/>
      <c r="D497" s="67"/>
      <c r="E497" s="67"/>
    </row>
    <row r="498" ht="15.75" customHeight="1">
      <c r="C498" s="67"/>
      <c r="D498" s="67"/>
      <c r="E498" s="67"/>
    </row>
    <row r="499" ht="15.75" customHeight="1">
      <c r="C499" s="67"/>
      <c r="D499" s="67"/>
      <c r="E499" s="67"/>
    </row>
    <row r="500" ht="15.75" customHeight="1">
      <c r="C500" s="67"/>
      <c r="D500" s="67"/>
      <c r="E500" s="67"/>
    </row>
    <row r="501" ht="15.75" customHeight="1">
      <c r="C501" s="67"/>
      <c r="D501" s="67"/>
      <c r="E501" s="67"/>
    </row>
    <row r="502" ht="15.75" customHeight="1">
      <c r="C502" s="67"/>
      <c r="D502" s="67"/>
      <c r="E502" s="67"/>
    </row>
    <row r="503" ht="15.75" customHeight="1">
      <c r="C503" s="67"/>
      <c r="D503" s="67"/>
      <c r="E503" s="67"/>
    </row>
    <row r="504" ht="15.75" customHeight="1">
      <c r="C504" s="67"/>
      <c r="D504" s="67"/>
      <c r="E504" s="67"/>
    </row>
    <row r="505" ht="15.75" customHeight="1">
      <c r="C505" s="67"/>
      <c r="D505" s="67"/>
      <c r="E505" s="67"/>
    </row>
    <row r="506" ht="15.75" customHeight="1">
      <c r="C506" s="67"/>
      <c r="D506" s="67"/>
      <c r="E506" s="67"/>
    </row>
    <row r="507" ht="15.75" customHeight="1">
      <c r="C507" s="67"/>
      <c r="D507" s="67"/>
      <c r="E507" s="67"/>
    </row>
    <row r="508" ht="15.75" customHeight="1">
      <c r="C508" s="67"/>
      <c r="D508" s="67"/>
      <c r="E508" s="67"/>
    </row>
    <row r="509" ht="15.75" customHeight="1">
      <c r="C509" s="67"/>
      <c r="D509" s="67"/>
      <c r="E509" s="67"/>
    </row>
    <row r="510" ht="15.75" customHeight="1">
      <c r="C510" s="67"/>
      <c r="D510" s="67"/>
      <c r="E510" s="67"/>
    </row>
    <row r="511" ht="15.75" customHeight="1">
      <c r="C511" s="67"/>
      <c r="D511" s="67"/>
      <c r="E511" s="67"/>
    </row>
    <row r="512" ht="15.75" customHeight="1">
      <c r="C512" s="67"/>
      <c r="D512" s="67"/>
      <c r="E512" s="67"/>
    </row>
    <row r="513" ht="15.75" customHeight="1">
      <c r="C513" s="67"/>
      <c r="D513" s="67"/>
      <c r="E513" s="67"/>
    </row>
    <row r="514" ht="15.75" customHeight="1">
      <c r="C514" s="67"/>
      <c r="D514" s="67"/>
      <c r="E514" s="67"/>
    </row>
    <row r="515" ht="15.75" customHeight="1">
      <c r="C515" s="67"/>
      <c r="D515" s="67"/>
      <c r="E515" s="67"/>
    </row>
    <row r="516" ht="15.75" customHeight="1">
      <c r="C516" s="67"/>
      <c r="D516" s="67"/>
      <c r="E516" s="67"/>
    </row>
    <row r="517" ht="15.75" customHeight="1">
      <c r="C517" s="67"/>
      <c r="D517" s="67"/>
      <c r="E517" s="67"/>
    </row>
    <row r="518" ht="15.75" customHeight="1">
      <c r="C518" s="67"/>
      <c r="D518" s="67"/>
      <c r="E518" s="67"/>
    </row>
    <row r="519" ht="15.75" customHeight="1">
      <c r="C519" s="67"/>
      <c r="D519" s="67"/>
      <c r="E519" s="67"/>
    </row>
    <row r="520" ht="15.75" customHeight="1">
      <c r="C520" s="67"/>
      <c r="D520" s="67"/>
      <c r="E520" s="67"/>
    </row>
    <row r="521" ht="15.75" customHeight="1">
      <c r="C521" s="67"/>
      <c r="D521" s="67"/>
      <c r="E521" s="67"/>
    </row>
    <row r="522" ht="15.75" customHeight="1">
      <c r="C522" s="67"/>
      <c r="D522" s="67"/>
      <c r="E522" s="67"/>
    </row>
    <row r="523" ht="15.75" customHeight="1">
      <c r="C523" s="67"/>
      <c r="D523" s="67"/>
      <c r="E523" s="67"/>
    </row>
    <row r="524" ht="15.75" customHeight="1">
      <c r="C524" s="67"/>
      <c r="D524" s="67"/>
      <c r="E524" s="67"/>
    </row>
    <row r="525" ht="15.75" customHeight="1">
      <c r="C525" s="67"/>
      <c r="D525" s="67"/>
      <c r="E525" s="67"/>
    </row>
    <row r="526" ht="15.75" customHeight="1">
      <c r="C526" s="67"/>
      <c r="D526" s="67"/>
      <c r="E526" s="67"/>
    </row>
    <row r="527" ht="15.75" customHeight="1">
      <c r="C527" s="67"/>
      <c r="D527" s="67"/>
      <c r="E527" s="67"/>
    </row>
    <row r="528" ht="15.75" customHeight="1">
      <c r="C528" s="67"/>
      <c r="D528" s="67"/>
      <c r="E528" s="67"/>
    </row>
    <row r="529" ht="15.75" customHeight="1">
      <c r="C529" s="67"/>
      <c r="D529" s="67"/>
      <c r="E529" s="67"/>
    </row>
    <row r="530" ht="15.75" customHeight="1">
      <c r="C530" s="67"/>
      <c r="D530" s="67"/>
      <c r="E530" s="67"/>
    </row>
    <row r="531" ht="15.75" customHeight="1">
      <c r="C531" s="67"/>
      <c r="D531" s="67"/>
      <c r="E531" s="67"/>
    </row>
    <row r="532" ht="15.75" customHeight="1">
      <c r="C532" s="67"/>
      <c r="D532" s="67"/>
      <c r="E532" s="67"/>
    </row>
    <row r="533" ht="15.75" customHeight="1">
      <c r="C533" s="67"/>
      <c r="D533" s="67"/>
      <c r="E533" s="67"/>
    </row>
    <row r="534" ht="15.75" customHeight="1">
      <c r="C534" s="67"/>
      <c r="D534" s="67"/>
      <c r="E534" s="67"/>
    </row>
    <row r="535" ht="15.75" customHeight="1">
      <c r="C535" s="67"/>
      <c r="D535" s="67"/>
      <c r="E535" s="67"/>
    </row>
    <row r="536" ht="15.75" customHeight="1">
      <c r="C536" s="67"/>
      <c r="D536" s="67"/>
      <c r="E536" s="67"/>
    </row>
    <row r="537" ht="15.75" customHeight="1">
      <c r="C537" s="67"/>
      <c r="D537" s="67"/>
      <c r="E537" s="67"/>
    </row>
    <row r="538" ht="15.75" customHeight="1">
      <c r="C538" s="67"/>
      <c r="D538" s="67"/>
      <c r="E538" s="67"/>
    </row>
    <row r="539" ht="15.75" customHeight="1">
      <c r="C539" s="67"/>
      <c r="D539" s="67"/>
      <c r="E539" s="67"/>
    </row>
    <row r="540" ht="15.75" customHeight="1">
      <c r="C540" s="67"/>
      <c r="D540" s="67"/>
      <c r="E540" s="67"/>
    </row>
    <row r="541" ht="15.75" customHeight="1">
      <c r="C541" s="67"/>
      <c r="D541" s="67"/>
      <c r="E541" s="67"/>
    </row>
    <row r="542" ht="15.75" customHeight="1">
      <c r="C542" s="67"/>
      <c r="D542" s="67"/>
      <c r="E542" s="67"/>
    </row>
    <row r="543" ht="15.75" customHeight="1">
      <c r="C543" s="67"/>
      <c r="D543" s="67"/>
      <c r="E543" s="67"/>
    </row>
    <row r="544" ht="15.75" customHeight="1">
      <c r="C544" s="67"/>
      <c r="D544" s="67"/>
      <c r="E544" s="67"/>
    </row>
    <row r="545" ht="15.75" customHeight="1">
      <c r="C545" s="67"/>
      <c r="D545" s="67"/>
      <c r="E545" s="67"/>
    </row>
    <row r="546" ht="15.75" customHeight="1">
      <c r="C546" s="67"/>
      <c r="D546" s="67"/>
      <c r="E546" s="67"/>
    </row>
    <row r="547" ht="15.75" customHeight="1">
      <c r="C547" s="67"/>
      <c r="D547" s="67"/>
      <c r="E547" s="67"/>
    </row>
    <row r="548" ht="15.75" customHeight="1">
      <c r="C548" s="67"/>
      <c r="D548" s="67"/>
      <c r="E548" s="67"/>
    </row>
    <row r="549" ht="15.75" customHeight="1">
      <c r="C549" s="67"/>
      <c r="D549" s="67"/>
      <c r="E549" s="67"/>
    </row>
    <row r="550" ht="15.75" customHeight="1">
      <c r="C550" s="67"/>
      <c r="D550" s="67"/>
      <c r="E550" s="67"/>
    </row>
    <row r="551" ht="15.75" customHeight="1">
      <c r="C551" s="67"/>
      <c r="D551" s="67"/>
      <c r="E551" s="67"/>
    </row>
    <row r="552" ht="15.75" customHeight="1">
      <c r="C552" s="67"/>
      <c r="D552" s="67"/>
      <c r="E552" s="67"/>
    </row>
    <row r="553" ht="15.75" customHeight="1">
      <c r="C553" s="67"/>
      <c r="D553" s="67"/>
      <c r="E553" s="67"/>
    </row>
    <row r="554" ht="15.75" customHeight="1">
      <c r="C554" s="67"/>
      <c r="D554" s="67"/>
      <c r="E554" s="67"/>
    </row>
    <row r="555" ht="15.75" customHeight="1">
      <c r="C555" s="67"/>
      <c r="D555" s="67"/>
      <c r="E555" s="67"/>
    </row>
    <row r="556" ht="15.75" customHeight="1">
      <c r="C556" s="67"/>
      <c r="D556" s="67"/>
      <c r="E556" s="67"/>
    </row>
    <row r="557" ht="15.75" customHeight="1">
      <c r="C557" s="67"/>
      <c r="D557" s="67"/>
      <c r="E557" s="67"/>
    </row>
    <row r="558" ht="15.75" customHeight="1">
      <c r="C558" s="67"/>
      <c r="D558" s="67"/>
      <c r="E558" s="67"/>
    </row>
    <row r="559" ht="15.75" customHeight="1">
      <c r="C559" s="67"/>
      <c r="D559" s="67"/>
      <c r="E559" s="67"/>
    </row>
    <row r="560" ht="15.75" customHeight="1">
      <c r="C560" s="67"/>
      <c r="D560" s="67"/>
      <c r="E560" s="67"/>
    </row>
    <row r="561" ht="15.75" customHeight="1">
      <c r="C561" s="67"/>
      <c r="D561" s="67"/>
      <c r="E561" s="67"/>
    </row>
    <row r="562" ht="15.75" customHeight="1">
      <c r="C562" s="67"/>
      <c r="D562" s="67"/>
      <c r="E562" s="67"/>
    </row>
    <row r="563" ht="15.75" customHeight="1">
      <c r="C563" s="67"/>
      <c r="D563" s="67"/>
      <c r="E563" s="67"/>
    </row>
    <row r="564" ht="15.75" customHeight="1">
      <c r="C564" s="67"/>
      <c r="D564" s="67"/>
      <c r="E564" s="67"/>
    </row>
    <row r="565" ht="15.75" customHeight="1">
      <c r="C565" s="67"/>
      <c r="D565" s="67"/>
      <c r="E565" s="67"/>
    </row>
    <row r="566" ht="15.75" customHeight="1">
      <c r="C566" s="67"/>
      <c r="D566" s="67"/>
      <c r="E566" s="67"/>
    </row>
    <row r="567" ht="15.75" customHeight="1">
      <c r="C567" s="67"/>
      <c r="D567" s="67"/>
      <c r="E567" s="67"/>
    </row>
    <row r="568" ht="15.75" customHeight="1">
      <c r="C568" s="67"/>
      <c r="D568" s="67"/>
      <c r="E568" s="67"/>
    </row>
    <row r="569" ht="15.75" customHeight="1">
      <c r="C569" s="67"/>
      <c r="D569" s="67"/>
      <c r="E569" s="67"/>
    </row>
    <row r="570" ht="15.75" customHeight="1">
      <c r="C570" s="67"/>
      <c r="D570" s="67"/>
      <c r="E570" s="67"/>
    </row>
    <row r="571" ht="15.75" customHeight="1">
      <c r="C571" s="67"/>
      <c r="D571" s="67"/>
      <c r="E571" s="67"/>
    </row>
    <row r="572" ht="15.75" customHeight="1">
      <c r="C572" s="67"/>
      <c r="D572" s="67"/>
      <c r="E572" s="67"/>
    </row>
    <row r="573" ht="15.75" customHeight="1">
      <c r="C573" s="67"/>
      <c r="D573" s="67"/>
      <c r="E573" s="67"/>
    </row>
    <row r="574" ht="15.75" customHeight="1">
      <c r="C574" s="67"/>
      <c r="D574" s="67"/>
      <c r="E574" s="67"/>
    </row>
    <row r="575" ht="15.75" customHeight="1">
      <c r="C575" s="67"/>
      <c r="D575" s="67"/>
      <c r="E575" s="67"/>
    </row>
    <row r="576" ht="15.75" customHeight="1">
      <c r="C576" s="67"/>
      <c r="D576" s="67"/>
      <c r="E576" s="67"/>
    </row>
    <row r="577" ht="15.75" customHeight="1">
      <c r="C577" s="67"/>
      <c r="D577" s="67"/>
      <c r="E577" s="67"/>
    </row>
    <row r="578" ht="15.75" customHeight="1">
      <c r="C578" s="67"/>
      <c r="D578" s="67"/>
      <c r="E578" s="67"/>
    </row>
    <row r="579" ht="15.75" customHeight="1">
      <c r="C579" s="67"/>
      <c r="D579" s="67"/>
      <c r="E579" s="67"/>
    </row>
    <row r="580" ht="15.75" customHeight="1">
      <c r="C580" s="67"/>
      <c r="D580" s="67"/>
      <c r="E580" s="67"/>
    </row>
    <row r="581" ht="15.75" customHeight="1">
      <c r="C581" s="67"/>
      <c r="D581" s="67"/>
      <c r="E581" s="67"/>
    </row>
    <row r="582" ht="15.75" customHeight="1">
      <c r="C582" s="67"/>
      <c r="D582" s="67"/>
      <c r="E582" s="67"/>
    </row>
    <row r="583" ht="15.75" customHeight="1">
      <c r="C583" s="67"/>
      <c r="D583" s="67"/>
      <c r="E583" s="67"/>
    </row>
    <row r="584" ht="15.75" customHeight="1">
      <c r="C584" s="67"/>
      <c r="D584" s="67"/>
      <c r="E584" s="67"/>
    </row>
    <row r="585" ht="15.75" customHeight="1">
      <c r="C585" s="67"/>
      <c r="D585" s="67"/>
      <c r="E585" s="67"/>
    </row>
    <row r="586" ht="15.75" customHeight="1">
      <c r="C586" s="67"/>
      <c r="D586" s="67"/>
      <c r="E586" s="67"/>
    </row>
    <row r="587" ht="15.75" customHeight="1">
      <c r="C587" s="67"/>
      <c r="D587" s="67"/>
      <c r="E587" s="67"/>
    </row>
    <row r="588" ht="15.75" customHeight="1">
      <c r="C588" s="67"/>
      <c r="D588" s="67"/>
      <c r="E588" s="67"/>
    </row>
    <row r="589" ht="15.75" customHeight="1">
      <c r="C589" s="67"/>
      <c r="D589" s="67"/>
      <c r="E589" s="67"/>
    </row>
    <row r="590" ht="15.75" customHeight="1">
      <c r="C590" s="67"/>
      <c r="D590" s="67"/>
      <c r="E590" s="67"/>
    </row>
    <row r="591" ht="15.75" customHeight="1">
      <c r="C591" s="67"/>
      <c r="D591" s="67"/>
      <c r="E591" s="67"/>
    </row>
    <row r="592" ht="15.75" customHeight="1">
      <c r="C592" s="67"/>
      <c r="D592" s="67"/>
      <c r="E592" s="67"/>
    </row>
    <row r="593" ht="15.75" customHeight="1">
      <c r="C593" s="67"/>
      <c r="D593" s="67"/>
      <c r="E593" s="67"/>
    </row>
    <row r="594" ht="15.75" customHeight="1">
      <c r="C594" s="67"/>
      <c r="D594" s="67"/>
      <c r="E594" s="67"/>
    </row>
    <row r="595" ht="15.75" customHeight="1">
      <c r="C595" s="67"/>
      <c r="D595" s="67"/>
      <c r="E595" s="67"/>
    </row>
    <row r="596" ht="15.75" customHeight="1">
      <c r="C596" s="67"/>
      <c r="D596" s="67"/>
      <c r="E596" s="67"/>
    </row>
    <row r="597" ht="15.75" customHeight="1">
      <c r="C597" s="67"/>
      <c r="D597" s="67"/>
      <c r="E597" s="67"/>
    </row>
    <row r="598" ht="15.75" customHeight="1">
      <c r="C598" s="67"/>
      <c r="D598" s="67"/>
      <c r="E598" s="67"/>
    </row>
    <row r="599" ht="15.75" customHeight="1">
      <c r="C599" s="67"/>
      <c r="D599" s="67"/>
      <c r="E599" s="67"/>
    </row>
    <row r="600" ht="15.75" customHeight="1">
      <c r="C600" s="67"/>
      <c r="D600" s="67"/>
      <c r="E600" s="67"/>
    </row>
    <row r="601" ht="15.75" customHeight="1">
      <c r="C601" s="67"/>
      <c r="D601" s="67"/>
      <c r="E601" s="67"/>
    </row>
    <row r="602" ht="15.75" customHeight="1">
      <c r="C602" s="67"/>
      <c r="D602" s="67"/>
      <c r="E602" s="67"/>
    </row>
    <row r="603" ht="15.75" customHeight="1">
      <c r="C603" s="67"/>
      <c r="D603" s="67"/>
      <c r="E603" s="67"/>
    </row>
    <row r="604" ht="15.75" customHeight="1">
      <c r="C604" s="67"/>
      <c r="D604" s="67"/>
      <c r="E604" s="67"/>
    </row>
    <row r="605" ht="15.75" customHeight="1">
      <c r="C605" s="67"/>
      <c r="D605" s="67"/>
      <c r="E605" s="67"/>
    </row>
    <row r="606" ht="15.75" customHeight="1">
      <c r="C606" s="67"/>
      <c r="D606" s="67"/>
      <c r="E606" s="67"/>
    </row>
    <row r="607" ht="15.75" customHeight="1">
      <c r="C607" s="67"/>
      <c r="D607" s="67"/>
      <c r="E607" s="67"/>
    </row>
    <row r="608" ht="15.75" customHeight="1">
      <c r="C608" s="67"/>
      <c r="D608" s="67"/>
      <c r="E608" s="67"/>
    </row>
    <row r="609" ht="15.75" customHeight="1">
      <c r="C609" s="67"/>
      <c r="D609" s="67"/>
      <c r="E609" s="67"/>
    </row>
    <row r="610" ht="15.75" customHeight="1">
      <c r="C610" s="67"/>
      <c r="D610" s="67"/>
      <c r="E610" s="67"/>
    </row>
    <row r="611" ht="15.75" customHeight="1">
      <c r="C611" s="67"/>
      <c r="D611" s="67"/>
      <c r="E611" s="67"/>
    </row>
    <row r="612" ht="15.75" customHeight="1">
      <c r="C612" s="67"/>
      <c r="D612" s="67"/>
      <c r="E612" s="67"/>
    </row>
    <row r="613" ht="15.75" customHeight="1">
      <c r="C613" s="67"/>
      <c r="D613" s="67"/>
      <c r="E613" s="67"/>
    </row>
    <row r="614" ht="15.75" customHeight="1">
      <c r="C614" s="67"/>
      <c r="D614" s="67"/>
      <c r="E614" s="67"/>
    </row>
    <row r="615" ht="15.75" customHeight="1">
      <c r="C615" s="67"/>
      <c r="D615" s="67"/>
      <c r="E615" s="67"/>
    </row>
    <row r="616" ht="15.75" customHeight="1">
      <c r="C616" s="67"/>
      <c r="D616" s="67"/>
      <c r="E616" s="67"/>
    </row>
    <row r="617" ht="15.75" customHeight="1">
      <c r="C617" s="67"/>
      <c r="D617" s="67"/>
      <c r="E617" s="67"/>
    </row>
    <row r="618" ht="15.75" customHeight="1">
      <c r="C618" s="67"/>
      <c r="D618" s="67"/>
      <c r="E618" s="67"/>
    </row>
    <row r="619" ht="15.75" customHeight="1">
      <c r="C619" s="67"/>
      <c r="D619" s="67"/>
      <c r="E619" s="67"/>
    </row>
    <row r="620" ht="15.75" customHeight="1">
      <c r="C620" s="67"/>
      <c r="D620" s="67"/>
      <c r="E620" s="67"/>
    </row>
    <row r="621" ht="15.75" customHeight="1">
      <c r="C621" s="67"/>
      <c r="D621" s="67"/>
      <c r="E621" s="67"/>
    </row>
    <row r="622" ht="15.75" customHeight="1">
      <c r="C622" s="67"/>
      <c r="D622" s="67"/>
      <c r="E622" s="67"/>
    </row>
    <row r="623" ht="15.75" customHeight="1">
      <c r="C623" s="67"/>
      <c r="D623" s="67"/>
      <c r="E623" s="67"/>
    </row>
    <row r="624" ht="15.75" customHeight="1">
      <c r="C624" s="67"/>
      <c r="D624" s="67"/>
      <c r="E624" s="67"/>
    </row>
    <row r="625" ht="15.75" customHeight="1">
      <c r="C625" s="67"/>
      <c r="D625" s="67"/>
      <c r="E625" s="67"/>
    </row>
    <row r="626" ht="15.75" customHeight="1">
      <c r="C626" s="67"/>
      <c r="D626" s="67"/>
      <c r="E626" s="67"/>
    </row>
    <row r="627" ht="15.75" customHeight="1">
      <c r="C627" s="67"/>
      <c r="D627" s="67"/>
      <c r="E627" s="67"/>
    </row>
    <row r="628" ht="15.75" customHeight="1">
      <c r="C628" s="67"/>
      <c r="D628" s="67"/>
      <c r="E628" s="67"/>
    </row>
    <row r="629" ht="15.75" customHeight="1">
      <c r="C629" s="67"/>
      <c r="D629" s="67"/>
      <c r="E629" s="67"/>
    </row>
    <row r="630" ht="15.75" customHeight="1">
      <c r="C630" s="67"/>
      <c r="D630" s="67"/>
      <c r="E630" s="67"/>
    </row>
    <row r="631" ht="15.75" customHeight="1">
      <c r="C631" s="67"/>
      <c r="D631" s="67"/>
      <c r="E631" s="67"/>
    </row>
    <row r="632" ht="15.75" customHeight="1">
      <c r="C632" s="67"/>
      <c r="D632" s="67"/>
      <c r="E632" s="67"/>
    </row>
    <row r="633" ht="15.75" customHeight="1">
      <c r="C633" s="67"/>
      <c r="D633" s="67"/>
      <c r="E633" s="67"/>
    </row>
    <row r="634" ht="15.75" customHeight="1">
      <c r="C634" s="67"/>
      <c r="D634" s="67"/>
      <c r="E634" s="67"/>
    </row>
    <row r="635" ht="15.75" customHeight="1">
      <c r="C635" s="67"/>
      <c r="D635" s="67"/>
      <c r="E635" s="67"/>
    </row>
    <row r="636" ht="15.75" customHeight="1">
      <c r="C636" s="67"/>
      <c r="D636" s="67"/>
      <c r="E636" s="67"/>
    </row>
    <row r="637" ht="15.75" customHeight="1">
      <c r="C637" s="67"/>
      <c r="D637" s="67"/>
      <c r="E637" s="67"/>
    </row>
    <row r="638" ht="15.75" customHeight="1">
      <c r="C638" s="67"/>
      <c r="D638" s="67"/>
      <c r="E638" s="67"/>
    </row>
    <row r="639" ht="15.75" customHeight="1">
      <c r="C639" s="67"/>
      <c r="D639" s="67"/>
      <c r="E639" s="67"/>
    </row>
    <row r="640" ht="15.75" customHeight="1">
      <c r="C640" s="67"/>
      <c r="D640" s="67"/>
      <c r="E640" s="67"/>
    </row>
    <row r="641" ht="15.75" customHeight="1">
      <c r="C641" s="67"/>
      <c r="D641" s="67"/>
      <c r="E641" s="67"/>
    </row>
    <row r="642" ht="15.75" customHeight="1">
      <c r="C642" s="67"/>
      <c r="D642" s="67"/>
      <c r="E642" s="67"/>
    </row>
    <row r="643" ht="15.75" customHeight="1">
      <c r="C643" s="67"/>
      <c r="D643" s="67"/>
      <c r="E643" s="67"/>
    </row>
    <row r="644" ht="15.75" customHeight="1">
      <c r="C644" s="67"/>
      <c r="D644" s="67"/>
      <c r="E644" s="67"/>
    </row>
    <row r="645" ht="15.75" customHeight="1">
      <c r="C645" s="67"/>
      <c r="D645" s="67"/>
      <c r="E645" s="67"/>
    </row>
    <row r="646" ht="15.75" customHeight="1">
      <c r="C646" s="67"/>
      <c r="D646" s="67"/>
      <c r="E646" s="67"/>
    </row>
    <row r="647" ht="15.75" customHeight="1">
      <c r="C647" s="67"/>
      <c r="D647" s="67"/>
      <c r="E647" s="67"/>
    </row>
    <row r="648" ht="15.75" customHeight="1">
      <c r="C648" s="67"/>
      <c r="D648" s="67"/>
      <c r="E648" s="67"/>
    </row>
    <row r="649" ht="15.75" customHeight="1">
      <c r="C649" s="67"/>
      <c r="D649" s="67"/>
      <c r="E649" s="67"/>
    </row>
    <row r="650" ht="15.75" customHeight="1">
      <c r="C650" s="67"/>
      <c r="D650" s="67"/>
      <c r="E650" s="67"/>
    </row>
    <row r="651" ht="15.75" customHeight="1">
      <c r="C651" s="67"/>
      <c r="D651" s="67"/>
      <c r="E651" s="67"/>
    </row>
    <row r="652" ht="15.75" customHeight="1">
      <c r="C652" s="67"/>
      <c r="D652" s="67"/>
      <c r="E652" s="67"/>
    </row>
    <row r="653" ht="15.75" customHeight="1">
      <c r="C653" s="67"/>
      <c r="D653" s="67"/>
      <c r="E653" s="67"/>
    </row>
    <row r="654" ht="15.75" customHeight="1">
      <c r="C654" s="67"/>
      <c r="D654" s="67"/>
      <c r="E654" s="67"/>
    </row>
    <row r="655" ht="15.75" customHeight="1">
      <c r="C655" s="67"/>
      <c r="D655" s="67"/>
      <c r="E655" s="67"/>
    </row>
    <row r="656" ht="15.75" customHeight="1">
      <c r="C656" s="67"/>
      <c r="D656" s="67"/>
      <c r="E656" s="67"/>
    </row>
    <row r="657" ht="15.75" customHeight="1">
      <c r="C657" s="67"/>
      <c r="D657" s="67"/>
      <c r="E657" s="67"/>
    </row>
    <row r="658" ht="15.75" customHeight="1">
      <c r="C658" s="67"/>
      <c r="D658" s="67"/>
      <c r="E658" s="67"/>
    </row>
    <row r="659" ht="15.75" customHeight="1">
      <c r="C659" s="67"/>
      <c r="D659" s="67"/>
      <c r="E659" s="67"/>
    </row>
    <row r="660" ht="15.75" customHeight="1">
      <c r="C660" s="67"/>
      <c r="D660" s="67"/>
      <c r="E660" s="67"/>
    </row>
    <row r="661" ht="15.75" customHeight="1">
      <c r="C661" s="67"/>
      <c r="D661" s="67"/>
      <c r="E661" s="67"/>
    </row>
    <row r="662" ht="15.75" customHeight="1">
      <c r="C662" s="67"/>
      <c r="D662" s="67"/>
      <c r="E662" s="67"/>
    </row>
    <row r="663" ht="15.75" customHeight="1">
      <c r="C663" s="67"/>
      <c r="D663" s="67"/>
      <c r="E663" s="67"/>
    </row>
    <row r="664" ht="15.75" customHeight="1">
      <c r="C664" s="67"/>
      <c r="D664" s="67"/>
      <c r="E664" s="67"/>
    </row>
    <row r="665" ht="15.75" customHeight="1">
      <c r="C665" s="67"/>
      <c r="D665" s="67"/>
      <c r="E665" s="67"/>
    </row>
    <row r="666" ht="15.75" customHeight="1">
      <c r="C666" s="67"/>
      <c r="D666" s="67"/>
      <c r="E666" s="67"/>
    </row>
    <row r="667" ht="15.75" customHeight="1">
      <c r="C667" s="67"/>
      <c r="D667" s="67"/>
      <c r="E667" s="67"/>
    </row>
    <row r="668" ht="15.75" customHeight="1">
      <c r="C668" s="67"/>
      <c r="D668" s="67"/>
      <c r="E668" s="67"/>
    </row>
    <row r="669" ht="15.75" customHeight="1">
      <c r="C669" s="67"/>
      <c r="D669" s="67"/>
      <c r="E669" s="67"/>
    </row>
    <row r="670" ht="15.75" customHeight="1">
      <c r="C670" s="67"/>
      <c r="D670" s="67"/>
      <c r="E670" s="67"/>
    </row>
    <row r="671" ht="15.75" customHeight="1">
      <c r="C671" s="67"/>
      <c r="D671" s="67"/>
      <c r="E671" s="67"/>
    </row>
    <row r="672" ht="15.75" customHeight="1">
      <c r="C672" s="67"/>
      <c r="D672" s="67"/>
      <c r="E672" s="67"/>
    </row>
    <row r="673" ht="15.75" customHeight="1">
      <c r="C673" s="67"/>
      <c r="D673" s="67"/>
      <c r="E673" s="67"/>
    </row>
    <row r="674" ht="15.75" customHeight="1">
      <c r="C674" s="67"/>
      <c r="D674" s="67"/>
      <c r="E674" s="67"/>
    </row>
    <row r="675" ht="15.75" customHeight="1">
      <c r="C675" s="67"/>
      <c r="D675" s="67"/>
      <c r="E675" s="67"/>
    </row>
    <row r="676" ht="15.75" customHeight="1">
      <c r="C676" s="67"/>
      <c r="D676" s="67"/>
      <c r="E676" s="67"/>
    </row>
    <row r="677" ht="15.75" customHeight="1">
      <c r="C677" s="67"/>
      <c r="D677" s="67"/>
      <c r="E677" s="67"/>
    </row>
    <row r="678" ht="15.75" customHeight="1">
      <c r="C678" s="67"/>
      <c r="D678" s="67"/>
      <c r="E678" s="67"/>
    </row>
    <row r="679" ht="15.75" customHeight="1">
      <c r="C679" s="67"/>
      <c r="D679" s="67"/>
      <c r="E679" s="67"/>
    </row>
    <row r="680" ht="15.75" customHeight="1">
      <c r="C680" s="67"/>
      <c r="D680" s="67"/>
      <c r="E680" s="67"/>
    </row>
    <row r="681" ht="15.75" customHeight="1">
      <c r="C681" s="67"/>
      <c r="D681" s="67"/>
      <c r="E681" s="67"/>
    </row>
    <row r="682" ht="15.75" customHeight="1">
      <c r="C682" s="67"/>
      <c r="D682" s="67"/>
      <c r="E682" s="67"/>
    </row>
    <row r="683" ht="15.75" customHeight="1">
      <c r="C683" s="67"/>
      <c r="D683" s="67"/>
      <c r="E683" s="67"/>
    </row>
    <row r="684" ht="15.75" customHeight="1">
      <c r="C684" s="67"/>
      <c r="D684" s="67"/>
      <c r="E684" s="67"/>
    </row>
    <row r="685" ht="15.75" customHeight="1">
      <c r="C685" s="67"/>
      <c r="D685" s="67"/>
      <c r="E685" s="67"/>
    </row>
    <row r="686" ht="15.75" customHeight="1">
      <c r="C686" s="67"/>
      <c r="D686" s="67"/>
      <c r="E686" s="67"/>
    </row>
    <row r="687" ht="15.75" customHeight="1">
      <c r="C687" s="67"/>
      <c r="D687" s="67"/>
      <c r="E687" s="67"/>
    </row>
    <row r="688" ht="15.75" customHeight="1">
      <c r="C688" s="67"/>
      <c r="D688" s="67"/>
      <c r="E688" s="67"/>
    </row>
    <row r="689" ht="15.75" customHeight="1">
      <c r="C689" s="67"/>
      <c r="D689" s="67"/>
      <c r="E689" s="67"/>
    </row>
    <row r="690" ht="15.75" customHeight="1">
      <c r="C690" s="67"/>
      <c r="D690" s="67"/>
      <c r="E690" s="67"/>
    </row>
    <row r="691" ht="15.75" customHeight="1">
      <c r="C691" s="67"/>
      <c r="D691" s="67"/>
      <c r="E691" s="67"/>
    </row>
    <row r="692" ht="15.75" customHeight="1">
      <c r="C692" s="67"/>
      <c r="D692" s="67"/>
      <c r="E692" s="67"/>
    </row>
    <row r="693" ht="15.75" customHeight="1">
      <c r="C693" s="67"/>
      <c r="D693" s="67"/>
      <c r="E693" s="67"/>
    </row>
    <row r="694" ht="15.75" customHeight="1">
      <c r="C694" s="67"/>
      <c r="D694" s="67"/>
      <c r="E694" s="67"/>
    </row>
    <row r="695" ht="15.75" customHeight="1">
      <c r="C695" s="67"/>
      <c r="D695" s="67"/>
      <c r="E695" s="67"/>
    </row>
    <row r="696" ht="15.75" customHeight="1">
      <c r="C696" s="67"/>
      <c r="D696" s="67"/>
      <c r="E696" s="67"/>
    </row>
    <row r="697" ht="15.75" customHeight="1">
      <c r="C697" s="67"/>
      <c r="D697" s="67"/>
      <c r="E697" s="67"/>
    </row>
    <row r="698" ht="15.75" customHeight="1">
      <c r="C698" s="67"/>
      <c r="D698" s="67"/>
      <c r="E698" s="67"/>
    </row>
    <row r="699" ht="15.75" customHeight="1">
      <c r="C699" s="67"/>
      <c r="D699" s="67"/>
      <c r="E699" s="67"/>
    </row>
    <row r="700" ht="15.75" customHeight="1">
      <c r="C700" s="67"/>
      <c r="D700" s="67"/>
      <c r="E700" s="67"/>
    </row>
    <row r="701" ht="15.75" customHeight="1">
      <c r="C701" s="67"/>
      <c r="D701" s="67"/>
      <c r="E701" s="67"/>
    </row>
    <row r="702" ht="15.75" customHeight="1">
      <c r="C702" s="67"/>
      <c r="D702" s="67"/>
      <c r="E702" s="67"/>
    </row>
    <row r="703" ht="15.75" customHeight="1">
      <c r="C703" s="67"/>
      <c r="D703" s="67"/>
      <c r="E703" s="67"/>
    </row>
    <row r="704" ht="15.75" customHeight="1">
      <c r="C704" s="67"/>
      <c r="D704" s="67"/>
      <c r="E704" s="67"/>
    </row>
    <row r="705" ht="15.75" customHeight="1">
      <c r="C705" s="67"/>
      <c r="D705" s="67"/>
      <c r="E705" s="67"/>
    </row>
    <row r="706" ht="15.75" customHeight="1">
      <c r="C706" s="67"/>
      <c r="D706" s="67"/>
      <c r="E706" s="67"/>
    </row>
    <row r="707" ht="15.75" customHeight="1">
      <c r="C707" s="67"/>
      <c r="D707" s="67"/>
      <c r="E707" s="67"/>
    </row>
    <row r="708" ht="15.75" customHeight="1">
      <c r="C708" s="67"/>
      <c r="D708" s="67"/>
      <c r="E708" s="67"/>
    </row>
    <row r="709" ht="15.75" customHeight="1">
      <c r="C709" s="67"/>
      <c r="D709" s="67"/>
      <c r="E709" s="67"/>
    </row>
    <row r="710" ht="15.75" customHeight="1">
      <c r="C710" s="67"/>
      <c r="D710" s="67"/>
      <c r="E710" s="67"/>
    </row>
    <row r="711" ht="15.75" customHeight="1">
      <c r="C711" s="67"/>
      <c r="D711" s="67"/>
      <c r="E711" s="67"/>
    </row>
    <row r="712" ht="15.75" customHeight="1">
      <c r="C712" s="67"/>
      <c r="D712" s="67"/>
      <c r="E712" s="67"/>
    </row>
    <row r="713" ht="15.75" customHeight="1">
      <c r="C713" s="67"/>
      <c r="D713" s="67"/>
      <c r="E713" s="67"/>
    </row>
    <row r="714" ht="15.75" customHeight="1">
      <c r="C714" s="67"/>
      <c r="D714" s="67"/>
      <c r="E714" s="67"/>
    </row>
    <row r="715" ht="15.75" customHeight="1">
      <c r="C715" s="67"/>
      <c r="D715" s="67"/>
      <c r="E715" s="67"/>
    </row>
    <row r="716" ht="15.75" customHeight="1">
      <c r="C716" s="67"/>
      <c r="D716" s="67"/>
      <c r="E716" s="67"/>
    </row>
    <row r="717" ht="15.75" customHeight="1">
      <c r="C717" s="67"/>
      <c r="D717" s="67"/>
      <c r="E717" s="67"/>
    </row>
    <row r="718" ht="15.75" customHeight="1">
      <c r="C718" s="67"/>
      <c r="D718" s="67"/>
      <c r="E718" s="67"/>
    </row>
    <row r="719" ht="15.75" customHeight="1">
      <c r="C719" s="67"/>
      <c r="D719" s="67"/>
      <c r="E719" s="67"/>
    </row>
    <row r="720" ht="15.75" customHeight="1">
      <c r="C720" s="67"/>
      <c r="D720" s="67"/>
      <c r="E720" s="67"/>
    </row>
    <row r="721" ht="15.75" customHeight="1">
      <c r="C721" s="67"/>
      <c r="D721" s="67"/>
      <c r="E721" s="67"/>
    </row>
    <row r="722" ht="15.75" customHeight="1">
      <c r="C722" s="67"/>
      <c r="D722" s="67"/>
      <c r="E722" s="67"/>
    </row>
    <row r="723" ht="15.75" customHeight="1">
      <c r="C723" s="67"/>
      <c r="D723" s="67"/>
      <c r="E723" s="67"/>
    </row>
    <row r="724" ht="15.75" customHeight="1">
      <c r="C724" s="67"/>
      <c r="D724" s="67"/>
      <c r="E724" s="67"/>
    </row>
    <row r="725" ht="15.75" customHeight="1">
      <c r="C725" s="67"/>
      <c r="D725" s="67"/>
      <c r="E725" s="67"/>
    </row>
    <row r="726" ht="15.75" customHeight="1">
      <c r="C726" s="67"/>
      <c r="D726" s="67"/>
      <c r="E726" s="67"/>
    </row>
    <row r="727" ht="15.75" customHeight="1">
      <c r="C727" s="67"/>
      <c r="D727" s="67"/>
      <c r="E727" s="67"/>
    </row>
    <row r="728" ht="15.75" customHeight="1">
      <c r="C728" s="67"/>
      <c r="D728" s="67"/>
      <c r="E728" s="67"/>
    </row>
    <row r="729" ht="15.75" customHeight="1">
      <c r="C729" s="67"/>
      <c r="D729" s="67"/>
      <c r="E729" s="67"/>
    </row>
    <row r="730" ht="15.75" customHeight="1">
      <c r="C730" s="67"/>
      <c r="D730" s="67"/>
      <c r="E730" s="67"/>
    </row>
    <row r="731" ht="15.75" customHeight="1">
      <c r="C731" s="67"/>
      <c r="D731" s="67"/>
      <c r="E731" s="67"/>
    </row>
    <row r="732" ht="15.75" customHeight="1">
      <c r="C732" s="67"/>
      <c r="D732" s="67"/>
      <c r="E732" s="67"/>
    </row>
    <row r="733" ht="15.75" customHeight="1">
      <c r="C733" s="67"/>
      <c r="D733" s="67"/>
      <c r="E733" s="67"/>
    </row>
    <row r="734" ht="15.75" customHeight="1">
      <c r="C734" s="67"/>
      <c r="D734" s="67"/>
      <c r="E734" s="67"/>
    </row>
    <row r="735" ht="15.75" customHeight="1">
      <c r="C735" s="67"/>
      <c r="D735" s="67"/>
      <c r="E735" s="67"/>
    </row>
    <row r="736" ht="15.75" customHeight="1">
      <c r="C736" s="67"/>
      <c r="D736" s="67"/>
      <c r="E736" s="67"/>
    </row>
    <row r="737" ht="15.75" customHeight="1">
      <c r="C737" s="67"/>
      <c r="D737" s="67"/>
      <c r="E737" s="67"/>
    </row>
    <row r="738" ht="15.75" customHeight="1">
      <c r="C738" s="67"/>
      <c r="D738" s="67"/>
      <c r="E738" s="67"/>
    </row>
    <row r="739" ht="15.75" customHeight="1">
      <c r="C739" s="67"/>
      <c r="D739" s="67"/>
      <c r="E739" s="67"/>
    </row>
    <row r="740" ht="15.75" customHeight="1">
      <c r="C740" s="67"/>
      <c r="D740" s="67"/>
      <c r="E740" s="67"/>
    </row>
    <row r="741" ht="15.75" customHeight="1">
      <c r="C741" s="67"/>
      <c r="D741" s="67"/>
      <c r="E741" s="67"/>
    </row>
    <row r="742" ht="15.75" customHeight="1">
      <c r="C742" s="67"/>
      <c r="D742" s="67"/>
      <c r="E742" s="67"/>
    </row>
    <row r="743" ht="15.75" customHeight="1">
      <c r="C743" s="67"/>
      <c r="D743" s="67"/>
      <c r="E743" s="67"/>
    </row>
    <row r="744" ht="15.75" customHeight="1">
      <c r="C744" s="67"/>
      <c r="D744" s="67"/>
      <c r="E744" s="67"/>
    </row>
    <row r="745" ht="15.75" customHeight="1">
      <c r="C745" s="67"/>
      <c r="D745" s="67"/>
      <c r="E745" s="67"/>
    </row>
    <row r="746" ht="15.75" customHeight="1">
      <c r="C746" s="67"/>
      <c r="D746" s="67"/>
      <c r="E746" s="67"/>
    </row>
    <row r="747" ht="15.75" customHeight="1">
      <c r="C747" s="67"/>
      <c r="D747" s="67"/>
      <c r="E747" s="67"/>
    </row>
    <row r="748" ht="15.75" customHeight="1">
      <c r="C748" s="67"/>
      <c r="D748" s="67"/>
      <c r="E748" s="67"/>
    </row>
    <row r="749" ht="15.75" customHeight="1">
      <c r="C749" s="67"/>
      <c r="D749" s="67"/>
      <c r="E749" s="67"/>
    </row>
    <row r="750" ht="15.75" customHeight="1">
      <c r="C750" s="67"/>
      <c r="D750" s="67"/>
      <c r="E750" s="67"/>
    </row>
    <row r="751" ht="15.75" customHeight="1">
      <c r="C751" s="67"/>
      <c r="D751" s="67"/>
      <c r="E751" s="67"/>
    </row>
    <row r="752" ht="15.75" customHeight="1">
      <c r="C752" s="67"/>
      <c r="D752" s="67"/>
      <c r="E752" s="67"/>
    </row>
    <row r="753" ht="15.75" customHeight="1">
      <c r="C753" s="67"/>
      <c r="D753" s="67"/>
      <c r="E753" s="67"/>
    </row>
    <row r="754" ht="15.75" customHeight="1">
      <c r="C754" s="67"/>
      <c r="D754" s="67"/>
      <c r="E754" s="67"/>
    </row>
    <row r="755" ht="15.75" customHeight="1">
      <c r="C755" s="67"/>
      <c r="D755" s="67"/>
      <c r="E755" s="67"/>
    </row>
    <row r="756" ht="15.75" customHeight="1">
      <c r="C756" s="67"/>
      <c r="D756" s="67"/>
      <c r="E756" s="67"/>
    </row>
    <row r="757" ht="15.75" customHeight="1">
      <c r="C757" s="67"/>
      <c r="D757" s="67"/>
      <c r="E757" s="67"/>
    </row>
    <row r="758" ht="15.75" customHeight="1">
      <c r="C758" s="67"/>
      <c r="D758" s="67"/>
      <c r="E758" s="67"/>
    </row>
    <row r="759" ht="15.75" customHeight="1">
      <c r="C759" s="67"/>
      <c r="D759" s="67"/>
      <c r="E759" s="67"/>
    </row>
    <row r="760" ht="15.75" customHeight="1">
      <c r="C760" s="67"/>
      <c r="D760" s="67"/>
      <c r="E760" s="67"/>
    </row>
    <row r="761" ht="15.75" customHeight="1">
      <c r="C761" s="67"/>
      <c r="D761" s="67"/>
      <c r="E761" s="67"/>
    </row>
    <row r="762" ht="15.75" customHeight="1">
      <c r="C762" s="67"/>
      <c r="D762" s="67"/>
      <c r="E762" s="67"/>
    </row>
    <row r="763" ht="15.75" customHeight="1">
      <c r="C763" s="67"/>
      <c r="D763" s="67"/>
      <c r="E763" s="67"/>
    </row>
    <row r="764" ht="15.75" customHeight="1">
      <c r="C764" s="67"/>
      <c r="D764" s="67"/>
      <c r="E764" s="67"/>
    </row>
    <row r="765" ht="15.75" customHeight="1">
      <c r="C765" s="67"/>
      <c r="D765" s="67"/>
      <c r="E765" s="67"/>
    </row>
    <row r="766" ht="15.75" customHeight="1">
      <c r="C766" s="67"/>
      <c r="D766" s="67"/>
      <c r="E766" s="67"/>
    </row>
    <row r="767" ht="15.75" customHeight="1">
      <c r="C767" s="67"/>
      <c r="D767" s="67"/>
      <c r="E767" s="67"/>
    </row>
    <row r="768" ht="15.75" customHeight="1">
      <c r="C768" s="67"/>
      <c r="D768" s="67"/>
      <c r="E768" s="67"/>
    </row>
    <row r="769" ht="15.75" customHeight="1">
      <c r="C769" s="67"/>
      <c r="D769" s="67"/>
      <c r="E769" s="67"/>
    </row>
    <row r="770" ht="15.75" customHeight="1">
      <c r="C770" s="67"/>
      <c r="D770" s="67"/>
      <c r="E770" s="67"/>
    </row>
    <row r="771" ht="15.75" customHeight="1">
      <c r="C771" s="67"/>
      <c r="D771" s="67"/>
      <c r="E771" s="67"/>
    </row>
    <row r="772" ht="15.75" customHeight="1">
      <c r="C772" s="67"/>
      <c r="D772" s="67"/>
      <c r="E772" s="67"/>
    </row>
    <row r="773" ht="15.75" customHeight="1">
      <c r="C773" s="67"/>
      <c r="D773" s="67"/>
      <c r="E773" s="67"/>
    </row>
    <row r="774" ht="15.75" customHeight="1">
      <c r="C774" s="67"/>
      <c r="D774" s="67"/>
      <c r="E774" s="67"/>
    </row>
    <row r="775" ht="15.75" customHeight="1">
      <c r="C775" s="67"/>
      <c r="D775" s="67"/>
      <c r="E775" s="67"/>
    </row>
    <row r="776" ht="15.75" customHeight="1">
      <c r="C776" s="67"/>
      <c r="D776" s="67"/>
      <c r="E776" s="67"/>
    </row>
    <row r="777" ht="15.75" customHeight="1">
      <c r="C777" s="67"/>
      <c r="D777" s="67"/>
      <c r="E777" s="67"/>
    </row>
    <row r="778" ht="15.75" customHeight="1">
      <c r="C778" s="67"/>
      <c r="D778" s="67"/>
      <c r="E778" s="67"/>
    </row>
    <row r="779" ht="15.75" customHeight="1">
      <c r="C779" s="67"/>
      <c r="D779" s="67"/>
      <c r="E779" s="67"/>
    </row>
    <row r="780" ht="15.75" customHeight="1">
      <c r="C780" s="67"/>
      <c r="D780" s="67"/>
      <c r="E780" s="67"/>
    </row>
    <row r="781" ht="15.75" customHeight="1">
      <c r="C781" s="67"/>
      <c r="D781" s="67"/>
      <c r="E781" s="67"/>
    </row>
    <row r="782" ht="15.75" customHeight="1">
      <c r="C782" s="67"/>
      <c r="D782" s="67"/>
      <c r="E782" s="67"/>
    </row>
    <row r="783" ht="15.75" customHeight="1">
      <c r="C783" s="67"/>
      <c r="D783" s="67"/>
      <c r="E783" s="67"/>
    </row>
    <row r="784" ht="15.75" customHeight="1">
      <c r="C784" s="67"/>
      <c r="D784" s="67"/>
      <c r="E784" s="67"/>
    </row>
    <row r="785" ht="15.75" customHeight="1">
      <c r="C785" s="67"/>
      <c r="D785" s="67"/>
      <c r="E785" s="67"/>
    </row>
    <row r="786" ht="15.75" customHeight="1">
      <c r="C786" s="67"/>
      <c r="D786" s="67"/>
      <c r="E786" s="67"/>
    </row>
    <row r="787" ht="15.75" customHeight="1">
      <c r="C787" s="67"/>
      <c r="D787" s="67"/>
      <c r="E787" s="67"/>
    </row>
    <row r="788" ht="15.75" customHeight="1">
      <c r="C788" s="67"/>
      <c r="D788" s="67"/>
      <c r="E788" s="67"/>
    </row>
    <row r="789" ht="15.75" customHeight="1">
      <c r="C789" s="67"/>
      <c r="D789" s="67"/>
      <c r="E789" s="67"/>
    </row>
    <row r="790" ht="15.75" customHeight="1">
      <c r="C790" s="67"/>
      <c r="D790" s="67"/>
      <c r="E790" s="67"/>
    </row>
    <row r="791" ht="15.75" customHeight="1">
      <c r="C791" s="67"/>
      <c r="D791" s="67"/>
      <c r="E791" s="67"/>
    </row>
    <row r="792" ht="15.75" customHeight="1">
      <c r="C792" s="67"/>
      <c r="D792" s="67"/>
      <c r="E792" s="67"/>
    </row>
    <row r="793" ht="15.75" customHeight="1">
      <c r="C793" s="67"/>
      <c r="D793" s="67"/>
      <c r="E793" s="67"/>
    </row>
    <row r="794" ht="15.75" customHeight="1">
      <c r="C794" s="67"/>
      <c r="D794" s="67"/>
      <c r="E794" s="67"/>
    </row>
    <row r="795" ht="15.75" customHeight="1">
      <c r="C795" s="67"/>
      <c r="D795" s="67"/>
      <c r="E795" s="67"/>
    </row>
    <row r="796" ht="15.75" customHeight="1">
      <c r="C796" s="67"/>
      <c r="D796" s="67"/>
      <c r="E796" s="67"/>
    </row>
    <row r="797" ht="15.75" customHeight="1">
      <c r="C797" s="67"/>
      <c r="D797" s="67"/>
      <c r="E797" s="67"/>
    </row>
    <row r="798" ht="15.75" customHeight="1">
      <c r="C798" s="67"/>
      <c r="D798" s="67"/>
      <c r="E798" s="67"/>
    </row>
    <row r="799" ht="15.75" customHeight="1">
      <c r="C799" s="67"/>
      <c r="D799" s="67"/>
      <c r="E799" s="67"/>
    </row>
    <row r="800" ht="15.75" customHeight="1">
      <c r="C800" s="67"/>
      <c r="D800" s="67"/>
      <c r="E800" s="67"/>
    </row>
    <row r="801" ht="15.75" customHeight="1">
      <c r="C801" s="67"/>
      <c r="D801" s="67"/>
      <c r="E801" s="67"/>
    </row>
    <row r="802" ht="15.75" customHeight="1">
      <c r="C802" s="67"/>
      <c r="D802" s="67"/>
      <c r="E802" s="67"/>
    </row>
    <row r="803" ht="15.75" customHeight="1">
      <c r="C803" s="67"/>
      <c r="D803" s="67"/>
      <c r="E803" s="67"/>
    </row>
    <row r="804" ht="15.75" customHeight="1">
      <c r="C804" s="67"/>
      <c r="D804" s="67"/>
      <c r="E804" s="67"/>
    </row>
    <row r="805" ht="15.75" customHeight="1">
      <c r="C805" s="67"/>
      <c r="D805" s="67"/>
      <c r="E805" s="67"/>
    </row>
    <row r="806" ht="15.75" customHeight="1">
      <c r="C806" s="67"/>
      <c r="D806" s="67"/>
      <c r="E806" s="67"/>
    </row>
    <row r="807" ht="15.75" customHeight="1">
      <c r="C807" s="67"/>
      <c r="D807" s="67"/>
      <c r="E807" s="67"/>
    </row>
    <row r="808" ht="15.75" customHeight="1">
      <c r="C808" s="67"/>
      <c r="D808" s="67"/>
      <c r="E808" s="67"/>
    </row>
    <row r="809" ht="15.75" customHeight="1">
      <c r="C809" s="67"/>
      <c r="D809" s="67"/>
      <c r="E809" s="67"/>
    </row>
    <row r="810" ht="15.75" customHeight="1">
      <c r="C810" s="67"/>
      <c r="D810" s="67"/>
      <c r="E810" s="67"/>
    </row>
    <row r="811" ht="15.75" customHeight="1">
      <c r="C811" s="67"/>
      <c r="D811" s="67"/>
      <c r="E811" s="67"/>
    </row>
    <row r="812" ht="15.75" customHeight="1">
      <c r="C812" s="67"/>
      <c r="D812" s="67"/>
      <c r="E812" s="67"/>
    </row>
    <row r="813" ht="15.75" customHeight="1">
      <c r="C813" s="67"/>
      <c r="D813" s="67"/>
      <c r="E813" s="67"/>
    </row>
    <row r="814" ht="15.75" customHeight="1">
      <c r="C814" s="67"/>
      <c r="D814" s="67"/>
      <c r="E814" s="67"/>
    </row>
    <row r="815" ht="15.75" customHeight="1">
      <c r="C815" s="67"/>
      <c r="D815" s="67"/>
      <c r="E815" s="67"/>
    </row>
    <row r="816" ht="15.75" customHeight="1">
      <c r="C816" s="67"/>
      <c r="D816" s="67"/>
      <c r="E816" s="67"/>
    </row>
    <row r="817" ht="15.75" customHeight="1">
      <c r="C817" s="67"/>
      <c r="D817" s="67"/>
      <c r="E817" s="67"/>
    </row>
    <row r="818" ht="15.75" customHeight="1">
      <c r="C818" s="67"/>
      <c r="D818" s="67"/>
      <c r="E818" s="67"/>
    </row>
    <row r="819" ht="15.75" customHeight="1">
      <c r="C819" s="67"/>
      <c r="D819" s="67"/>
      <c r="E819" s="67"/>
    </row>
    <row r="820" ht="15.75" customHeight="1">
      <c r="C820" s="67"/>
      <c r="D820" s="67"/>
      <c r="E820" s="67"/>
    </row>
    <row r="821" ht="15.75" customHeight="1">
      <c r="C821" s="67"/>
      <c r="D821" s="67"/>
      <c r="E821" s="67"/>
    </row>
    <row r="822" ht="15.75" customHeight="1">
      <c r="C822" s="67"/>
      <c r="D822" s="67"/>
      <c r="E822" s="67"/>
    </row>
    <row r="823" ht="15.75" customHeight="1">
      <c r="C823" s="67"/>
      <c r="D823" s="67"/>
      <c r="E823" s="67"/>
    </row>
    <row r="824" ht="15.75" customHeight="1">
      <c r="C824" s="67"/>
      <c r="D824" s="67"/>
      <c r="E824" s="67"/>
    </row>
    <row r="825" ht="15.75" customHeight="1">
      <c r="C825" s="67"/>
      <c r="D825" s="67"/>
      <c r="E825" s="67"/>
    </row>
    <row r="826" ht="15.75" customHeight="1">
      <c r="C826" s="67"/>
      <c r="D826" s="67"/>
      <c r="E826" s="67"/>
    </row>
    <row r="827" ht="15.75" customHeight="1">
      <c r="C827" s="67"/>
      <c r="D827" s="67"/>
      <c r="E827" s="67"/>
    </row>
    <row r="828" ht="15.75" customHeight="1">
      <c r="C828" s="67"/>
      <c r="D828" s="67"/>
      <c r="E828" s="67"/>
    </row>
    <row r="829" ht="15.75" customHeight="1">
      <c r="C829" s="67"/>
      <c r="D829" s="67"/>
      <c r="E829" s="67"/>
    </row>
    <row r="830" ht="15.75" customHeight="1">
      <c r="C830" s="67"/>
      <c r="D830" s="67"/>
      <c r="E830" s="67"/>
    </row>
    <row r="831" ht="15.75" customHeight="1">
      <c r="C831" s="67"/>
      <c r="D831" s="67"/>
      <c r="E831" s="67"/>
    </row>
    <row r="832" ht="15.75" customHeight="1">
      <c r="C832" s="67"/>
      <c r="D832" s="67"/>
      <c r="E832" s="67"/>
    </row>
    <row r="833" ht="15.75" customHeight="1">
      <c r="C833" s="67"/>
      <c r="D833" s="67"/>
      <c r="E833" s="67"/>
    </row>
    <row r="834" ht="15.75" customHeight="1">
      <c r="C834" s="67"/>
      <c r="D834" s="67"/>
      <c r="E834" s="67"/>
    </row>
    <row r="835" ht="15.75" customHeight="1">
      <c r="C835" s="67"/>
      <c r="D835" s="67"/>
      <c r="E835" s="67"/>
    </row>
    <row r="836" ht="15.75" customHeight="1">
      <c r="C836" s="67"/>
      <c r="D836" s="67"/>
      <c r="E836" s="67"/>
    </row>
    <row r="837" ht="15.75" customHeight="1">
      <c r="C837" s="67"/>
      <c r="D837" s="67"/>
      <c r="E837" s="67"/>
    </row>
    <row r="838" ht="15.75" customHeight="1">
      <c r="C838" s="67"/>
      <c r="D838" s="67"/>
      <c r="E838" s="67"/>
    </row>
    <row r="839" ht="15.75" customHeight="1">
      <c r="C839" s="67"/>
      <c r="D839" s="67"/>
      <c r="E839" s="67"/>
    </row>
    <row r="840" ht="15.75" customHeight="1">
      <c r="C840" s="67"/>
      <c r="D840" s="67"/>
      <c r="E840" s="67"/>
    </row>
    <row r="841" ht="15.75" customHeight="1">
      <c r="C841" s="67"/>
      <c r="D841" s="67"/>
      <c r="E841" s="67"/>
    </row>
    <row r="842" ht="15.75" customHeight="1">
      <c r="C842" s="67"/>
      <c r="D842" s="67"/>
      <c r="E842" s="67"/>
    </row>
    <row r="843" ht="15.75" customHeight="1">
      <c r="C843" s="67"/>
      <c r="D843" s="67"/>
      <c r="E843" s="67"/>
    </row>
    <row r="844" ht="15.75" customHeight="1">
      <c r="C844" s="67"/>
      <c r="D844" s="67"/>
      <c r="E844" s="67"/>
    </row>
    <row r="845" ht="15.75" customHeight="1">
      <c r="C845" s="67"/>
      <c r="D845" s="67"/>
      <c r="E845" s="67"/>
    </row>
    <row r="846" ht="15.75" customHeight="1">
      <c r="C846" s="67"/>
      <c r="D846" s="67"/>
      <c r="E846" s="67"/>
    </row>
    <row r="847" ht="15.75" customHeight="1">
      <c r="C847" s="67"/>
      <c r="D847" s="67"/>
      <c r="E847" s="67"/>
    </row>
    <row r="848" ht="15.75" customHeight="1">
      <c r="C848" s="67"/>
      <c r="D848" s="67"/>
      <c r="E848" s="67"/>
    </row>
    <row r="849" ht="15.75" customHeight="1">
      <c r="C849" s="67"/>
      <c r="D849" s="67"/>
      <c r="E849" s="67"/>
    </row>
    <row r="850" ht="15.75" customHeight="1">
      <c r="C850" s="67"/>
      <c r="D850" s="67"/>
      <c r="E850" s="67"/>
    </row>
    <row r="851" ht="15.75" customHeight="1">
      <c r="C851" s="67"/>
      <c r="D851" s="67"/>
      <c r="E851" s="67"/>
    </row>
    <row r="852" ht="15.75" customHeight="1">
      <c r="C852" s="67"/>
      <c r="D852" s="67"/>
      <c r="E852" s="67"/>
    </row>
    <row r="853" ht="15.75" customHeight="1">
      <c r="C853" s="67"/>
      <c r="D853" s="67"/>
      <c r="E853" s="67"/>
    </row>
    <row r="854" ht="15.75" customHeight="1">
      <c r="C854" s="67"/>
      <c r="D854" s="67"/>
      <c r="E854" s="67"/>
    </row>
    <row r="855" ht="15.75" customHeight="1">
      <c r="C855" s="67"/>
      <c r="D855" s="67"/>
      <c r="E855" s="67"/>
    </row>
    <row r="856" ht="15.75" customHeight="1">
      <c r="C856" s="67"/>
      <c r="D856" s="67"/>
      <c r="E856" s="67"/>
    </row>
    <row r="857" ht="15.75" customHeight="1">
      <c r="C857" s="67"/>
      <c r="D857" s="67"/>
      <c r="E857" s="67"/>
    </row>
    <row r="858" ht="15.75" customHeight="1">
      <c r="C858" s="67"/>
      <c r="D858" s="67"/>
      <c r="E858" s="67"/>
    </row>
    <row r="859" ht="15.75" customHeight="1">
      <c r="C859" s="67"/>
      <c r="D859" s="67"/>
      <c r="E859" s="67"/>
    </row>
    <row r="860" ht="15.75" customHeight="1">
      <c r="C860" s="67"/>
      <c r="D860" s="67"/>
      <c r="E860" s="67"/>
    </row>
    <row r="861" ht="15.75" customHeight="1">
      <c r="C861" s="67"/>
      <c r="D861" s="67"/>
      <c r="E861" s="67"/>
    </row>
    <row r="862" ht="15.75" customHeight="1">
      <c r="C862" s="67"/>
      <c r="D862" s="67"/>
      <c r="E862" s="67"/>
    </row>
    <row r="863" ht="15.75" customHeight="1">
      <c r="C863" s="67"/>
      <c r="D863" s="67"/>
      <c r="E863" s="67"/>
    </row>
    <row r="864" ht="15.75" customHeight="1">
      <c r="C864" s="67"/>
      <c r="D864" s="67"/>
      <c r="E864" s="67"/>
    </row>
    <row r="865" ht="15.75" customHeight="1">
      <c r="C865" s="67"/>
      <c r="D865" s="67"/>
      <c r="E865" s="67"/>
    </row>
    <row r="866" ht="15.75" customHeight="1">
      <c r="C866" s="67"/>
      <c r="D866" s="67"/>
      <c r="E866" s="67"/>
    </row>
    <row r="867" ht="15.75" customHeight="1">
      <c r="C867" s="67"/>
      <c r="D867" s="67"/>
      <c r="E867" s="67"/>
    </row>
    <row r="868" ht="15.75" customHeight="1">
      <c r="C868" s="67"/>
      <c r="D868" s="67"/>
      <c r="E868" s="67"/>
    </row>
    <row r="869" ht="15.75" customHeight="1">
      <c r="C869" s="67"/>
      <c r="D869" s="67"/>
      <c r="E869" s="67"/>
    </row>
    <row r="870" ht="15.75" customHeight="1">
      <c r="C870" s="67"/>
      <c r="D870" s="67"/>
      <c r="E870" s="67"/>
    </row>
    <row r="871" ht="15.75" customHeight="1">
      <c r="C871" s="67"/>
      <c r="D871" s="67"/>
      <c r="E871" s="67"/>
    </row>
    <row r="872" ht="15.75" customHeight="1">
      <c r="C872" s="67"/>
      <c r="D872" s="67"/>
      <c r="E872" s="67"/>
    </row>
    <row r="873" ht="15.75" customHeight="1">
      <c r="C873" s="67"/>
      <c r="D873" s="67"/>
      <c r="E873" s="67"/>
    </row>
    <row r="874" ht="15.75" customHeight="1">
      <c r="C874" s="67"/>
      <c r="D874" s="67"/>
      <c r="E874" s="67"/>
    </row>
    <row r="875" ht="15.75" customHeight="1">
      <c r="C875" s="67"/>
      <c r="D875" s="67"/>
      <c r="E875" s="67"/>
    </row>
    <row r="876" ht="15.75" customHeight="1">
      <c r="C876" s="67"/>
      <c r="D876" s="67"/>
      <c r="E876" s="67"/>
    </row>
    <row r="877" ht="15.75" customHeight="1">
      <c r="C877" s="67"/>
      <c r="D877" s="67"/>
      <c r="E877" s="67"/>
    </row>
    <row r="878" ht="15.75" customHeight="1">
      <c r="C878" s="67"/>
      <c r="D878" s="67"/>
      <c r="E878" s="67"/>
    </row>
    <row r="879" ht="15.75" customHeight="1">
      <c r="C879" s="67"/>
      <c r="D879" s="67"/>
      <c r="E879" s="67"/>
    </row>
    <row r="880" ht="15.75" customHeight="1">
      <c r="C880" s="67"/>
      <c r="D880" s="67"/>
      <c r="E880" s="67"/>
    </row>
    <row r="881" ht="15.75" customHeight="1">
      <c r="C881" s="67"/>
      <c r="D881" s="67"/>
      <c r="E881" s="67"/>
    </row>
    <row r="882" ht="15.75" customHeight="1">
      <c r="C882" s="67"/>
      <c r="D882" s="67"/>
      <c r="E882" s="67"/>
    </row>
    <row r="883" ht="15.75" customHeight="1">
      <c r="C883" s="67"/>
      <c r="D883" s="67"/>
      <c r="E883" s="67"/>
    </row>
    <row r="884" ht="15.75" customHeight="1">
      <c r="C884" s="67"/>
      <c r="D884" s="67"/>
      <c r="E884" s="67"/>
    </row>
    <row r="885" ht="15.75" customHeight="1">
      <c r="C885" s="67"/>
      <c r="D885" s="67"/>
      <c r="E885" s="67"/>
    </row>
    <row r="886" ht="15.75" customHeight="1">
      <c r="C886" s="67"/>
      <c r="D886" s="67"/>
      <c r="E886" s="67"/>
    </row>
    <row r="887" ht="15.75" customHeight="1">
      <c r="C887" s="67"/>
      <c r="D887" s="67"/>
      <c r="E887" s="67"/>
    </row>
    <row r="888" ht="15.75" customHeight="1">
      <c r="C888" s="67"/>
      <c r="D888" s="67"/>
      <c r="E888" s="67"/>
    </row>
    <row r="889" ht="15.75" customHeight="1">
      <c r="C889" s="67"/>
      <c r="D889" s="67"/>
      <c r="E889" s="67"/>
    </row>
    <row r="890" ht="15.75" customHeight="1">
      <c r="C890" s="67"/>
      <c r="D890" s="67"/>
      <c r="E890" s="67"/>
    </row>
    <row r="891" ht="15.75" customHeight="1">
      <c r="C891" s="67"/>
      <c r="D891" s="67"/>
      <c r="E891" s="67"/>
    </row>
    <row r="892" ht="15.75" customHeight="1">
      <c r="C892" s="67"/>
      <c r="D892" s="67"/>
      <c r="E892" s="67"/>
    </row>
    <row r="893" ht="15.75" customHeight="1">
      <c r="C893" s="67"/>
      <c r="D893" s="67"/>
      <c r="E893" s="67"/>
    </row>
    <row r="894" ht="15.75" customHeight="1">
      <c r="C894" s="67"/>
      <c r="D894" s="67"/>
      <c r="E894" s="67"/>
    </row>
    <row r="895" ht="15.75" customHeight="1">
      <c r="C895" s="67"/>
      <c r="D895" s="67"/>
      <c r="E895" s="67"/>
    </row>
    <row r="896" ht="15.75" customHeight="1">
      <c r="C896" s="67"/>
      <c r="D896" s="67"/>
      <c r="E896" s="67"/>
    </row>
    <row r="897" ht="15.75" customHeight="1">
      <c r="C897" s="67"/>
      <c r="D897" s="67"/>
      <c r="E897" s="67"/>
    </row>
    <row r="898" ht="15.75" customHeight="1">
      <c r="C898" s="67"/>
      <c r="D898" s="67"/>
      <c r="E898" s="67"/>
    </row>
    <row r="899" ht="15.75" customHeight="1">
      <c r="C899" s="67"/>
      <c r="D899" s="67"/>
      <c r="E899" s="67"/>
    </row>
    <row r="900" ht="15.75" customHeight="1">
      <c r="C900" s="67"/>
      <c r="D900" s="67"/>
      <c r="E900" s="67"/>
    </row>
    <row r="901" ht="15.75" customHeight="1">
      <c r="C901" s="67"/>
      <c r="D901" s="67"/>
      <c r="E901" s="67"/>
    </row>
    <row r="902" ht="15.75" customHeight="1">
      <c r="C902" s="67"/>
      <c r="D902" s="67"/>
      <c r="E902" s="67"/>
    </row>
    <row r="903" ht="15.75" customHeight="1">
      <c r="C903" s="67"/>
      <c r="D903" s="67"/>
      <c r="E903" s="67"/>
    </row>
    <row r="904" ht="15.75" customHeight="1">
      <c r="C904" s="67"/>
      <c r="D904" s="67"/>
      <c r="E904" s="67"/>
    </row>
    <row r="905" ht="15.75" customHeight="1">
      <c r="C905" s="67"/>
      <c r="D905" s="67"/>
      <c r="E905" s="67"/>
    </row>
    <row r="906" ht="15.75" customHeight="1">
      <c r="C906" s="67"/>
      <c r="D906" s="67"/>
      <c r="E906" s="67"/>
    </row>
    <row r="907" ht="15.75" customHeight="1">
      <c r="C907" s="67"/>
      <c r="D907" s="67"/>
      <c r="E907" s="67"/>
    </row>
    <row r="908" ht="15.75" customHeight="1">
      <c r="C908" s="67"/>
      <c r="D908" s="67"/>
      <c r="E908" s="67"/>
    </row>
    <row r="909" ht="15.75" customHeight="1">
      <c r="C909" s="67"/>
      <c r="D909" s="67"/>
      <c r="E909" s="67"/>
    </row>
    <row r="910" ht="15.75" customHeight="1">
      <c r="C910" s="67"/>
      <c r="D910" s="67"/>
      <c r="E910" s="67"/>
    </row>
    <row r="911" ht="15.75" customHeight="1">
      <c r="C911" s="67"/>
      <c r="D911" s="67"/>
      <c r="E911" s="67"/>
    </row>
    <row r="912" ht="15.75" customHeight="1">
      <c r="C912" s="67"/>
      <c r="D912" s="67"/>
      <c r="E912" s="67"/>
    </row>
    <row r="913" ht="15.75" customHeight="1">
      <c r="C913" s="67"/>
      <c r="D913" s="67"/>
      <c r="E913" s="67"/>
    </row>
    <row r="914" ht="15.75" customHeight="1">
      <c r="C914" s="67"/>
      <c r="D914" s="67"/>
      <c r="E914" s="67"/>
    </row>
    <row r="915" ht="15.75" customHeight="1">
      <c r="C915" s="67"/>
      <c r="D915" s="67"/>
      <c r="E915" s="67"/>
    </row>
    <row r="916" ht="15.75" customHeight="1">
      <c r="C916" s="67"/>
      <c r="D916" s="67"/>
      <c r="E916" s="67"/>
    </row>
    <row r="917" ht="15.75" customHeight="1">
      <c r="C917" s="67"/>
      <c r="D917" s="67"/>
      <c r="E917" s="67"/>
    </row>
    <row r="918" ht="15.75" customHeight="1">
      <c r="C918" s="67"/>
      <c r="D918" s="67"/>
      <c r="E918" s="67"/>
    </row>
    <row r="919" ht="15.75" customHeight="1">
      <c r="C919" s="67"/>
      <c r="D919" s="67"/>
      <c r="E919" s="67"/>
    </row>
    <row r="920" ht="15.75" customHeight="1">
      <c r="C920" s="67"/>
      <c r="D920" s="67"/>
      <c r="E920" s="67"/>
    </row>
    <row r="921" ht="15.75" customHeight="1">
      <c r="C921" s="67"/>
      <c r="D921" s="67"/>
      <c r="E921" s="67"/>
    </row>
    <row r="922" ht="15.75" customHeight="1">
      <c r="C922" s="67"/>
      <c r="D922" s="67"/>
      <c r="E922" s="67"/>
    </row>
    <row r="923" ht="15.75" customHeight="1">
      <c r="C923" s="67"/>
      <c r="D923" s="67"/>
      <c r="E923" s="67"/>
    </row>
    <row r="924" ht="15.75" customHeight="1">
      <c r="C924" s="67"/>
      <c r="D924" s="67"/>
      <c r="E924" s="67"/>
    </row>
    <row r="925" ht="15.75" customHeight="1">
      <c r="C925" s="67"/>
      <c r="D925" s="67"/>
      <c r="E925" s="67"/>
    </row>
    <row r="926" ht="15.75" customHeight="1">
      <c r="C926" s="67"/>
      <c r="D926" s="67"/>
      <c r="E926" s="67"/>
    </row>
    <row r="927" ht="15.75" customHeight="1">
      <c r="C927" s="67"/>
      <c r="D927" s="67"/>
      <c r="E927" s="67"/>
    </row>
    <row r="928" ht="15.75" customHeight="1">
      <c r="C928" s="67"/>
      <c r="D928" s="67"/>
      <c r="E928" s="67"/>
    </row>
    <row r="929" ht="15.75" customHeight="1">
      <c r="C929" s="67"/>
      <c r="D929" s="67"/>
      <c r="E929" s="67"/>
    </row>
    <row r="930" ht="15.75" customHeight="1">
      <c r="C930" s="67"/>
      <c r="D930" s="67"/>
      <c r="E930" s="67"/>
    </row>
    <row r="931" ht="15.75" customHeight="1">
      <c r="C931" s="67"/>
      <c r="D931" s="67"/>
      <c r="E931" s="67"/>
    </row>
    <row r="932" ht="15.75" customHeight="1">
      <c r="C932" s="67"/>
      <c r="D932" s="67"/>
      <c r="E932" s="67"/>
    </row>
    <row r="933" ht="15.75" customHeight="1">
      <c r="C933" s="67"/>
      <c r="D933" s="67"/>
      <c r="E933" s="67"/>
    </row>
    <row r="934" ht="15.75" customHeight="1">
      <c r="C934" s="67"/>
      <c r="D934" s="67"/>
      <c r="E934" s="67"/>
    </row>
    <row r="935" ht="15.75" customHeight="1">
      <c r="C935" s="67"/>
      <c r="D935" s="67"/>
      <c r="E935" s="67"/>
    </row>
    <row r="936" ht="15.75" customHeight="1">
      <c r="C936" s="67"/>
      <c r="D936" s="67"/>
      <c r="E936" s="67"/>
    </row>
    <row r="937" ht="15.75" customHeight="1">
      <c r="C937" s="67"/>
      <c r="D937" s="67"/>
      <c r="E937" s="67"/>
    </row>
    <row r="938" ht="15.75" customHeight="1">
      <c r="C938" s="67"/>
      <c r="D938" s="67"/>
      <c r="E938" s="67"/>
    </row>
    <row r="939" ht="15.75" customHeight="1">
      <c r="C939" s="67"/>
      <c r="D939" s="67"/>
      <c r="E939" s="67"/>
    </row>
    <row r="940" ht="15.75" customHeight="1">
      <c r="C940" s="67"/>
      <c r="D940" s="67"/>
      <c r="E940" s="67"/>
    </row>
    <row r="941" ht="15.75" customHeight="1">
      <c r="C941" s="67"/>
      <c r="D941" s="67"/>
      <c r="E941" s="67"/>
    </row>
    <row r="942" ht="15.75" customHeight="1">
      <c r="C942" s="67"/>
      <c r="D942" s="67"/>
      <c r="E942" s="67"/>
    </row>
    <row r="943" ht="15.75" customHeight="1">
      <c r="C943" s="67"/>
      <c r="D943" s="67"/>
      <c r="E943" s="67"/>
    </row>
    <row r="944" ht="15.75" customHeight="1">
      <c r="C944" s="67"/>
      <c r="D944" s="67"/>
      <c r="E944" s="67"/>
    </row>
    <row r="945" ht="15.75" customHeight="1">
      <c r="C945" s="67"/>
      <c r="D945" s="67"/>
      <c r="E945" s="67"/>
    </row>
    <row r="946" ht="15.75" customHeight="1">
      <c r="C946" s="67"/>
      <c r="D946" s="67"/>
      <c r="E946" s="67"/>
    </row>
    <row r="947" ht="15.75" customHeight="1">
      <c r="C947" s="67"/>
      <c r="D947" s="67"/>
      <c r="E947" s="67"/>
    </row>
    <row r="948" ht="15.75" customHeight="1">
      <c r="C948" s="67"/>
      <c r="D948" s="67"/>
      <c r="E948" s="67"/>
    </row>
    <row r="949" ht="15.75" customHeight="1">
      <c r="C949" s="67"/>
      <c r="D949" s="67"/>
      <c r="E949" s="67"/>
    </row>
    <row r="950" ht="15.75" customHeight="1">
      <c r="C950" s="67"/>
      <c r="D950" s="67"/>
      <c r="E950" s="67"/>
    </row>
    <row r="951" ht="15.75" customHeight="1">
      <c r="C951" s="67"/>
      <c r="D951" s="67"/>
      <c r="E951" s="67"/>
    </row>
    <row r="952" ht="15.75" customHeight="1">
      <c r="C952" s="67"/>
      <c r="D952" s="67"/>
      <c r="E952" s="67"/>
    </row>
    <row r="953" ht="15.75" customHeight="1">
      <c r="C953" s="67"/>
      <c r="D953" s="67"/>
      <c r="E953" s="67"/>
    </row>
    <row r="954" ht="15.75" customHeight="1">
      <c r="C954" s="67"/>
      <c r="D954" s="67"/>
      <c r="E954" s="67"/>
    </row>
    <row r="955" ht="15.75" customHeight="1">
      <c r="C955" s="67"/>
      <c r="D955" s="67"/>
      <c r="E955" s="67"/>
    </row>
    <row r="956" ht="15.75" customHeight="1">
      <c r="C956" s="67"/>
      <c r="D956" s="67"/>
      <c r="E956" s="67"/>
    </row>
    <row r="957" ht="15.75" customHeight="1">
      <c r="C957" s="67"/>
      <c r="D957" s="67"/>
      <c r="E957" s="67"/>
    </row>
    <row r="958" ht="15.75" customHeight="1">
      <c r="C958" s="67"/>
      <c r="D958" s="67"/>
      <c r="E958" s="67"/>
    </row>
    <row r="959" ht="15.75" customHeight="1">
      <c r="C959" s="67"/>
      <c r="D959" s="67"/>
      <c r="E959" s="67"/>
    </row>
    <row r="960" ht="15.75" customHeight="1">
      <c r="C960" s="67"/>
      <c r="D960" s="67"/>
      <c r="E960" s="67"/>
    </row>
    <row r="961" ht="15.75" customHeight="1">
      <c r="C961" s="67"/>
      <c r="D961" s="67"/>
      <c r="E961" s="67"/>
    </row>
    <row r="962" ht="15.75" customHeight="1">
      <c r="C962" s="67"/>
      <c r="D962" s="67"/>
      <c r="E962" s="67"/>
    </row>
    <row r="963" ht="15.75" customHeight="1">
      <c r="C963" s="67"/>
      <c r="D963" s="67"/>
      <c r="E963" s="67"/>
    </row>
    <row r="964" ht="15.75" customHeight="1">
      <c r="C964" s="67"/>
      <c r="D964" s="67"/>
      <c r="E964" s="67"/>
    </row>
    <row r="965" ht="15.75" customHeight="1">
      <c r="C965" s="67"/>
      <c r="D965" s="67"/>
      <c r="E965" s="67"/>
    </row>
    <row r="966" ht="15.75" customHeight="1">
      <c r="C966" s="67"/>
      <c r="D966" s="67"/>
      <c r="E966" s="67"/>
    </row>
    <row r="967" ht="15.75" customHeight="1">
      <c r="C967" s="67"/>
      <c r="D967" s="67"/>
      <c r="E967" s="67"/>
    </row>
    <row r="968" ht="15.75" customHeight="1">
      <c r="C968" s="67"/>
      <c r="D968" s="67"/>
      <c r="E968" s="67"/>
    </row>
    <row r="969" ht="15.75" customHeight="1">
      <c r="C969" s="67"/>
      <c r="D969" s="67"/>
      <c r="E969" s="67"/>
    </row>
    <row r="970" ht="15.75" customHeight="1">
      <c r="C970" s="67"/>
      <c r="D970" s="67"/>
      <c r="E970" s="67"/>
    </row>
    <row r="971" ht="15.75" customHeight="1">
      <c r="C971" s="67"/>
      <c r="D971" s="67"/>
      <c r="E971" s="67"/>
    </row>
    <row r="972" ht="15.75" customHeight="1">
      <c r="C972" s="67"/>
      <c r="D972" s="67"/>
      <c r="E972" s="67"/>
    </row>
    <row r="973" ht="15.75" customHeight="1">
      <c r="C973" s="67"/>
      <c r="D973" s="67"/>
      <c r="E973" s="67"/>
    </row>
    <row r="974" ht="15.75" customHeight="1">
      <c r="C974" s="67"/>
      <c r="D974" s="67"/>
      <c r="E974" s="67"/>
    </row>
    <row r="975" ht="15.75" customHeight="1">
      <c r="C975" s="67"/>
      <c r="D975" s="67"/>
      <c r="E975" s="67"/>
    </row>
    <row r="976" ht="15.75" customHeight="1">
      <c r="C976" s="67"/>
      <c r="D976" s="67"/>
      <c r="E976" s="67"/>
    </row>
    <row r="977" ht="15.75" customHeight="1">
      <c r="C977" s="67"/>
      <c r="D977" s="67"/>
      <c r="E977" s="67"/>
    </row>
    <row r="978" ht="15.75" customHeight="1">
      <c r="C978" s="67"/>
      <c r="D978" s="67"/>
      <c r="E978" s="67"/>
    </row>
    <row r="979" ht="15.75" customHeight="1">
      <c r="C979" s="67"/>
      <c r="D979" s="67"/>
      <c r="E979" s="67"/>
    </row>
    <row r="980" ht="15.75" customHeight="1">
      <c r="C980" s="67"/>
      <c r="D980" s="67"/>
      <c r="E980" s="67"/>
    </row>
    <row r="981" ht="15.75" customHeight="1">
      <c r="C981" s="67"/>
      <c r="D981" s="67"/>
      <c r="E981" s="67"/>
    </row>
    <row r="982" ht="15.75" customHeight="1">
      <c r="C982" s="67"/>
      <c r="D982" s="67"/>
      <c r="E982" s="67"/>
    </row>
    <row r="983" ht="15.75" customHeight="1">
      <c r="C983" s="67"/>
      <c r="D983" s="67"/>
      <c r="E983" s="67"/>
    </row>
    <row r="984" ht="15.75" customHeight="1">
      <c r="C984" s="67"/>
      <c r="D984" s="67"/>
      <c r="E984" s="67"/>
    </row>
    <row r="985" ht="15.75" customHeight="1">
      <c r="C985" s="67"/>
      <c r="D985" s="67"/>
      <c r="E985" s="67"/>
    </row>
    <row r="986" ht="15.75" customHeight="1">
      <c r="C986" s="67"/>
      <c r="D986" s="67"/>
      <c r="E986" s="67"/>
    </row>
    <row r="987" ht="15.75" customHeight="1">
      <c r="C987" s="67"/>
      <c r="D987" s="67"/>
      <c r="E987" s="67"/>
    </row>
    <row r="988" ht="15.75" customHeight="1">
      <c r="C988" s="67"/>
      <c r="D988" s="67"/>
      <c r="E988" s="67"/>
    </row>
    <row r="989" ht="15.75" customHeight="1">
      <c r="C989" s="67"/>
      <c r="D989" s="67"/>
      <c r="E989" s="67"/>
    </row>
    <row r="990" ht="15.75" customHeight="1">
      <c r="C990" s="67"/>
      <c r="D990" s="67"/>
      <c r="E990" s="67"/>
    </row>
    <row r="991" ht="15.75" customHeight="1">
      <c r="C991" s="67"/>
      <c r="D991" s="67"/>
      <c r="E991" s="67"/>
    </row>
    <row r="992" ht="15.75" customHeight="1">
      <c r="C992" s="67"/>
      <c r="D992" s="67"/>
      <c r="E992" s="67"/>
    </row>
    <row r="993" ht="15.75" customHeight="1">
      <c r="C993" s="67"/>
      <c r="D993" s="67"/>
      <c r="E993" s="67"/>
    </row>
    <row r="994" ht="15.75" customHeight="1">
      <c r="C994" s="67"/>
      <c r="D994" s="67"/>
      <c r="E994" s="67"/>
    </row>
    <row r="995" ht="15.75" customHeight="1">
      <c r="C995" s="67"/>
      <c r="D995" s="67"/>
      <c r="E995" s="67"/>
    </row>
    <row r="996" ht="15.75" customHeight="1">
      <c r="C996" s="67"/>
      <c r="D996" s="67"/>
      <c r="E996" s="67"/>
    </row>
    <row r="997" ht="15.75" customHeight="1">
      <c r="C997" s="67"/>
      <c r="D997" s="67"/>
      <c r="E997" s="67"/>
    </row>
    <row r="998" ht="15.75" customHeight="1">
      <c r="C998" s="67"/>
      <c r="D998" s="67"/>
      <c r="E998" s="67"/>
    </row>
    <row r="999" ht="15.75" customHeight="1">
      <c r="C999" s="67"/>
      <c r="D999" s="67"/>
      <c r="E999" s="67"/>
    </row>
    <row r="1000" ht="15.75" customHeight="1">
      <c r="C1000" s="67"/>
      <c r="D1000" s="67"/>
      <c r="E1000" s="67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2018-07-16T06:35:28Z</dcterms:created>
  <dc:creator>Fuse m</dc:creator>
</cp:coreProperties>
</file>